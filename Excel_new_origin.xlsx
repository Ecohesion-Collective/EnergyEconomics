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drawings/drawing2.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drawings/drawing3.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guilh\Desktop\Eurogreen\Eurogreen\"/>
    </mc:Choice>
  </mc:AlternateContent>
  <xr:revisionPtr revIDLastSave="0" documentId="13_ncr:1_{EBEB8FBE-6DF4-4B51-9D32-B72CC557595A}" xr6:coauthVersionLast="47" xr6:coauthVersionMax="47" xr10:uidLastSave="{00000000-0000-0000-0000-000000000000}"/>
  <bookViews>
    <workbookView xWindow="-110" yWindow="-110" windowWidth="25820" windowHeight="15500" tabRatio="938" firstSheet="4" activeTab="17" xr2:uid="{00000000-000D-0000-FFFF-FFFF00000000}"/>
  </bookViews>
  <sheets>
    <sheet name="Info" sheetId="1" r:id="rId1"/>
    <sheet name="Indexes" sheetId="28" r:id="rId2"/>
    <sheet name="inputoutput" sheetId="2" r:id="rId3"/>
    <sheet name="internationaltrade" sheetId="7" r:id="rId4"/>
    <sheet name="prices" sheetId="3" r:id="rId5"/>
    <sheet name="consumption" sheetId="5" r:id="rId6"/>
    <sheet name="covid" sheetId="30" r:id="rId7"/>
    <sheet name="investments" sheetId="6" r:id="rId8"/>
    <sheet name="regions" sheetId="23" r:id="rId9"/>
    <sheet name="finance" sheetId="9" r:id="rId10"/>
    <sheet name="labour" sheetId="10" r:id="rId11"/>
    <sheet name="government" sheetId="11" r:id="rId12"/>
    <sheet name="technology" sheetId="12" r:id="rId13"/>
    <sheet name="timeuse" sheetId="15" r:id="rId14"/>
    <sheet name="demography" sheetId="14" r:id="rId15"/>
    <sheet name="migration" sheetId="27" r:id="rId16"/>
    <sheet name="energy" sheetId="16" r:id="rId17"/>
    <sheet name="electricity" sheetId="24" r:id="rId18"/>
    <sheet name="emissions" sheetId="17" r:id="rId19"/>
    <sheet name="emissionstrading" sheetId="26" r:id="rId20"/>
    <sheet name="temperature" sheetId="18" r:id="rId21"/>
    <sheet name="speciesrichness" sheetId="19" r:id="rId22"/>
    <sheet name="ecosystemservices" sheetId="20" r:id="rId23"/>
    <sheet name="ecostressors" sheetId="21" r:id="rId24"/>
    <sheet name="initialrun" sheetId="29" r:id="rId25"/>
  </sheets>
  <definedNames>
    <definedName name="_xlnm._FilterDatabase" localSheetId="1" hidden="1">Indexes!$C$1:$C$161</definedName>
    <definedName name="_xlnm._FilterDatabase" localSheetId="8" hidden="1">regions!$A$50:$Q$150</definedName>
    <definedName name="A_DOM">inputoutput!$C$74:$W$94</definedName>
    <definedName name="a_dom_elec">electricity!$D$276:$M$296</definedName>
    <definedName name="A_IMP_SH">inputoutput!$C$97:$W$117</definedName>
    <definedName name="a_imp_sh_elec">electricity!$D$255:$M$275</definedName>
    <definedName name="Abruzzo_alpha">regions!$C$142:$I$142</definedName>
    <definedName name="Abruzzo_yd">regions!$C$119:$I$119</definedName>
    <definedName name="_xlnm.Extract">prices!$I$9</definedName>
    <definedName name="avg_hh_members">regions!$Q$154:$Q$173</definedName>
    <definedName name="Basilicata_alpha">regions!$C$146:$I$146</definedName>
    <definedName name="Basilicata_yd">regions!$C$123:$I$123</definedName>
    <definedName name="beta_q1">regions!$AZ$3:$BO$22</definedName>
    <definedName name="beta_q2">regions!$AZ$23:$BO$42</definedName>
    <definedName name="beta_q3">regions!$AZ$43:$BO$62</definedName>
    <definedName name="beta_q4">regions!$AZ$63:$BO$82</definedName>
    <definedName name="beta_q5">regions!$AZ$83:$BO$102</definedName>
    <definedName name="Calabria_alpha">regions!$C$147:$I$147</definedName>
    <definedName name="Calabria_yd">regions!$C$124:$I$124</definedName>
    <definedName name="Campania_alpha">regions!$C$144:$I$144</definedName>
    <definedName name="Campania_yd">regions!$C$121:$I$121</definedName>
    <definedName name="cap_const_init">electricity!$E$104:$E$112</definedName>
    <definedName name="cap_constr_init">electricity!$E$104:$E$112</definedName>
    <definedName name="cap_init">electricity!$E$95:$E$103</definedName>
    <definedName name="cap_prod_i">investments!#REF!</definedName>
    <definedName name="capwealth">finance!$E$7</definedName>
    <definedName name="cat_shares_q1">regions!$V$3:$AT$22</definedName>
    <definedName name="cat_shares_q2">regions!$V$23:$AT$42</definedName>
    <definedName name="cat_shares_q3">regions!$V$43:$AT$62</definedName>
    <definedName name="cat_shares_q4">regions!$V$63:$AT$82</definedName>
    <definedName name="cat_shares_q5">regions!$V$83:$AT$102</definedName>
    <definedName name="cf_final">electricity!$E$75:$E$83</definedName>
    <definedName name="child_shares_q1">regions!$AU$3:$AU$22</definedName>
    <definedName name="child_shares_q2">regions!$AU$23:$AU$42</definedName>
    <definedName name="child_shares_q3">regions!$AU$43:$AU$62</definedName>
    <definedName name="child_shares_q4">regions!$AU$63:$AU$82</definedName>
    <definedName name="child_shares_q5">regions!$AU$83:$AU$102</definedName>
    <definedName name="coeff_inc">prices!$Z$9:$Z$29</definedName>
    <definedName name="coeff_inc2">prices!$AA$9:$AA$29</definedName>
    <definedName name="coeff_prices">prices!$AB$9:$AV$29</definedName>
    <definedName name="coicop_to_ind">consumption!$B$27:$Q$47</definedName>
    <definedName name="cons_coicop_initial">consumption!$B$52:$Q$52</definedName>
    <definedName name="cons_p_initial">consumption!$B$150:$Q$150</definedName>
    <definedName name="cons_shocks">covid!$B$25:$O$25</definedName>
    <definedName name="constant">prices!$Y$9:$Y$29</definedName>
    <definedName name="conversion_eff">electricity!$U$192:$U$195</definedName>
    <definedName name="covid_cons_2020">covid!$B$9</definedName>
    <definedName name="covid_cons_2021">covid!$C$9</definedName>
    <definedName name="covid_cons_2022">covid!$D$9</definedName>
    <definedName name="covid_exp_2020">covid!$B$15</definedName>
    <definedName name="covid_exp_2021">covid!$C$15</definedName>
    <definedName name="covid_exp_2022">covid!$D$15</definedName>
    <definedName name="covid_gov_2020">covid!$B$12</definedName>
    <definedName name="covid_gov_2021">covid!$C$12</definedName>
    <definedName name="covid_gov_2022">covid!$D$12</definedName>
    <definedName name="covid_inv_2020">covid!$B$18</definedName>
    <definedName name="covid_inv_2021">covid!$C$18</definedName>
    <definedName name="covid_inv_2022">covid!$D$18</definedName>
    <definedName name="covid_lfpr_2020">covid!$B$5:$D$6</definedName>
    <definedName name="covid_lfpr_2021">covid!$E$5:$G$6</definedName>
    <definedName name="covid_lfpr_2022">covid!$H$5:$J$6</definedName>
    <definedName name="covid_rebound">covid!$C$29:$C$49</definedName>
    <definedName name="covid_shock">covid!$B$29:$B$49</definedName>
    <definedName name="d2_output_ratio">initialrun!$M$3</definedName>
    <definedName name="deciles">regions!$AG$107:$AK$126</definedName>
    <definedName name="distr_cgs_F">demography!$K$9:$M$13</definedName>
    <definedName name="distr_cgs_M">demography!$N$9:$P$13</definedName>
    <definedName name="distr_init_pop_gc">demography!$C$3:$G$4</definedName>
    <definedName name="distr_init_pop_gc_F">demography!$C$3:$G$3</definedName>
    <definedName name="distr_init_pop_gc_M">demography!$C$4:$G$4</definedName>
    <definedName name="e_1">regions!$C$3:$R$22</definedName>
    <definedName name="e_2">regions!$C$23:$R$42</definedName>
    <definedName name="e_3">regions!$C$43:$R$62</definedName>
    <definedName name="e_4">regions!$C$63:$R$82</definedName>
    <definedName name="e_5">regions!$C$83:$R$102</definedName>
    <definedName name="E_SH_H">energy!$C$267:$C$273</definedName>
    <definedName name="E_SH_Z">energy!$C$244:$I$264</definedName>
    <definedName name="efficiency_storage">electricity!$E$37:$E$39</definedName>
    <definedName name="electricity_output">initialrun!$O$3</definedName>
    <definedName name="EM_SH_EX">energy!$M$201:$M$221</definedName>
    <definedName name="EM_SH_H">energy!$L$201:$L$221</definedName>
    <definedName name="EM_SH_IMP">energy!$O$201:$O$221</definedName>
    <definedName name="EM_SH_Z_DOM">energy!$L$154:$AF$174</definedName>
    <definedName name="EM_SH_Z_IMP">energy!$L$177:$AF$197</definedName>
    <definedName name="Emilia_alpha">regions!$C$137:$I$137</definedName>
    <definedName name="Emilia_yd">regions!$C$114:$I$114</definedName>
    <definedName name="EMIS_FAC">emissions!$C$4:$C$10</definedName>
    <definedName name="emissions_output">initialrun!$N$3</definedName>
    <definedName name="equityliability_ratio">investments!#REF!</definedName>
    <definedName name="ereu_fd_nrg">energy!$CE$66:$CK$86</definedName>
    <definedName name="EX_INIT" localSheetId="2">inputoutput!$G$3:$G$23</definedName>
    <definedName name="exp_initial_i">internationaltrade!$O$42:$O$72</definedName>
    <definedName name="exp_shocks">covid!$B$24:$O$24</definedName>
    <definedName name="F_SH_H">energy!$L$267:$L$273</definedName>
    <definedName name="F_SH_Z">energy!$L$244:$R$264</definedName>
    <definedName name="fertility_rate">demography!$B$20</definedName>
    <definedName name="final_charge_share">electricity!$E$34:$E$36</definedName>
    <definedName name="free_ets">emissionstrading!$B$26:$O$46</definedName>
    <definedName name="Friuli_alpha">regions!$C$135:$I$135</definedName>
    <definedName name="Friuli_yd">regions!$C$112:$I$112</definedName>
    <definedName name="g_lambda_impact_on_skill_shares_0">labour!$O$35:$Q$65</definedName>
    <definedName name="generation_share_final">electricity!$E$65:$E$73</definedName>
    <definedName name="gfcf_shares">electricity!$D$234:$M$254</definedName>
    <definedName name="gfcf_shares_battery">electricity!$E$191:$E$211</definedName>
    <definedName name="gfcf_shares_p2g">electricity!$E$212:$E$232</definedName>
    <definedName name="glambda_mean">technology!$B$135:$AF$135</definedName>
    <definedName name="glambda_sd">technology!$B$136:$AF$136</definedName>
    <definedName name="gov_shocks">covid!$B$22:$O$22</definedName>
    <definedName name="grid_depre">electricity!$E$15</definedName>
    <definedName name="grid_inv">electricity!$E$17</definedName>
    <definedName name="grid_value">electricity!$E$16</definedName>
    <definedName name="gridlife">electricity!$E$14</definedName>
    <definedName name="H_DOM_INIT">inputoutput!$D$3:$D$23</definedName>
    <definedName name="H_IMP_INIT" localSheetId="2">inputoutput!$D$24:$D$44</definedName>
    <definedName name="H_IMP_INIT">inputoutput!#REF!</definedName>
    <definedName name="I_MAT">inputoutput!$C$143:$W$163</definedName>
    <definedName name="id">inputoutput!$C$199:$W$219</definedName>
    <definedName name="imposhares_z">inputoutput!$C$223:$W$243</definedName>
    <definedName name="impshares_z">inputoutput!$C$223:$W$243</definedName>
    <definedName name="ind_to_coicop">consumption!$B$3:$Q$23</definedName>
    <definedName name="inflationrate">prices!$C$1</definedName>
    <definedName name="init_cf">electricity!$E$56:$E$64</definedName>
    <definedName name="init_charge_share">electricity!$E$29:$E$31</definedName>
    <definedName name="init_dynamic_exp_yd">regions!$S$107:$W$126</definedName>
    <definedName name="init_gov_c_dom">inputoutput!$E$3:$E$23</definedName>
    <definedName name="init_gov_c_imp">inputoutput!$E$24:$E$44</definedName>
    <definedName name="init_gov_c_nom_i">inputoutput!#REF!</definedName>
    <definedName name="init_health_educ">initialrun!$K$3</definedName>
    <definedName name="init_mort_rate">demography!$C$28:$G$29</definedName>
    <definedName name="init_mort_rate_F">demography!$C$28:$G$28</definedName>
    <definedName name="init_mort_rate_M">demography!$C$29:$G$29</definedName>
    <definedName name="init_public">initialrun!$L$3</definedName>
    <definedName name="init_skill_shares_female">labour!$E$57:$G$61</definedName>
    <definedName name="init_skill_shares_male">labour!$H$57:$J$61</definedName>
    <definedName name="init_static_exp_yd">regions!$L$107:$P$126</definedName>
    <definedName name="init_storage_cap">electricity!$E$22:$E$24</definedName>
    <definedName name="init_techn_sh">electricity!$E$47:$E$55</definedName>
    <definedName name="init_timeuse">timeuse!$D$2:$H$26</definedName>
    <definedName name="initial_GFCF_i">inputoutput!#REF!</definedName>
    <definedName name="initial_interest_rate">finance!$B$10</definedName>
    <definedName name="initial_profits_nifi_r">regions!$Z$131:$Z$150</definedName>
    <definedName name="initial_uc">investments!#REF!</definedName>
    <definedName name="initial_unit_int_dem">initialrun!$E$3:$E$23</definedName>
    <definedName name="initialGFCF">investments!#REF!</definedName>
    <definedName name="INT_EX">energy!$AK$201:$AK$221</definedName>
    <definedName name="INT_H">energy!$AJ$201:$AJ$221</definedName>
    <definedName name="INT_IMP">energy!$AM$201:$AM$221</definedName>
    <definedName name="INT_Z_DOM">energy!$AJ$154:$BD$174</definedName>
    <definedName name="INT_Z_IMP">energy!$AJ$177:$BD$197</definedName>
    <definedName name="inv_shocks">covid!$B$23:$O$23</definedName>
    <definedName name="investbmatrix">investments!#REF!</definedName>
    <definedName name="investment_matrix">investments!$B$3:$V$23</definedName>
    <definedName name="K_initial_i">investments!#REF!</definedName>
    <definedName name="L_imp">energy!$CE$117:$CY$137</definedName>
    <definedName name="L_imp_dom_ratio">energy!$CE$2:$CY$22</definedName>
    <definedName name="L_imp_int_ii_bio">energy!$BH$66:$CB$86</definedName>
    <definedName name="L_imp_int_ii_coal">energy!$BH$3:$CB$23</definedName>
    <definedName name="L_imp_int_ii_elec">energy!$BH$87:$CB$107</definedName>
    <definedName name="L_imp_int_ii_gas">energy!$BH$24:$CB$44</definedName>
    <definedName name="L_imp_int_ii_heat">energy!$BH$108:$CB$128</definedName>
    <definedName name="L_imp_int_ii_nuclear">energy!$BH$129:$CB$149</definedName>
    <definedName name="L_imp_int_ii_oil">energy!$BH$45:$CB$65</definedName>
    <definedName name="lambda_elec">electricity!$E$181:$E$190</definedName>
    <definedName name="Lazio_alpha">regions!$C$141:$I$141</definedName>
    <definedName name="Lazio_yd">regions!$C$118:$I$118</definedName>
    <definedName name="lfpr_initial">labour!$E$35:$G$36</definedName>
    <definedName name="lfpr_trends">labour!$E$65:$G$66</definedName>
    <definedName name="Liguria_alpha">regions!$C$136:$I$136</definedName>
    <definedName name="Liguria_yd">regions!$C$113:$I$113</definedName>
    <definedName name="Lombardia_alpha">regions!$C$132:$I$132</definedName>
    <definedName name="Lombardia_yd">regions!$C$109:$I$109</definedName>
    <definedName name="lp_mean_neg_norm">technology!$D$136:$X$136</definedName>
    <definedName name="lp_mean_pos_norm">technology!$D$142:$X$142</definedName>
    <definedName name="lp_median_neg_norm">technology!$D$137:$X$137</definedName>
    <definedName name="lp_median_pos_norm">technology!$D$143:$X$143</definedName>
    <definedName name="lp_norm_neg_mean">technology!$D$281:$X$281</definedName>
    <definedName name="lp_norm_neg_median">technology!$D$282:$X$282</definedName>
    <definedName name="lp_norm_neg_sd">technology!$D$283:$X$283</definedName>
    <definedName name="lp_norm_pos_mean">technology!$D$287:$X$287</definedName>
    <definedName name="lp_norm_pos_median">technology!$D$288:$X$288</definedName>
    <definedName name="lp_norm_pos_sd">technology!$D$289:$X$289</definedName>
    <definedName name="lp_sd_neg_norm">technology!$D$138:$X$138</definedName>
    <definedName name="lp_sd_pos_norm">technology!$D$144:$X$144</definedName>
    <definedName name="male_migr">migration!#REF!</definedName>
    <definedName name="maleshareinit">labour!$T$4:$V$24</definedName>
    <definedName name="malesharetrend">labour!$Y$4:$AA$24</definedName>
    <definedName name="Marche_alpha">regions!$C$140:$I$140</definedName>
    <definedName name="Marche_yd">regions!$C$117:$I$117</definedName>
    <definedName name="markup_calibration_parm_i">prices!$M$9:$M$39</definedName>
    <definedName name="max_scale">electricity!$E$163:$E$171</definedName>
    <definedName name="mixed">labour!$C$79</definedName>
    <definedName name="Molise_alpha">regions!$C$143:$I$143</definedName>
    <definedName name="Molise_yd">regions!$C$120:$I$120</definedName>
    <definedName name="normalcaputi">investments!#REF!</definedName>
    <definedName name="num_hhs_init">regions!$L$131:$P$150</definedName>
    <definedName name="num_hhs_init_calib">regions!$S$131:$W$150</definedName>
    <definedName name="Output">inputoutput!$C$168:$C$188</definedName>
    <definedName name="overall_initial_exp_trend">technology!$BA$34:$BM$54</definedName>
    <definedName name="overall_initial_gov_c_trend">technology!$BA$10:$BM$30</definedName>
    <definedName name="p_ets_forecast">emissionstrading!$B$52:$H$52</definedName>
    <definedName name="peradultwealth">finance!$B$3</definedName>
    <definedName name="Piemonte_alpha">regions!$C$130:$I$130</definedName>
    <definedName name="Piemonte_yd">regions!$C$107:$I$107</definedName>
    <definedName name="pkweights">investments!#REF!</definedName>
    <definedName name="post_debt_repayment_profits">initialrun!$D$3:$D$23</definedName>
    <definedName name="pp_to_bp">prices!$G$9:$G$39</definedName>
    <definedName name="profits_nifi_shares">regions!$AD$131:$AH$150</definedName>
    <definedName name="Puglia_alpha">regions!$C$145:$I$145</definedName>
    <definedName name="Puglia_yd">regions!$C$122:$I$122</definedName>
    <definedName name="pw_ratios">regions!$Z$107:$AD$126</definedName>
    <definedName name="rents_share_r">regions!$AK$131:$AK$150</definedName>
    <definedName name="repr_life">demography!$B$23:$B$23</definedName>
    <definedName name="S1_depreciation_rates_i">investments!#REF!</definedName>
    <definedName name="S1_g_exp_i">internationaltrade!$D$114:$AH$114</definedName>
    <definedName name="S1_hours_i">labour!$D$3:$AH$3</definedName>
    <definedName name="S1_init_other_benefits_per_cap">government!$D$11</definedName>
    <definedName name="S1_share_imp_Z_ii">internationaltrade!$C$2:$AG$32</definedName>
    <definedName name="S1_trend_entry_skill_gs">demography!$C$17:$E$18</definedName>
    <definedName name="S1_trend_entry_skill_gs_F">demography!$C$17:$E$17</definedName>
    <definedName name="S1_trend_entry_skill_gs_M">demography!$C$18:$E$18</definedName>
    <definedName name="Sardegna_alpha">regions!$C$149:$I$149</definedName>
    <definedName name="Sardegna_yd">regions!$C$126:$I$126</definedName>
    <definedName name="select_ets">emissionstrading!$B$2:$B$22</definedName>
    <definedName name="sens_inv_i">investments!#REF!</definedName>
    <definedName name="sens_skill_cs">labour!$E$40:$G$44</definedName>
    <definedName name="sens_uw" localSheetId="13">timeuse!$C$30:$D$30</definedName>
    <definedName name="share_selfemp_income">regions!$AN$130:$AN$150</definedName>
    <definedName name="Sicilia_alpha">regions!$C$148:$I$148</definedName>
    <definedName name="Sicilia_yd">regions!$C$125:$I$125</definedName>
    <definedName name="skilldist_init">labour!$AD$4:$AF$24</definedName>
    <definedName name="skilldisttrend">labour!$AI$4:$AK$24</definedName>
    <definedName name="skillsh_imp">labour!$O$35:$Q$55</definedName>
    <definedName name="skillwealth">finance!$B$7:$D$7</definedName>
    <definedName name="SOU_SH_FD_EX">energy!$C$175:$I$195</definedName>
    <definedName name="SOU_SH_FD_H">energy!$C$154:$I$174</definedName>
    <definedName name="SOU_SH_FD_IMP">energy!$C$198:$I$218</definedName>
    <definedName name="SOU_SH_Z_DOM_BIO">energy!$C$87:$W$107</definedName>
    <definedName name="SOU_SH_Z_DOM_COAL">energy!$C$3:$W$23</definedName>
    <definedName name="SOU_SH_Z_DOM_ELEC">energy!$C$108:$W$128</definedName>
    <definedName name="SOU_SH_Z_DOM_GAS">energy!$C$24:$W$44</definedName>
    <definedName name="SOU_SH_Z_DOM_HEAT">energy!$C$129:$W$149</definedName>
    <definedName name="SOU_SH_Z_DOM_NUC">energy!$C$66:$W$86</definedName>
    <definedName name="SOU_SH_Z_DOM_OIL">energy!$C$45:$W$65</definedName>
    <definedName name="SOU_SH_Z_IMP_BIO">energy!$AC$87:$AW$107</definedName>
    <definedName name="SOU_SH_Z_IMP_COAL">energy!$AC$3:$AW$23</definedName>
    <definedName name="SOU_SH_Z_IMP_ELEC">energy!$AC$108:$AW$128</definedName>
    <definedName name="SOU_SH_Z_IMP_GAS">energy!$AC$24:$AW$44</definedName>
    <definedName name="SOU_SH_Z_IMP_HEAT">energy!$AC$129:$AW$149</definedName>
    <definedName name="SOU_SH_Z_IMP_NUC">energy!$AC$66:$AW$86</definedName>
    <definedName name="SOU_SH_Z_IMP_OIL">energy!$AC$45:$AW$65</definedName>
    <definedName name="storage_final_cf">electricity!$E$19:$E$21</definedName>
    <definedName name="storage_init_cap_constr">electricity!$E$40:$E$42</definedName>
    <definedName name="storage_init_cf">electricity!$E$16:$E$18</definedName>
    <definedName name="techn_sh_bat">electricity!$E$16:$E$18</definedName>
    <definedName name="time">emissionstrading!$B$25:$O$25</definedName>
    <definedName name="time_mig">migration!#REF!</definedName>
    <definedName name="time_p_ets">emissionstrading!$B$51:$H$51</definedName>
    <definedName name="time2">covid!$B$21:$O$21</definedName>
    <definedName name="timet">technology!$BA$33:$BM$33</definedName>
    <definedName name="tls">prices!$F$9:$F$29</definedName>
    <definedName name="tls_base">initialrun!$C$3:$C$23</definedName>
    <definedName name="Toscana_alpha">regions!$C$138:$I$138</definedName>
    <definedName name="Toscana_yd">regions!$C$115:$I$115</definedName>
    <definedName name="tot_net_migr">migration!#REF!</definedName>
    <definedName name="total_allowances">emissionstrading!$B$48:$O$48</definedName>
    <definedName name="trans_use">initialrun!$H$3:$H$6</definedName>
    <definedName name="trend_ereu_fd_nrg">energy!$CE$91:$CK$111</definedName>
    <definedName name="trend_exp">technology!$AC$114:$AW$114</definedName>
    <definedName name="trend_gov">technology!$AC$116:$AW$116</definedName>
    <definedName name="trend_impsh_gfcf">technology!$AC$84:$AW$84</definedName>
    <definedName name="trend_impsh_gov">technology!$AC$82:$AW$82</definedName>
    <definedName name="trend_impsh_hhs">technology!$AC$80:$AW$80</definedName>
    <definedName name="trend_impsh_z">technology!$AC$89:$AW$109</definedName>
    <definedName name="trend_L_imp">energy!$CE$141:$CY$161</definedName>
    <definedName name="trend_L_imp_int_ii_bio">energy!$DC$66:$DW$86</definedName>
    <definedName name="trend_L_imp_int_ii_coal">energy!$DC$3:$DW$23</definedName>
    <definedName name="trend_L_imp_int_ii_elec">energy!$DC$87:$DW$107</definedName>
    <definedName name="trend_L_imp_int_ii_gas">energy!$DC$24:$DW$44</definedName>
    <definedName name="trend_L_imp_int_ii_heat">energy!$DC$108:$DW$128</definedName>
    <definedName name="trend_L_imp_int_ii_nuclear">energy!$DC$129:$DW$149</definedName>
    <definedName name="trend_L_imp_int_ii_oil">energy!$DC$45:$DW$65</definedName>
    <definedName name="trends_skills_female">labour!$E$49:$G$53</definedName>
    <definedName name="trends_skills_male">labour!$H$49:$J$53</definedName>
    <definedName name="Trentino_alpha">regions!$C$133:$I$133</definedName>
    <definedName name="Trentino_yd">regions!$C$110:$I$110</definedName>
    <definedName name="ttm">prices!$D$9:$D$29</definedName>
    <definedName name="ttm_shares">prices!$E$9:$E$29</definedName>
    <definedName name="u_initial_gs">labour!$D$74:$F$75</definedName>
    <definedName name="u_initial_gs_F">labour!$D$74:$F$74</definedName>
    <definedName name="u_initial_gs_M">labour!$D$75:$F$75</definedName>
    <definedName name="u_mean_neg_norm">technology!$D$4:$X$24</definedName>
    <definedName name="u_mean_pos_norm">technology!$D$70:$X$90</definedName>
    <definedName name="u_median_neg_norm">technology!$D$25:$X$45</definedName>
    <definedName name="u_median_pos_norm">technology!$D$91:$X$111</definedName>
    <definedName name="u_sd_neg_norm">technology!$D$46:$X$66</definedName>
    <definedName name="u_sd_pos_norm">technology!$D$112:$X$132</definedName>
    <definedName name="Umbria_alpha">regions!$C$139:$I$139</definedName>
    <definedName name="Umbria_yd">regions!$C$116:$I$116</definedName>
    <definedName name="Valle_alpha">regions!$C$131:$I$131</definedName>
    <definedName name="Valle_yd">regions!$C$108:$I$108</definedName>
    <definedName name="vat_rates">government!$D$29:$AH$29</definedName>
    <definedName name="Veneto_alpha">regions!$C$134:$I$134</definedName>
    <definedName name="Veneto_yd">regions!$C$111:$I$111</definedName>
    <definedName name="wages_initial_gis_F">labour!$G$35:$I$65</definedName>
    <definedName name="wages_initial_gis_M">labour!$D$35:$F$65</definedName>
    <definedName name="wdispf">labour!$H$5:$J$25</definedName>
    <definedName name="wdispm">labour!$E$5:$G$25</definedName>
    <definedName name="weekly_hours">labour!$D$6</definedName>
    <definedName name="winitf">labour!$AQ$5:$AS$25</definedName>
    <definedName name="winitm">labour!$AN$5:$AP$25</definedName>
    <definedName name="working_weeks_per_year">labour!$D$7</definedName>
    <definedName name="yd">regions!$D$107:$H$126</definedName>
    <definedName name="yd_dynamic_share">initialrun!$U$4:$Y$23</definedName>
    <definedName name="yd_FI">regions!$M$4:$Q$4</definedName>
    <definedName name="yd_national_initial">initialrun!$J$3</definedName>
    <definedName name="year_free_ets_phaseout">emissionstrading!$C$2:$C$22</definedName>
    <definedName name="Z_init">inputoutput!$C$120:$W$140</definedName>
    <definedName name="znominit">inputoutput!$C$247:$W$267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14" l="1"/>
  <c r="H3" i="14"/>
  <c r="R52" i="5"/>
  <c r="BP4" i="23" l="1"/>
  <c r="BP5" i="23"/>
  <c r="BP6" i="23"/>
  <c r="BP7" i="23"/>
  <c r="BP8" i="23"/>
  <c r="BP9" i="23"/>
  <c r="BP10" i="23"/>
  <c r="BP11" i="23"/>
  <c r="BP12" i="23"/>
  <c r="BP13" i="23"/>
  <c r="BP14" i="23"/>
  <c r="BP15" i="23"/>
  <c r="BP16" i="23"/>
  <c r="BP17" i="23"/>
  <c r="BP18" i="23"/>
  <c r="BP19" i="23"/>
  <c r="BP20" i="23"/>
  <c r="BP21" i="23"/>
  <c r="BP22" i="23"/>
  <c r="BP23" i="23"/>
  <c r="BP24" i="23"/>
  <c r="BP25" i="23"/>
  <c r="BP26" i="23"/>
  <c r="BP27" i="23"/>
  <c r="BP28" i="23"/>
  <c r="BP29" i="23"/>
  <c r="BP30" i="23"/>
  <c r="BP31" i="23"/>
  <c r="BP32" i="23"/>
  <c r="BP33" i="23"/>
  <c r="BP34" i="23"/>
  <c r="BP35" i="23"/>
  <c r="BP36" i="23"/>
  <c r="BP37" i="23"/>
  <c r="BP38" i="23"/>
  <c r="BP39" i="23"/>
  <c r="BP40" i="23"/>
  <c r="BP41" i="23"/>
  <c r="BP42" i="23"/>
  <c r="BP43" i="23"/>
  <c r="BP44" i="23"/>
  <c r="BP45" i="23"/>
  <c r="BP46" i="23"/>
  <c r="BP47" i="23"/>
  <c r="BP48" i="23"/>
  <c r="BP49" i="23"/>
  <c r="BP50" i="23"/>
  <c r="BP51" i="23"/>
  <c r="BP52" i="23"/>
  <c r="BP53" i="23"/>
  <c r="BP54" i="23"/>
  <c r="BP55" i="23"/>
  <c r="BP56" i="23"/>
  <c r="BP57" i="23"/>
  <c r="BP58" i="23"/>
  <c r="BP59" i="23"/>
  <c r="BP60" i="23"/>
  <c r="BP61" i="23"/>
  <c r="BP62" i="23"/>
  <c r="BP63" i="23"/>
  <c r="BP64" i="23"/>
  <c r="BP65" i="23"/>
  <c r="BP66" i="23"/>
  <c r="BP67" i="23"/>
  <c r="BP68" i="23"/>
  <c r="BP69" i="23"/>
  <c r="BP70" i="23"/>
  <c r="BP71" i="23"/>
  <c r="BP72" i="23"/>
  <c r="BP73" i="23"/>
  <c r="BP74" i="23"/>
  <c r="BP75" i="23"/>
  <c r="BP76" i="23"/>
  <c r="BP77" i="23"/>
  <c r="BP78" i="23"/>
  <c r="BP79" i="23"/>
  <c r="BP80" i="23"/>
  <c r="BP81" i="23"/>
  <c r="BP82" i="23"/>
  <c r="BP83" i="23"/>
  <c r="BP84" i="23"/>
  <c r="BP85" i="23"/>
  <c r="BP86" i="23"/>
  <c r="BP87" i="23"/>
  <c r="BP88" i="23"/>
  <c r="BP89" i="23"/>
  <c r="BP90" i="23"/>
  <c r="BP91" i="23"/>
  <c r="BP92" i="23"/>
  <c r="BP93" i="23"/>
  <c r="BP94" i="23"/>
  <c r="BP95" i="23"/>
  <c r="BP96" i="23"/>
  <c r="BP97" i="23"/>
  <c r="BP98" i="23"/>
  <c r="BP99" i="23"/>
  <c r="BP100" i="23"/>
  <c r="BP101" i="23"/>
  <c r="BP102" i="23"/>
  <c r="BP3" i="23"/>
  <c r="Z132" i="23"/>
  <c r="Z133" i="23"/>
  <c r="Z134" i="23"/>
  <c r="Z135" i="23"/>
  <c r="Z136" i="23"/>
  <c r="Z137" i="23"/>
  <c r="Z138" i="23"/>
  <c r="Z139" i="23"/>
  <c r="Z140" i="23"/>
  <c r="Z141" i="23"/>
  <c r="Z142" i="23"/>
  <c r="Z143" i="23"/>
  <c r="Z144" i="23"/>
  <c r="Z145" i="23"/>
  <c r="Z146" i="23"/>
  <c r="Z147" i="23"/>
  <c r="Z148" i="23"/>
  <c r="Z149" i="23"/>
  <c r="Z150" i="23"/>
  <c r="Z131" i="23"/>
  <c r="U197" i="24"/>
  <c r="H52" i="26" l="1"/>
  <c r="BL199" i="16" l="1"/>
  <c r="BL198" i="16"/>
  <c r="Q48" i="5"/>
  <c r="P48" i="5"/>
  <c r="O48" i="5"/>
  <c r="N48" i="5"/>
  <c r="M48" i="5"/>
  <c r="L48" i="5"/>
  <c r="K48" i="5"/>
  <c r="J48" i="5"/>
  <c r="I48" i="5"/>
  <c r="H48" i="5"/>
  <c r="G48" i="5"/>
  <c r="F48" i="5"/>
  <c r="E48" i="5"/>
  <c r="D48" i="5"/>
  <c r="C48" i="5"/>
  <c r="B48" i="5"/>
  <c r="R23" i="5"/>
  <c r="R22" i="5"/>
  <c r="R21" i="5"/>
  <c r="R20" i="5"/>
  <c r="R19" i="5"/>
  <c r="R18" i="5"/>
  <c r="R17" i="5"/>
  <c r="R16" i="5"/>
  <c r="R15" i="5"/>
  <c r="R14" i="5"/>
  <c r="R13" i="5"/>
  <c r="R12" i="5"/>
  <c r="R11" i="5"/>
  <c r="R10" i="5"/>
  <c r="R9" i="5"/>
  <c r="R8" i="5"/>
  <c r="R7" i="5"/>
  <c r="R6" i="5"/>
  <c r="R5" i="5"/>
  <c r="R4" i="5"/>
  <c r="R3" i="5"/>
  <c r="C143" i="2" l="1" a="1"/>
  <c r="C143" i="2" s="1"/>
  <c r="B222" i="3"/>
  <c r="B127" i="3"/>
  <c r="C77" i="7" l="1"/>
  <c r="D77" i="7"/>
  <c r="E77" i="7"/>
  <c r="F77" i="7"/>
  <c r="G77" i="7"/>
  <c r="H77" i="7"/>
  <c r="I77" i="7"/>
  <c r="J77" i="7"/>
  <c r="K77" i="7"/>
  <c r="L77" i="7"/>
  <c r="M77" i="7"/>
  <c r="N77" i="7"/>
  <c r="O77" i="7"/>
  <c r="P77" i="7"/>
  <c r="Q77" i="7"/>
  <c r="R77" i="7"/>
  <c r="S77" i="7"/>
  <c r="T77" i="7"/>
  <c r="U77" i="7"/>
  <c r="V77" i="7"/>
  <c r="W77" i="7"/>
  <c r="X77" i="7"/>
  <c r="Y77" i="7"/>
  <c r="Z77" i="7"/>
  <c r="AA77" i="7"/>
  <c r="AB77" i="7"/>
  <c r="AC77" i="7"/>
  <c r="AD77" i="7"/>
  <c r="AE77" i="7"/>
  <c r="AF77" i="7"/>
  <c r="C78" i="7"/>
  <c r="D78" i="7"/>
  <c r="E78" i="7"/>
  <c r="F78" i="7"/>
  <c r="G78" i="7"/>
  <c r="H78" i="7"/>
  <c r="I78" i="7"/>
  <c r="J78" i="7"/>
  <c r="K78" i="7"/>
  <c r="L78" i="7"/>
  <c r="M78" i="7"/>
  <c r="N78" i="7"/>
  <c r="O78" i="7"/>
  <c r="P78" i="7"/>
  <c r="Q78" i="7"/>
  <c r="R78" i="7"/>
  <c r="S78" i="7"/>
  <c r="T78" i="7"/>
  <c r="U78" i="7"/>
  <c r="V78" i="7"/>
  <c r="W78" i="7"/>
  <c r="X78" i="7"/>
  <c r="Y78" i="7"/>
  <c r="Z78" i="7"/>
  <c r="AA78" i="7"/>
  <c r="AB78" i="7"/>
  <c r="AC78" i="7"/>
  <c r="AD78" i="7"/>
  <c r="AE78" i="7"/>
  <c r="AF78" i="7"/>
  <c r="C79" i="7"/>
  <c r="D79" i="7"/>
  <c r="E79" i="7"/>
  <c r="F79" i="7"/>
  <c r="G79" i="7"/>
  <c r="H79" i="7"/>
  <c r="I79" i="7"/>
  <c r="J79" i="7"/>
  <c r="K79" i="7"/>
  <c r="L79" i="7"/>
  <c r="M79" i="7"/>
  <c r="N79" i="7"/>
  <c r="O79" i="7"/>
  <c r="P79" i="7"/>
  <c r="Q79" i="7"/>
  <c r="R79" i="7"/>
  <c r="S79" i="7"/>
  <c r="T79" i="7"/>
  <c r="U79" i="7"/>
  <c r="V79" i="7"/>
  <c r="W79" i="7"/>
  <c r="X79" i="7"/>
  <c r="Y79" i="7"/>
  <c r="Z79" i="7"/>
  <c r="AA79" i="7"/>
  <c r="AB79" i="7"/>
  <c r="AC79" i="7"/>
  <c r="AD79" i="7"/>
  <c r="AE79" i="7"/>
  <c r="AF79" i="7"/>
  <c r="C80" i="7"/>
  <c r="D80" i="7"/>
  <c r="E80" i="7"/>
  <c r="F80" i="7"/>
  <c r="G80" i="7"/>
  <c r="H80" i="7"/>
  <c r="I80" i="7"/>
  <c r="J80" i="7"/>
  <c r="K80" i="7"/>
  <c r="L80" i="7"/>
  <c r="M80" i="7"/>
  <c r="N80" i="7"/>
  <c r="O80" i="7"/>
  <c r="P80" i="7"/>
  <c r="Q80" i="7"/>
  <c r="R80" i="7"/>
  <c r="S80" i="7"/>
  <c r="T80" i="7"/>
  <c r="U80" i="7"/>
  <c r="V80" i="7"/>
  <c r="W80" i="7"/>
  <c r="X80" i="7"/>
  <c r="Y80" i="7"/>
  <c r="Z80" i="7"/>
  <c r="AA80" i="7"/>
  <c r="AB80" i="7"/>
  <c r="AC80" i="7"/>
  <c r="AD80" i="7"/>
  <c r="AE80" i="7"/>
  <c r="AF80" i="7"/>
  <c r="C81" i="7"/>
  <c r="D81" i="7"/>
  <c r="E81" i="7"/>
  <c r="F81" i="7"/>
  <c r="G81" i="7"/>
  <c r="H81" i="7"/>
  <c r="I81" i="7"/>
  <c r="J81" i="7"/>
  <c r="K81" i="7"/>
  <c r="L81" i="7"/>
  <c r="M81" i="7"/>
  <c r="N81" i="7"/>
  <c r="O81" i="7"/>
  <c r="P81" i="7"/>
  <c r="Q81" i="7"/>
  <c r="R81" i="7"/>
  <c r="S81" i="7"/>
  <c r="T81" i="7"/>
  <c r="U81" i="7"/>
  <c r="V81" i="7"/>
  <c r="W81" i="7"/>
  <c r="X81" i="7"/>
  <c r="Y81" i="7"/>
  <c r="Z81" i="7"/>
  <c r="AA81" i="7"/>
  <c r="AB81" i="7"/>
  <c r="AC81" i="7"/>
  <c r="AD81" i="7"/>
  <c r="AE81" i="7"/>
  <c r="AF81" i="7"/>
  <c r="C82" i="7"/>
  <c r="D82" i="7"/>
  <c r="E82" i="7"/>
  <c r="F82" i="7"/>
  <c r="G82" i="7"/>
  <c r="H82" i="7"/>
  <c r="I82" i="7"/>
  <c r="J82" i="7"/>
  <c r="K82" i="7"/>
  <c r="L82" i="7"/>
  <c r="M82" i="7"/>
  <c r="N82" i="7"/>
  <c r="O82" i="7"/>
  <c r="P82" i="7"/>
  <c r="Q82" i="7"/>
  <c r="R82" i="7"/>
  <c r="S82" i="7"/>
  <c r="T82" i="7"/>
  <c r="U82" i="7"/>
  <c r="V82" i="7"/>
  <c r="W82" i="7"/>
  <c r="X82" i="7"/>
  <c r="Y82" i="7"/>
  <c r="Z82" i="7"/>
  <c r="AA82" i="7"/>
  <c r="AB82" i="7"/>
  <c r="AC82" i="7"/>
  <c r="AD82" i="7"/>
  <c r="AE82" i="7"/>
  <c r="AF82" i="7"/>
  <c r="C83" i="7"/>
  <c r="D83" i="7"/>
  <c r="E83" i="7"/>
  <c r="F83" i="7"/>
  <c r="G83" i="7"/>
  <c r="H83" i="7"/>
  <c r="I83" i="7"/>
  <c r="J83" i="7"/>
  <c r="K83" i="7"/>
  <c r="L83" i="7"/>
  <c r="M83" i="7"/>
  <c r="N83" i="7"/>
  <c r="O83" i="7"/>
  <c r="P83" i="7"/>
  <c r="Q83" i="7"/>
  <c r="R83" i="7"/>
  <c r="S83" i="7"/>
  <c r="T83" i="7"/>
  <c r="U83" i="7"/>
  <c r="V83" i="7"/>
  <c r="W83" i="7"/>
  <c r="X83" i="7"/>
  <c r="Y83" i="7"/>
  <c r="Z83" i="7"/>
  <c r="AA83" i="7"/>
  <c r="AB83" i="7"/>
  <c r="AC83" i="7"/>
  <c r="AD83" i="7"/>
  <c r="AE83" i="7"/>
  <c r="AF83" i="7"/>
  <c r="C84" i="7"/>
  <c r="D84" i="7"/>
  <c r="E84" i="7"/>
  <c r="F84" i="7"/>
  <c r="G84" i="7"/>
  <c r="H84" i="7"/>
  <c r="I84" i="7"/>
  <c r="J84" i="7"/>
  <c r="K84" i="7"/>
  <c r="L84" i="7"/>
  <c r="M84" i="7"/>
  <c r="N84" i="7"/>
  <c r="O84" i="7"/>
  <c r="P84" i="7"/>
  <c r="Q84" i="7"/>
  <c r="R84" i="7"/>
  <c r="S84" i="7"/>
  <c r="T84" i="7"/>
  <c r="U84" i="7"/>
  <c r="V84" i="7"/>
  <c r="W84" i="7"/>
  <c r="X84" i="7"/>
  <c r="Y84" i="7"/>
  <c r="Z84" i="7"/>
  <c r="AA84" i="7"/>
  <c r="AB84" i="7"/>
  <c r="AC84" i="7"/>
  <c r="AD84" i="7"/>
  <c r="AE84" i="7"/>
  <c r="AF84" i="7"/>
  <c r="C85" i="7"/>
  <c r="D85" i="7"/>
  <c r="E85" i="7"/>
  <c r="F85" i="7"/>
  <c r="G85" i="7"/>
  <c r="H85" i="7"/>
  <c r="I85" i="7"/>
  <c r="J85" i="7"/>
  <c r="K85" i="7"/>
  <c r="L85" i="7"/>
  <c r="M85" i="7"/>
  <c r="N85" i="7"/>
  <c r="O85" i="7"/>
  <c r="P85" i="7"/>
  <c r="Q85" i="7"/>
  <c r="R85" i="7"/>
  <c r="S85" i="7"/>
  <c r="T85" i="7"/>
  <c r="U85" i="7"/>
  <c r="V85" i="7"/>
  <c r="W85" i="7"/>
  <c r="X85" i="7"/>
  <c r="Y85" i="7"/>
  <c r="Z85" i="7"/>
  <c r="AA85" i="7"/>
  <c r="AB85" i="7"/>
  <c r="AC85" i="7"/>
  <c r="AD85" i="7"/>
  <c r="AE85" i="7"/>
  <c r="AF85" i="7"/>
  <c r="C86" i="7"/>
  <c r="D86" i="7"/>
  <c r="E86" i="7"/>
  <c r="F86" i="7"/>
  <c r="G86" i="7"/>
  <c r="H86" i="7"/>
  <c r="I86" i="7"/>
  <c r="J86" i="7"/>
  <c r="K86" i="7"/>
  <c r="L86" i="7"/>
  <c r="M86" i="7"/>
  <c r="N86" i="7"/>
  <c r="O86" i="7"/>
  <c r="P86" i="7"/>
  <c r="Q86" i="7"/>
  <c r="R86" i="7"/>
  <c r="S86" i="7"/>
  <c r="T86" i="7"/>
  <c r="U86" i="7"/>
  <c r="V86" i="7"/>
  <c r="W86" i="7"/>
  <c r="X86" i="7"/>
  <c r="Y86" i="7"/>
  <c r="Z86" i="7"/>
  <c r="AA86" i="7"/>
  <c r="AB86" i="7"/>
  <c r="AC86" i="7"/>
  <c r="AD86" i="7"/>
  <c r="AE86" i="7"/>
  <c r="AF86" i="7"/>
  <c r="C87" i="7"/>
  <c r="D87" i="7"/>
  <c r="E87" i="7"/>
  <c r="F87" i="7"/>
  <c r="G87" i="7"/>
  <c r="H87" i="7"/>
  <c r="I87" i="7"/>
  <c r="J87" i="7"/>
  <c r="K87" i="7"/>
  <c r="L87" i="7"/>
  <c r="M87" i="7"/>
  <c r="N87" i="7"/>
  <c r="O87" i="7"/>
  <c r="P87" i="7"/>
  <c r="Q87" i="7"/>
  <c r="R87" i="7"/>
  <c r="S87" i="7"/>
  <c r="T87" i="7"/>
  <c r="U87" i="7"/>
  <c r="V87" i="7"/>
  <c r="W87" i="7"/>
  <c r="X87" i="7"/>
  <c r="Y87" i="7"/>
  <c r="Z87" i="7"/>
  <c r="AA87" i="7"/>
  <c r="AB87" i="7"/>
  <c r="AC87" i="7"/>
  <c r="AD87" i="7"/>
  <c r="AE87" i="7"/>
  <c r="AF87" i="7"/>
  <c r="C88" i="7"/>
  <c r="D88" i="7"/>
  <c r="E88" i="7"/>
  <c r="F88" i="7"/>
  <c r="G88" i="7"/>
  <c r="H88" i="7"/>
  <c r="I88" i="7"/>
  <c r="J88" i="7"/>
  <c r="K88" i="7"/>
  <c r="L88" i="7"/>
  <c r="M88" i="7"/>
  <c r="N88" i="7"/>
  <c r="O88" i="7"/>
  <c r="P88" i="7"/>
  <c r="Q88" i="7"/>
  <c r="R88" i="7"/>
  <c r="S88" i="7"/>
  <c r="T88" i="7"/>
  <c r="U88" i="7"/>
  <c r="V88" i="7"/>
  <c r="W88" i="7"/>
  <c r="X88" i="7"/>
  <c r="Y88" i="7"/>
  <c r="Z88" i="7"/>
  <c r="AA88" i="7"/>
  <c r="AB88" i="7"/>
  <c r="AC88" i="7"/>
  <c r="AD88" i="7"/>
  <c r="AE88" i="7"/>
  <c r="AF88" i="7"/>
  <c r="C89" i="7"/>
  <c r="D89" i="7"/>
  <c r="E89" i="7"/>
  <c r="F89" i="7"/>
  <c r="G89" i="7"/>
  <c r="H89" i="7"/>
  <c r="I89" i="7"/>
  <c r="J89" i="7"/>
  <c r="K89" i="7"/>
  <c r="L89" i="7"/>
  <c r="M89" i="7"/>
  <c r="N89" i="7"/>
  <c r="O89" i="7"/>
  <c r="P89" i="7"/>
  <c r="Q89" i="7"/>
  <c r="R89" i="7"/>
  <c r="S89" i="7"/>
  <c r="T89" i="7"/>
  <c r="U89" i="7"/>
  <c r="V89" i="7"/>
  <c r="W89" i="7"/>
  <c r="X89" i="7"/>
  <c r="Y89" i="7"/>
  <c r="Z89" i="7"/>
  <c r="AA89" i="7"/>
  <c r="AB89" i="7"/>
  <c r="AC89" i="7"/>
  <c r="AD89" i="7"/>
  <c r="AE89" i="7"/>
  <c r="AF89" i="7"/>
  <c r="C90" i="7"/>
  <c r="D90" i="7"/>
  <c r="E90" i="7"/>
  <c r="F90" i="7"/>
  <c r="G90" i="7"/>
  <c r="H90" i="7"/>
  <c r="I90" i="7"/>
  <c r="J90" i="7"/>
  <c r="K90" i="7"/>
  <c r="L90" i="7"/>
  <c r="M90" i="7"/>
  <c r="N90" i="7"/>
  <c r="O90" i="7"/>
  <c r="P90" i="7"/>
  <c r="Q90" i="7"/>
  <c r="R90" i="7"/>
  <c r="S90" i="7"/>
  <c r="T90" i="7"/>
  <c r="U90" i="7"/>
  <c r="V90" i="7"/>
  <c r="W90" i="7"/>
  <c r="X90" i="7"/>
  <c r="Y90" i="7"/>
  <c r="Z90" i="7"/>
  <c r="AA90" i="7"/>
  <c r="AB90" i="7"/>
  <c r="AC90" i="7"/>
  <c r="AD90" i="7"/>
  <c r="AE90" i="7"/>
  <c r="AF90" i="7"/>
  <c r="C91" i="7"/>
  <c r="D91" i="7"/>
  <c r="E91" i="7"/>
  <c r="F91" i="7"/>
  <c r="G91" i="7"/>
  <c r="H91" i="7"/>
  <c r="I91" i="7"/>
  <c r="J91" i="7"/>
  <c r="K91" i="7"/>
  <c r="L91" i="7"/>
  <c r="M91" i="7"/>
  <c r="N91" i="7"/>
  <c r="O91" i="7"/>
  <c r="P91" i="7"/>
  <c r="Q91" i="7"/>
  <c r="R91" i="7"/>
  <c r="S91" i="7"/>
  <c r="T91" i="7"/>
  <c r="U91" i="7"/>
  <c r="V91" i="7"/>
  <c r="W91" i="7"/>
  <c r="X91" i="7"/>
  <c r="Y91" i="7"/>
  <c r="Z91" i="7"/>
  <c r="AA91" i="7"/>
  <c r="AB91" i="7"/>
  <c r="AC91" i="7"/>
  <c r="AD91" i="7"/>
  <c r="AE91" i="7"/>
  <c r="AF91" i="7"/>
  <c r="C92" i="7"/>
  <c r="D92" i="7"/>
  <c r="E92" i="7"/>
  <c r="F92" i="7"/>
  <c r="G92" i="7"/>
  <c r="H92" i="7"/>
  <c r="I92" i="7"/>
  <c r="J92" i="7"/>
  <c r="K92" i="7"/>
  <c r="L92" i="7"/>
  <c r="M92" i="7"/>
  <c r="N92" i="7"/>
  <c r="O92" i="7"/>
  <c r="P92" i="7"/>
  <c r="Q92" i="7"/>
  <c r="R92" i="7"/>
  <c r="S92" i="7"/>
  <c r="T92" i="7"/>
  <c r="U92" i="7"/>
  <c r="V92" i="7"/>
  <c r="W92" i="7"/>
  <c r="X92" i="7"/>
  <c r="Y92" i="7"/>
  <c r="Z92" i="7"/>
  <c r="AA92" i="7"/>
  <c r="AB92" i="7"/>
  <c r="AC92" i="7"/>
  <c r="AD92" i="7"/>
  <c r="AE92" i="7"/>
  <c r="AF92" i="7"/>
  <c r="C93" i="7"/>
  <c r="D93" i="7"/>
  <c r="E93" i="7"/>
  <c r="F93" i="7"/>
  <c r="G93" i="7"/>
  <c r="H93" i="7"/>
  <c r="I93" i="7"/>
  <c r="J93" i="7"/>
  <c r="K93" i="7"/>
  <c r="L93" i="7"/>
  <c r="M93" i="7"/>
  <c r="N93" i="7"/>
  <c r="O93" i="7"/>
  <c r="P93" i="7"/>
  <c r="Q93" i="7"/>
  <c r="R93" i="7"/>
  <c r="S93" i="7"/>
  <c r="T93" i="7"/>
  <c r="U93" i="7"/>
  <c r="V93" i="7"/>
  <c r="W93" i="7"/>
  <c r="X93" i="7"/>
  <c r="Y93" i="7"/>
  <c r="Z93" i="7"/>
  <c r="AA93" i="7"/>
  <c r="AB93" i="7"/>
  <c r="AC93" i="7"/>
  <c r="AD93" i="7"/>
  <c r="AE93" i="7"/>
  <c r="AF93" i="7"/>
  <c r="C94" i="7"/>
  <c r="D94" i="7"/>
  <c r="E94" i="7"/>
  <c r="F94" i="7"/>
  <c r="G94" i="7"/>
  <c r="H94" i="7"/>
  <c r="I94" i="7"/>
  <c r="J94" i="7"/>
  <c r="K94" i="7"/>
  <c r="L94" i="7"/>
  <c r="M94" i="7"/>
  <c r="N94" i="7"/>
  <c r="O94" i="7"/>
  <c r="P94" i="7"/>
  <c r="Q94" i="7"/>
  <c r="R94" i="7"/>
  <c r="S94" i="7"/>
  <c r="T94" i="7"/>
  <c r="U94" i="7"/>
  <c r="V94" i="7"/>
  <c r="W94" i="7"/>
  <c r="X94" i="7"/>
  <c r="Y94" i="7"/>
  <c r="Z94" i="7"/>
  <c r="AA94" i="7"/>
  <c r="AB94" i="7"/>
  <c r="AC94" i="7"/>
  <c r="AD94" i="7"/>
  <c r="AE94" i="7"/>
  <c r="AF94" i="7"/>
  <c r="C95" i="7"/>
  <c r="D95" i="7"/>
  <c r="E95" i="7"/>
  <c r="F95" i="7"/>
  <c r="G95" i="7"/>
  <c r="H95" i="7"/>
  <c r="I95" i="7"/>
  <c r="J95" i="7"/>
  <c r="K95" i="7"/>
  <c r="L95" i="7"/>
  <c r="M95" i="7"/>
  <c r="N95" i="7"/>
  <c r="O95" i="7"/>
  <c r="P95" i="7"/>
  <c r="Q95" i="7"/>
  <c r="R95" i="7"/>
  <c r="S95" i="7"/>
  <c r="T95" i="7"/>
  <c r="U95" i="7"/>
  <c r="V95" i="7"/>
  <c r="W95" i="7"/>
  <c r="X95" i="7"/>
  <c r="Y95" i="7"/>
  <c r="Z95" i="7"/>
  <c r="AA95" i="7"/>
  <c r="AB95" i="7"/>
  <c r="AC95" i="7"/>
  <c r="AD95" i="7"/>
  <c r="AE95" i="7"/>
  <c r="AF95" i="7"/>
  <c r="C96" i="7"/>
  <c r="D96" i="7"/>
  <c r="E96" i="7"/>
  <c r="F96" i="7"/>
  <c r="G96" i="7"/>
  <c r="H96" i="7"/>
  <c r="I96" i="7"/>
  <c r="J96" i="7"/>
  <c r="K96" i="7"/>
  <c r="L96" i="7"/>
  <c r="M96" i="7"/>
  <c r="N96" i="7"/>
  <c r="O96" i="7"/>
  <c r="P96" i="7"/>
  <c r="Q96" i="7"/>
  <c r="R96" i="7"/>
  <c r="S96" i="7"/>
  <c r="T96" i="7"/>
  <c r="U96" i="7"/>
  <c r="V96" i="7"/>
  <c r="W96" i="7"/>
  <c r="X96" i="7"/>
  <c r="Y96" i="7"/>
  <c r="Z96" i="7"/>
  <c r="AA96" i="7"/>
  <c r="AB96" i="7"/>
  <c r="AC96" i="7"/>
  <c r="AD96" i="7"/>
  <c r="AE96" i="7"/>
  <c r="AF96" i="7"/>
  <c r="C97" i="7"/>
  <c r="D97" i="7"/>
  <c r="E97" i="7"/>
  <c r="F97" i="7"/>
  <c r="G97" i="7"/>
  <c r="H97" i="7"/>
  <c r="I97" i="7"/>
  <c r="J97" i="7"/>
  <c r="K97" i="7"/>
  <c r="L97" i="7"/>
  <c r="M97" i="7"/>
  <c r="N97" i="7"/>
  <c r="O97" i="7"/>
  <c r="P97" i="7"/>
  <c r="Q97" i="7"/>
  <c r="R97" i="7"/>
  <c r="S97" i="7"/>
  <c r="T97" i="7"/>
  <c r="U97" i="7"/>
  <c r="V97" i="7"/>
  <c r="W97" i="7"/>
  <c r="X97" i="7"/>
  <c r="Y97" i="7"/>
  <c r="Z97" i="7"/>
  <c r="AA97" i="7"/>
  <c r="AB97" i="7"/>
  <c r="AC97" i="7"/>
  <c r="AD97" i="7"/>
  <c r="AE97" i="7"/>
  <c r="AF97" i="7"/>
  <c r="C98" i="7"/>
  <c r="D98" i="7"/>
  <c r="E98" i="7"/>
  <c r="F98" i="7"/>
  <c r="G98" i="7"/>
  <c r="H98" i="7"/>
  <c r="I98" i="7"/>
  <c r="J98" i="7"/>
  <c r="K98" i="7"/>
  <c r="L98" i="7"/>
  <c r="M98" i="7"/>
  <c r="N98" i="7"/>
  <c r="O98" i="7"/>
  <c r="P98" i="7"/>
  <c r="Q98" i="7"/>
  <c r="R98" i="7"/>
  <c r="S98" i="7"/>
  <c r="T98" i="7"/>
  <c r="U98" i="7"/>
  <c r="V98" i="7"/>
  <c r="W98" i="7"/>
  <c r="X98" i="7"/>
  <c r="Y98" i="7"/>
  <c r="Z98" i="7"/>
  <c r="AA98" i="7"/>
  <c r="AB98" i="7"/>
  <c r="AC98" i="7"/>
  <c r="AD98" i="7"/>
  <c r="AE98" i="7"/>
  <c r="AF98" i="7"/>
  <c r="C99" i="7"/>
  <c r="D99" i="7"/>
  <c r="E99" i="7"/>
  <c r="F99" i="7"/>
  <c r="G99" i="7"/>
  <c r="H99" i="7"/>
  <c r="I99" i="7"/>
  <c r="J99" i="7"/>
  <c r="K99" i="7"/>
  <c r="L99" i="7"/>
  <c r="M99" i="7"/>
  <c r="N99" i="7"/>
  <c r="O99" i="7"/>
  <c r="P99" i="7"/>
  <c r="Q99" i="7"/>
  <c r="R99" i="7"/>
  <c r="S99" i="7"/>
  <c r="T99" i="7"/>
  <c r="U99" i="7"/>
  <c r="V99" i="7"/>
  <c r="W99" i="7"/>
  <c r="X99" i="7"/>
  <c r="Y99" i="7"/>
  <c r="Z99" i="7"/>
  <c r="AA99" i="7"/>
  <c r="AB99" i="7"/>
  <c r="AC99" i="7"/>
  <c r="AD99" i="7"/>
  <c r="AE99" i="7"/>
  <c r="AF99" i="7"/>
  <c r="C100" i="7"/>
  <c r="D100" i="7"/>
  <c r="E100" i="7"/>
  <c r="F100" i="7"/>
  <c r="G100" i="7"/>
  <c r="H100" i="7"/>
  <c r="I100" i="7"/>
  <c r="J100" i="7"/>
  <c r="K100" i="7"/>
  <c r="L100" i="7"/>
  <c r="M100" i="7"/>
  <c r="N100" i="7"/>
  <c r="O100" i="7"/>
  <c r="P100" i="7"/>
  <c r="Q100" i="7"/>
  <c r="R100" i="7"/>
  <c r="S100" i="7"/>
  <c r="T100" i="7"/>
  <c r="U100" i="7"/>
  <c r="V100" i="7"/>
  <c r="W100" i="7"/>
  <c r="X100" i="7"/>
  <c r="Y100" i="7"/>
  <c r="Z100" i="7"/>
  <c r="AA100" i="7"/>
  <c r="AB100" i="7"/>
  <c r="AC100" i="7"/>
  <c r="AD100" i="7"/>
  <c r="AE100" i="7"/>
  <c r="AF100" i="7"/>
  <c r="C101" i="7"/>
  <c r="D101" i="7"/>
  <c r="E101" i="7"/>
  <c r="F101" i="7"/>
  <c r="G101" i="7"/>
  <c r="H101" i="7"/>
  <c r="I101" i="7"/>
  <c r="J101" i="7"/>
  <c r="K101" i="7"/>
  <c r="L101" i="7"/>
  <c r="M101" i="7"/>
  <c r="N101" i="7"/>
  <c r="O101" i="7"/>
  <c r="P101" i="7"/>
  <c r="Q101" i="7"/>
  <c r="R101" i="7"/>
  <c r="S101" i="7"/>
  <c r="T101" i="7"/>
  <c r="U101" i="7"/>
  <c r="V101" i="7"/>
  <c r="W101" i="7"/>
  <c r="X101" i="7"/>
  <c r="Y101" i="7"/>
  <c r="Z101" i="7"/>
  <c r="AA101" i="7"/>
  <c r="AB101" i="7"/>
  <c r="AC101" i="7"/>
  <c r="AD101" i="7"/>
  <c r="AE101" i="7"/>
  <c r="AF101" i="7"/>
  <c r="C102" i="7"/>
  <c r="D102" i="7"/>
  <c r="E102" i="7"/>
  <c r="F102" i="7"/>
  <c r="G102" i="7"/>
  <c r="H102" i="7"/>
  <c r="I102" i="7"/>
  <c r="J102" i="7"/>
  <c r="K102" i="7"/>
  <c r="L102" i="7"/>
  <c r="M102" i="7"/>
  <c r="N102" i="7"/>
  <c r="O102" i="7"/>
  <c r="P102" i="7"/>
  <c r="Q102" i="7"/>
  <c r="R102" i="7"/>
  <c r="S102" i="7"/>
  <c r="T102" i="7"/>
  <c r="U102" i="7"/>
  <c r="V102" i="7"/>
  <c r="W102" i="7"/>
  <c r="X102" i="7"/>
  <c r="Y102" i="7"/>
  <c r="Z102" i="7"/>
  <c r="AA102" i="7"/>
  <c r="AB102" i="7"/>
  <c r="AC102" i="7"/>
  <c r="AD102" i="7"/>
  <c r="AE102" i="7"/>
  <c r="AF102" i="7"/>
  <c r="C103" i="7"/>
  <c r="D103" i="7"/>
  <c r="E103" i="7"/>
  <c r="F103" i="7"/>
  <c r="G103" i="7"/>
  <c r="H103" i="7"/>
  <c r="I103" i="7"/>
  <c r="J103" i="7"/>
  <c r="K103" i="7"/>
  <c r="L103" i="7"/>
  <c r="M103" i="7"/>
  <c r="N103" i="7"/>
  <c r="O103" i="7"/>
  <c r="P103" i="7"/>
  <c r="Q103" i="7"/>
  <c r="R103" i="7"/>
  <c r="S103" i="7"/>
  <c r="T103" i="7"/>
  <c r="U103" i="7"/>
  <c r="V103" i="7"/>
  <c r="W103" i="7"/>
  <c r="X103" i="7"/>
  <c r="Y103" i="7"/>
  <c r="Z103" i="7"/>
  <c r="AA103" i="7"/>
  <c r="AB103" i="7"/>
  <c r="AC103" i="7"/>
  <c r="AD103" i="7"/>
  <c r="AE103" i="7"/>
  <c r="AF103" i="7"/>
  <c r="C104" i="7"/>
  <c r="D104" i="7"/>
  <c r="E104" i="7"/>
  <c r="F104" i="7"/>
  <c r="G104" i="7"/>
  <c r="H104" i="7"/>
  <c r="I104" i="7"/>
  <c r="J104" i="7"/>
  <c r="K104" i="7"/>
  <c r="L104" i="7"/>
  <c r="M104" i="7"/>
  <c r="N104" i="7"/>
  <c r="O104" i="7"/>
  <c r="P104" i="7"/>
  <c r="Q104" i="7"/>
  <c r="R104" i="7"/>
  <c r="S104" i="7"/>
  <c r="T104" i="7"/>
  <c r="U104" i="7"/>
  <c r="V104" i="7"/>
  <c r="W104" i="7"/>
  <c r="X104" i="7"/>
  <c r="Y104" i="7"/>
  <c r="Z104" i="7"/>
  <c r="AA104" i="7"/>
  <c r="AB104" i="7"/>
  <c r="AC104" i="7"/>
  <c r="AD104" i="7"/>
  <c r="AE104" i="7"/>
  <c r="AF104" i="7"/>
  <c r="C105" i="7"/>
  <c r="D105" i="7"/>
  <c r="E105" i="7"/>
  <c r="F105" i="7"/>
  <c r="G105" i="7"/>
  <c r="H105" i="7"/>
  <c r="I105" i="7"/>
  <c r="J105" i="7"/>
  <c r="K105" i="7"/>
  <c r="L105" i="7"/>
  <c r="M105" i="7"/>
  <c r="N105" i="7"/>
  <c r="O105" i="7"/>
  <c r="P105" i="7"/>
  <c r="Q105" i="7"/>
  <c r="R105" i="7"/>
  <c r="S105" i="7"/>
  <c r="T105" i="7"/>
  <c r="U105" i="7"/>
  <c r="V105" i="7"/>
  <c r="W105" i="7"/>
  <c r="X105" i="7"/>
  <c r="Y105" i="7"/>
  <c r="Z105" i="7"/>
  <c r="AA105" i="7"/>
  <c r="AB105" i="7"/>
  <c r="AC105" i="7"/>
  <c r="AD105" i="7"/>
  <c r="AE105" i="7"/>
  <c r="AF105" i="7"/>
  <c r="C106" i="7"/>
  <c r="D106" i="7"/>
  <c r="E106" i="7"/>
  <c r="F106" i="7"/>
  <c r="G106" i="7"/>
  <c r="H106" i="7"/>
  <c r="I106" i="7"/>
  <c r="J106" i="7"/>
  <c r="K106" i="7"/>
  <c r="L106" i="7"/>
  <c r="M106" i="7"/>
  <c r="N106" i="7"/>
  <c r="O106" i="7"/>
  <c r="P106" i="7"/>
  <c r="Q106" i="7"/>
  <c r="R106" i="7"/>
  <c r="S106" i="7"/>
  <c r="T106" i="7"/>
  <c r="U106" i="7"/>
  <c r="V106" i="7"/>
  <c r="W106" i="7"/>
  <c r="X106" i="7"/>
  <c r="Y106" i="7"/>
  <c r="Z106" i="7"/>
  <c r="AA106" i="7"/>
  <c r="AB106" i="7"/>
  <c r="AC106" i="7"/>
  <c r="AD106" i="7"/>
  <c r="AE106" i="7"/>
  <c r="AF106" i="7"/>
  <c r="C107" i="7"/>
  <c r="D107" i="7"/>
  <c r="E107" i="7"/>
  <c r="F107" i="7"/>
  <c r="G107" i="7"/>
  <c r="H107" i="7"/>
  <c r="I107" i="7"/>
  <c r="J107" i="7"/>
  <c r="K107" i="7"/>
  <c r="L107" i="7"/>
  <c r="M107" i="7"/>
  <c r="N107" i="7"/>
  <c r="O107" i="7"/>
  <c r="P107" i="7"/>
  <c r="Q107" i="7"/>
  <c r="R107" i="7"/>
  <c r="S107" i="7"/>
  <c r="T107" i="7"/>
  <c r="U107" i="7"/>
  <c r="V107" i="7"/>
  <c r="W107" i="7"/>
  <c r="X107" i="7"/>
  <c r="Y107" i="7"/>
  <c r="Z107" i="7"/>
  <c r="AA107" i="7"/>
  <c r="AB107" i="7"/>
  <c r="AC107" i="7"/>
  <c r="AD107" i="7"/>
  <c r="AE107" i="7"/>
  <c r="AF10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77" i="7"/>
  <c r="C42" i="7" l="1"/>
  <c r="E15" i="1"/>
  <c r="E16" i="1"/>
  <c r="E17" i="1"/>
  <c r="E18" i="1"/>
  <c r="E19" i="1"/>
  <c r="E21" i="1"/>
  <c r="E22" i="1"/>
  <c r="E23" i="1"/>
  <c r="E24" i="1"/>
  <c r="E25" i="1"/>
  <c r="E26" i="1"/>
  <c r="E27" i="1"/>
  <c r="E28" i="1"/>
  <c r="E29" i="1"/>
  <c r="E30" i="1"/>
  <c r="E31" i="1"/>
  <c r="E32" i="1"/>
  <c r="E33" i="1"/>
  <c r="E34" i="1"/>
  <c r="E35" i="1"/>
  <c r="C30" i="15" l="1"/>
  <c r="E14" i="1" l="1"/>
  <c r="A10" i="18" l="1"/>
  <c r="A9" i="18"/>
  <c r="A8" i="18"/>
  <c r="A7" i="18"/>
  <c r="A6" i="18"/>
  <c r="A5" i="18"/>
  <c r="A4" i="18"/>
  <c r="A3" i="18"/>
  <c r="A2" i="18"/>
  <c r="K3" i="14" l="1"/>
  <c r="K2" i="14"/>
  <c r="F8" i="11" l="1"/>
  <c r="D8" i="11" s="1"/>
  <c r="D7" i="11"/>
  <c r="D6" i="11"/>
  <c r="G42" i="7"/>
  <c r="AI37" i="7"/>
  <c r="AI36" i="7" l="1"/>
  <c r="E72" i="7" l="1"/>
  <c r="D42" i="7"/>
  <c r="E42" i="7"/>
  <c r="D43" i="7"/>
  <c r="E43" i="7"/>
  <c r="D44" i="7"/>
  <c r="E44" i="7"/>
  <c r="D45" i="7"/>
  <c r="E45" i="7"/>
  <c r="D46" i="7"/>
  <c r="E46" i="7"/>
  <c r="D47" i="7"/>
  <c r="E47" i="7"/>
  <c r="D48" i="7"/>
  <c r="E48" i="7"/>
  <c r="D49" i="7"/>
  <c r="E49" i="7"/>
  <c r="D50" i="7"/>
  <c r="E50" i="7"/>
  <c r="D51" i="7"/>
  <c r="E51" i="7"/>
  <c r="D52" i="7"/>
  <c r="E52" i="7"/>
  <c r="D53" i="7"/>
  <c r="E53" i="7"/>
  <c r="D54" i="7"/>
  <c r="E54" i="7"/>
  <c r="D55" i="7"/>
  <c r="E55" i="7"/>
  <c r="D56" i="7"/>
  <c r="E56" i="7"/>
  <c r="D57" i="7"/>
  <c r="E57" i="7"/>
  <c r="D58" i="7"/>
  <c r="E58" i="7"/>
  <c r="D59" i="7"/>
  <c r="E59" i="7"/>
  <c r="D60" i="7"/>
  <c r="E60" i="7"/>
  <c r="D61" i="7"/>
  <c r="E61" i="7"/>
  <c r="D62" i="7"/>
  <c r="E62" i="7"/>
  <c r="D63" i="7"/>
  <c r="E63" i="7"/>
  <c r="D64" i="7"/>
  <c r="E64" i="7"/>
  <c r="D65" i="7"/>
  <c r="E65" i="7"/>
  <c r="D66" i="7"/>
  <c r="E66" i="7"/>
  <c r="D67" i="7"/>
  <c r="E67" i="7"/>
  <c r="D68" i="7"/>
  <c r="E68" i="7"/>
  <c r="D69" i="7"/>
  <c r="E69" i="7"/>
  <c r="D70" i="7"/>
  <c r="E70" i="7"/>
  <c r="D71" i="7"/>
  <c r="E71" i="7"/>
  <c r="D72" i="7"/>
  <c r="C43" i="7"/>
  <c r="G43" i="7" s="1"/>
  <c r="C44" i="7"/>
  <c r="G44" i="7" s="1"/>
  <c r="C45" i="7"/>
  <c r="G45" i="7" s="1"/>
  <c r="C46" i="7"/>
  <c r="G46" i="7" s="1"/>
  <c r="C47" i="7"/>
  <c r="G47" i="7" s="1"/>
  <c r="C48" i="7"/>
  <c r="G48" i="7" s="1"/>
  <c r="C49" i="7"/>
  <c r="G49" i="7" s="1"/>
  <c r="C50" i="7"/>
  <c r="G50" i="7" s="1"/>
  <c r="C51" i="7"/>
  <c r="G51" i="7" s="1"/>
  <c r="C52" i="7"/>
  <c r="G52" i="7" s="1"/>
  <c r="C53" i="7"/>
  <c r="G53" i="7" s="1"/>
  <c r="C54" i="7"/>
  <c r="G54" i="7" s="1"/>
  <c r="C55" i="7"/>
  <c r="G55" i="7" s="1"/>
  <c r="C56" i="7"/>
  <c r="G56" i="7" s="1"/>
  <c r="C57" i="7"/>
  <c r="G57" i="7" s="1"/>
  <c r="C58" i="7"/>
  <c r="G58" i="7" s="1"/>
  <c r="C59" i="7"/>
  <c r="G59" i="7" s="1"/>
  <c r="C60" i="7"/>
  <c r="G60" i="7" s="1"/>
  <c r="C61" i="7"/>
  <c r="G61" i="7" s="1"/>
  <c r="C62" i="7"/>
  <c r="G62" i="7" s="1"/>
  <c r="C63" i="7"/>
  <c r="G63" i="7" s="1"/>
  <c r="C64" i="7"/>
  <c r="G64" i="7" s="1"/>
  <c r="C65" i="7"/>
  <c r="G65" i="7" s="1"/>
  <c r="C66" i="7"/>
  <c r="G66" i="7" s="1"/>
  <c r="C67" i="7"/>
  <c r="G67" i="7" s="1"/>
  <c r="C68" i="7"/>
  <c r="G68" i="7" s="1"/>
  <c r="C69" i="7"/>
  <c r="G69" i="7" s="1"/>
  <c r="C70" i="7"/>
  <c r="G70" i="7" s="1"/>
  <c r="C71" i="7"/>
  <c r="G71" i="7" s="1"/>
  <c r="C72" i="7"/>
  <c r="G72" i="7" s="1"/>
  <c r="K73" i="7"/>
  <c r="L73" i="7"/>
  <c r="O73" i="7"/>
  <c r="J73" i="7"/>
  <c r="D10" i="11" l="1"/>
  <c r="D69" i="11" l="1"/>
  <c r="D68" i="11"/>
  <c r="D67" i="11"/>
  <c r="D66" i="11"/>
  <c r="D65" i="11"/>
  <c r="D64" i="11"/>
  <c r="D63" i="11"/>
  <c r="D62" i="11"/>
  <c r="D61" i="11"/>
  <c r="D60" i="11"/>
  <c r="D59" i="11"/>
  <c r="D58" i="11"/>
  <c r="D54" i="11"/>
  <c r="D53" i="11"/>
  <c r="D52" i="11"/>
  <c r="D51" i="11"/>
  <c r="D50" i="11"/>
  <c r="D49" i="11"/>
  <c r="D48" i="11"/>
  <c r="D47" i="11"/>
  <c r="D46" i="11"/>
  <c r="D45" i="11"/>
  <c r="D44" i="11"/>
  <c r="D43"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tc={6802E9F9-797F-4C6D-887D-9D3654F6AE12}</author>
    <author>tc={8607B3B9-7327-4C37-AA94-C670ECD989CF}</author>
    <author>tc={566AB347-9F24-4EBF-9FDA-CF75B2D0F9B8}</author>
    <author>tc={D84CE8D1-B5F7-4CBD-961E-26EC0BC5ED73}</author>
    <author>tc={A3AF629B-8C92-4EDB-89FC-2C72C4787373}</author>
    <author>tc={4A67B7E6-F5E2-4A76-8F4B-7A2468826A84}</author>
    <author>tc={E7DF0160-25CF-498A-B9F6-78250F98C33F}</author>
    <author>tc={1E4279D3-8FEC-412B-9BFE-167377FCAAB9}</author>
    <author>tc={53CBA972-DFC3-45B3-B8AC-A5F4E3DEA711}</author>
    <author>tc={675CADD5-4E9A-40A9-8D52-495DFB8061C8}</author>
    <author>tc={F444EB0B-FC9C-4822-970B-34EAF9CE553E}</author>
    <author>tc={A4E3A391-E5D3-41AF-98DD-B260845894F4}</author>
    <author>tc={71A65E94-FF15-42AA-80DA-4DFE0E7986C3}</author>
    <author>tc={EA93AEF5-1DE7-4DE4-9A3B-4B277FC89A59}</author>
    <author>tc={1C3135D3-8CAC-43D9-8F58-95F59D76586E}</author>
    <author>tc={E673E20C-9512-4C86-A4FF-AD0EF6A3148F}</author>
    <author>tc={5409EE68-112A-49BA-B148-1C72AAAFC06F}</author>
    <author>tc={B87FD40D-F41E-4F0A-981D-90FA40DC59F0}</author>
    <author>tc={44F7D79D-ED01-4636-9EC2-66A6F2F9B5A8}</author>
    <author>tc={38D27BB7-73F2-476B-8750-4B7B7EC8C03F}</author>
  </authors>
  <commentList>
    <comment ref="B3" authorId="0" shapeId="0" xr:uid="{6802E9F9-797F-4C6D-887D-9D3654F6AE12}">
      <text>
        <t>[Comentário encadeado]
Sua versão do Excel permite que você leia este comentário encadeado, no entanto, as edições serão removidas se o arquivo for aberto em uma versão mais recente do Excel. Saiba mais: https://go.microsoft.com/fwlink/?linkid=870924
Comentário:
    Change from a_dom to a_dom_elec to avoid doublons</t>
      </text>
    </comment>
    <comment ref="A16" authorId="1" shapeId="0" xr:uid="{8607B3B9-7327-4C37-AA94-C670ECD989CF}">
      <text>
        <t>[Comentário encadeado]
Sua versão do Excel permite que você leia este comentário encadeado, no entanto, as edições serão removidas se o arquivo for aberto em uma versão mais recente do Excel. Saiba mais: https://go.microsoft.com/fwlink/?linkid=870924
Comentário:
    Appear twice const and constr is the same in original electricity file</t>
      </text>
    </comment>
    <comment ref="A69" authorId="2" shapeId="0" xr:uid="{566AB347-9F24-4EBF-9FDA-CF75B2D0F9B8}">
      <text>
        <t>[Comentário encadeado]
Sua versão do Excel permite que você leia este comentário encadeado, no entanto, as edições serão removidas se o arquivo for aberto em uma versão mais recente do Excel. Saiba mais: https://go.microsoft.com/fwlink/?linkid=870924
Comentário:
    Couldn’t find the variable.WHY?</t>
      </text>
    </comment>
    <comment ref="A78" authorId="3" shapeId="0" xr:uid="{D84CE8D1-B5F7-4CBD-961E-26EC0BC5ED7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Difference with the one before ? </t>
      </text>
    </comment>
    <comment ref="A86" authorId="4" shapeId="0" xr:uid="{A3AF629B-8C92-4EDB-89FC-2C72C4787373}">
      <text>
        <t>[Comentário encadeado]
Sua versão do Excel permite que você leia este comentário encadeado, no entanto, as edições serão removidas se o arquivo for aberto em uma versão mais recente do Excel. Saiba mais: https://go.microsoft.com/fwlink/?linkid=870924
Comentário:
    There are two identity matrixes, we have to  delete one</t>
      </text>
    </comment>
    <comment ref="A87" authorId="5" shapeId="0" xr:uid="{4A67B7E6-F5E2-4A76-8F4B-7A2468826A8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There are two, we have to delete one
</t>
      </text>
    </comment>
    <comment ref="A91" authorId="6" shapeId="0" xr:uid="{E7DF0160-25CF-498A-B9F6-78250F98C33F}">
      <text>
        <t>[Comentário encadeado]
Sua versão do Excel permite que você leia este comentário encadeado, no entanto, as edições serão removidas se o arquivo for aberto em uma versão mais recente do Excel. Saiba mais: https://go.microsoft.com/fwlink/?linkid=870924
Comentário:
    One missing name ALPHA
Responder:
    Variables are defined lines by lines, we have to add them</t>
      </text>
    </comment>
    <comment ref="A108" authorId="7" shapeId="0" xr:uid="{1E4279D3-8FEC-412B-9BFE-167377FCAAB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Not properly named in the file
</t>
      </text>
    </comment>
    <comment ref="A109" authorId="8" shapeId="0" xr:uid="{53CBA972-DFC3-45B3-B8AC-A5F4E3DEA711}">
      <text>
        <t>[Comentário encadeado]
Sua versão do Excel permite que você leia este comentário encadeado, no entanto, as edições serão removidas se o arquivo for aberto em uma versão mais recente do Excel. Saiba mais: https://go.microsoft.com/fwlink/?linkid=870924
Comentário:
    the name doesn’t match</t>
      </text>
    </comment>
    <comment ref="A110" authorId="9" shapeId="0" xr:uid="{675CADD5-4E9A-40A9-8D52-495DFB8061C8}">
      <text>
        <t>[Comentário encadeado]
Sua versão do Excel permite que você leia este comentário encadeado, no entanto, as edições serão removidas se o arquivo for aberto em uma versão mais recente do Excel. Saiba mais: https://go.microsoft.com/fwlink/?linkid=870924
Comentário:
    The name doesn’t match</t>
      </text>
    </comment>
    <comment ref="A143" authorId="10" shapeId="0" xr:uid="{F444EB0B-FC9C-4822-970B-34EAF9CE553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Same for cat share NO range names
</t>
      </text>
    </comment>
    <comment ref="A147" authorId="11" shapeId="0" xr:uid="{A4E3A391-E5D3-41AF-98DD-B260845894F4}">
      <text>
        <t>[Comentário encadeado]
Sua versão do Excel permite que você leia este comentário encadeado, no entanto, as edições serão removidas se o arquivo for aberto em uma versão mais recente do Excel. Saiba mais: https://go.microsoft.com/fwlink/?linkid=870924
Comentário:
    I_MATR is the same as I MAT&gt;&gt;delete one</t>
      </text>
    </comment>
    <comment ref="A165" authorId="12" shapeId="0" xr:uid="{71A65E94-FF15-42AA-80DA-4DFE0E7986C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One not named in the sheet Energy
</t>
      </text>
    </comment>
    <comment ref="A196" authorId="13" shapeId="0" xr:uid="{EA93AEF5-1DE7-4DE4-9A3B-4B277FC89A59}">
      <text>
        <t>[Comentário encadeado]
Sua versão do Excel permite que você leia este comentário encadeado, no entanto, as edições serão removidas se o arquivo for aberto em uma versão mais recente do Excel. Saiba mais: https://go.microsoft.com/fwlink/?linkid=870924
Comentário:
    Ask till if these is used in the model</t>
      </text>
    </comment>
    <comment ref="A198" authorId="14" shapeId="0" xr:uid="{1C3135D3-8CAC-43D9-8F58-95F59D76586E}">
      <text>
        <t>[Comentário encadeado]
Sua versão do Excel permite que você leia este comentário encadeado, no entanto, as edições serão removidas se o arquivo for aberto em uma versão mais recente do Excel. Saiba mais: https://go.microsoft.com/fwlink/?linkid=870924
Comentário:
    Ask ill if  these is used in the model</t>
      </text>
    </comment>
    <comment ref="A213" authorId="15" shapeId="0" xr:uid="{E673E20C-9512-4C86-A4FF-AD0EF6A3148F}">
      <text>
        <t>[Comentário encadeado]
Sua versão do Excel permite que você leia este comentário encadeado, no entanto, as edições serão removidas se o arquivo for aberto em uma versão mais recente do Excel. Saiba mais: https://go.microsoft.com/fwlink/?linkid=870924
Comentário:
    There are teo _ u mean pos norm and u mean neg norm. Which one?</t>
      </text>
    </comment>
    <comment ref="A214" authorId="16" shapeId="0" xr:uid="{5409EE68-112A-49BA-B148-1C72AAAFC06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 column D for many of the following
</t>
      </text>
    </comment>
    <comment ref="A216" authorId="17" shapeId="0" xr:uid="{B87FD40D-F41E-4F0A-981D-90FA40DC59F0}">
      <text>
        <t>[Comentário encadeado]
Sua versão do Excel permite que você leia este comentário encadeado, no entanto, as edições serão removidas se o arquivo for aberto em uma versão mais recente do Excel. Saiba mais: https://go.microsoft.com/fwlink/?linkid=870924
Comentário:
    Same as the previous vaeriable</t>
      </text>
    </comment>
    <comment ref="A219" authorId="18" shapeId="0" xr:uid="{44F7D79D-ED01-4636-9EC2-66A6F2F9B5A8}">
      <text>
        <t>[Comentário encadeado]
Sua versão do Excel permite que você leia este comentário encadeado, no entanto, as edições serão removidas se o arquivo for aberto em uma versão mais recente do Excel. Saiba mais: https://go.microsoft.com/fwlink/?linkid=870924
Comentário:
    Same as before</t>
      </text>
    </comment>
    <comment ref="A235" authorId="19" shapeId="0" xr:uid="{38D27BB7-73F2-476B-8750-4B7B7EC8C03F}">
      <text>
        <t>[Comentário encadeado]
Sua versão do Excel permite que você leia este comentário encadeado, no entanto, as edições serão removidas se o arquivo for aberto em uma versão mais recente do Excel. Saiba mais: https://go.microsoft.com/fwlink/?linkid=870924
Comentário:
    There are two, we have to delete one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tc={56B885C1-CC2E-48DE-94CE-5567F061E255}</author>
    <author>tc={79031966-C440-4631-AC93-46628BC7E84C}</author>
    <author>tc={B255E062-137D-4609-9DB1-8A428A228BCB}</author>
    <author>tc={908D53F3-4E35-4A0B-9197-69FCEFA78013}</author>
    <author>tc={B8883210-98F1-425A-89C9-DF106DF60336}</author>
    <author>tc={C7E9B321-3B17-44FD-8D2C-DC1B7E203AED}</author>
  </authors>
  <commentList>
    <comment ref="F3" authorId="0" shapeId="0" xr:uid="{56B885C1-CC2E-48DE-94CE-5567F061E255}">
      <text>
        <t>[Comentário encadeado]
Sua versão do Excel permite que você leia este comentário encadeado, no entanto, as edições serão removidas se o arquivo for aberto em uma versão mais recente do Excel. Saiba mais: https://go.microsoft.com/fwlink/?linkid=870924
Comentário:
    No name in the original file</t>
      </text>
    </comment>
    <comment ref="E24" authorId="1" shapeId="0" xr:uid="{79031966-C440-4631-AC93-46628BC7E84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 name in the original file
</t>
      </text>
    </comment>
    <comment ref="F24" authorId="2" shapeId="0" xr:uid="{B255E062-137D-4609-9DB1-8A428A228BCB}">
      <text>
        <t>[Comentário encadeado]
Sua versão do Excel permite que você leia este comentário encadeado, no entanto, as edições serão removidas se o arquivo for aberto em uma versão mais recente do Excel. Saiba mais: https://go.microsoft.com/fwlink/?linkid=870924
Comentário:
    No name in the original file</t>
      </text>
    </comment>
    <comment ref="D45" authorId="3" shapeId="0" xr:uid="{908D53F3-4E35-4A0B-9197-69FCEFA78013}">
      <text>
        <t>[Comentário encadeado]
Sua versão do Excel permite que você leia este comentário encadeado, no entanto, as edições serão removidas se o arquivo for aberto em uma versão mais recente do Excel. Saiba mais: https://go.microsoft.com/fwlink/?linkid=870924
Comentário:
    No name in the original file</t>
      </text>
    </comment>
    <comment ref="E45" authorId="4" shapeId="0" xr:uid="{B8883210-98F1-425A-89C9-DF106DF60336}">
      <text>
        <t>[Comentário encadeado]
Sua versão do Excel permite que você leia este comentário encadeado, no entanto, as edições serão removidas se o arquivo for aberto em uma versão mais recente do Excel. Saiba mais: https://go.microsoft.com/fwlink/?linkid=870924
Comentário:
    No name in the original file</t>
      </text>
    </comment>
    <comment ref="F45" authorId="5" shapeId="0" xr:uid="{C7E9B321-3B17-44FD-8D2C-DC1B7E203AED}">
      <text>
        <t>[Comentário encadeado]
Sua versão do Excel permite que você leia este comentário encadeado, no entanto, as edições serão removidas se o arquivo for aberto em uma versão mais recente do Excel. Saiba mais: https://go.microsoft.com/fwlink/?linkid=870924
Comentário:
    No name in the original file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tc={5F99BF05-D821-4BC6-85DD-241BA319F2F9}</author>
  </authors>
  <commentList>
    <comment ref="A110" authorId="0" shapeId="0" xr:uid="{5F99BF05-D821-4BC6-85DD-241BA319F2F9}">
      <text>
        <t>[Comentário encadeado]
Sua versão do Excel permite que você leia este comentário encadeado, no entanto, as edições serão removidas se o arquivo for aberto em uma versão mais recente do Excel. Saiba mais: https://go.microsoft.com/fwlink/?linkid=870924
Comentário:
    Remove covid years?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tc={2E8293AE-9D08-439C-95FC-9C592FB7E170}</author>
    <author>tc={1FEE1D89-2052-4090-8A17-D61AF206DD10}</author>
    <author>tc={469A1EF7-E2B3-4DB3-A371-5F925E9C2857}</author>
  </authors>
  <commentList>
    <comment ref="E8" authorId="0" shapeId="0" xr:uid="{2E8293AE-9D08-439C-95FC-9C592FB7E17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Distribution of trade and transport </t>
      </text>
    </comment>
    <comment ref="D9" authorId="1" shapeId="0" xr:uid="{1FEE1D89-2052-4090-8A17-D61AF206DD1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Trade and transport margin paid by consumer </t>
      </text>
    </comment>
    <comment ref="F9" authorId="2" shapeId="0" xr:uid="{469A1EF7-E2B3-4DB3-A371-5F925E9C285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Tax rate less subsidy on products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tc={05A31AF7-4D1D-4AA2-B650-F0AC671EB2D5}</author>
  </authors>
  <commentList>
    <comment ref="D128" authorId="0" shapeId="0" xr:uid="{05A31AF7-4D1D-4AA2-B650-F0AC671EB2D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 range name in original file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tc={C7E39FDA-499E-4EB5-B251-DCC77AC96D5F}</author>
  </authors>
  <commentList>
    <comment ref="B3" authorId="0" shapeId="0" xr:uid="{C7E39FDA-499E-4EB5-B251-DCC77AC96D5F}">
      <text>
        <t>[Comentário encadeado]
Sua versão do Excel permite que você leia este comentário encadeado, no entanto, as edições serão removidas se o arquivo for aberto em uma versão mais recente do Excel. Saiba mais: https://go.microsoft.com/fwlink/?linkid=870924
Comentário:
    I changed this to 2010 prices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tc={C5718121-944D-491D-B5B0-163DDB037711}</author>
    <author>tc={F3F46B87-C80A-4304-81BC-6EB4C3E8F4EA}</author>
    <author>tc={559F93D4-467B-4F52-BB65-AFE117506F7C}</author>
    <author>tc={E1531D21-32CC-4CB9-B37F-96F86531D983}</author>
  </authors>
  <commentList>
    <comment ref="F8" authorId="0" shapeId="0" xr:uid="{C5718121-944D-491D-B5B0-163DDB037711}">
      <text>
        <t>[Comentário encadeado]
Sua versão do Excel permite que você leia este comentário encadeado, no entanto, as edições serão removidas se o arquivo for aberto em uma versão mais recente do Excel. Saiba mais: https://go.microsoft.com/fwlink/?linkid=870924
Comentário:
    Number of people receiving benefits. 2145e is a rough estimate, check later</t>
      </text>
    </comment>
    <comment ref="D15" authorId="1" shapeId="0" xr:uid="{F3F46B87-C80A-4304-81BC-6EB4C3E8F4EA}">
      <text>
        <t>[Comentário encadeado]
Sua versão do Excel permite que você leia este comentário encadeado, no entanto, as edições serão removidas se o arquivo for aberto em uma versão mais recente do Excel. Saiba mais: https://go.microsoft.com/fwlink/?linkid=870924
Comentário:
    Yellow missing values for GOV were estimated assuming same fraction of total as HH</t>
      </text>
    </comment>
    <comment ref="G33" authorId="2" shapeId="0" xr:uid="{559F93D4-467B-4F52-BB65-AFE117506F7C}">
      <text>
        <t>[Comentário encadeado]
Sua versão do Excel permite que você leia este comentário encadeado, no entanto, as edições serão removidas se o arquivo for aberto em uma versão mais recente do Excel. Saiba mais: https://go.microsoft.com/fwlink/?linkid=870924
Comentário:
    Raw data, thresholds and %</t>
      </text>
    </comment>
    <comment ref="C56" authorId="3" shapeId="0" xr:uid="{E1531D21-32CC-4CB9-B37F-96F86531D983}">
      <text>
        <t>[Comentário encadeado]
Sua versão do Excel permite que você leia este comentário encadeado, no entanto, as edições serão removidas se o arquivo for aberto em uma versão mais recente do Excel. Saiba mais: https://go.microsoft.com/fwlink/?linkid=870924
Comentário:
    Archive data, no data after 2016</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tc={0E6F782F-ACF0-42F2-80F0-351DD2ED9E80}</author>
    <author>tc={7A5A796D-1143-4D78-A92B-1E2EA5B1282A}</author>
    <author>tc={33D17538-6BC5-414E-BD7D-D6592A91E530}</author>
  </authors>
  <commentList>
    <comment ref="AC89" authorId="0" shapeId="0" xr:uid="{0E6F782F-ACF0-42F2-80F0-351DD2ED9E80}">
      <text>
        <t>[Comentário encadeado]
Sua versão do Excel permite que você leia este comentário encadeado, no entanto, as edições serão removidas se o arquivo for aberto em uma versão mais recente do Excel. Saiba mais: https://go.microsoft.com/fwlink/?linkid=870924
Comentário:
    No specific names</t>
      </text>
    </comment>
    <comment ref="AC144" authorId="1" shapeId="0" xr:uid="{7A5A796D-1143-4D78-A92B-1E2EA5B1282A}">
      <text>
        <t>[Comentário encadeado]
Sua versão do Excel permite que você leia este comentário encadeado, no entanto, as edições serão removidas se o arquivo for aberto em uma versão mais recente do Excel. Saiba mais: https://go.microsoft.com/fwlink/?linkid=870924
Comentário:
    No specific names</t>
      </text>
    </comment>
    <comment ref="B148" authorId="2" shapeId="0" xr:uid="{33D17538-6BC5-414E-BD7D-D6592A91E53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 RANGE NAME FOR THOSE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tc={8DEB6110-1528-4F36-AA9C-CC19ADFBAF65}</author>
  </authors>
  <commentList>
    <comment ref="C3" authorId="0" shapeId="0" xr:uid="{8DEB6110-1528-4F36-AA9C-CC19ADFBAF65}">
      <text>
        <t>[Comentário encadeado]
Sua versão do Excel permite que você leia este comentário encadeado, no entanto, as edições serão removidas se o arquivo for aberto em uma versão mais recente do Excel. Saiba mais: https://go.microsoft.com/fwlink/?linkid=870924
Comentário:
    No specific names for migration</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tc={B324597F-B513-4EA7-80C3-D7FAEAD60A82}</author>
  </authors>
  <commentList>
    <comment ref="C219" authorId="0" shapeId="0" xr:uid="{B324597F-B513-4EA7-80C3-D7FAEAD60A82}">
      <text>
        <t>[Comentário encadeado]
Sua versão do Excel permite que você leia este comentário encadeado, no entanto, as edições serão removidas se o arquivo for aberto em uma versão mais recente do Excel. Saiba mais: https://go.microsoft.com/fwlink/?linkid=870924
Comentário:
    No name in original file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<sst xmlns="http://schemas.openxmlformats.org/spreadsheetml/2006/main" count="7827" uniqueCount="1591">
  <si>
    <t>Data country</t>
  </si>
  <si>
    <t>Sheets</t>
  </si>
  <si>
    <t>Category</t>
  </si>
  <si>
    <t>Sheet link</t>
  </si>
  <si>
    <t>Description</t>
  </si>
  <si>
    <t>Economy</t>
  </si>
  <si>
    <t>Input-output tables and sectoral data</t>
  </si>
  <si>
    <t>Data on imports and exports</t>
  </si>
  <si>
    <t>Inflation-related data</t>
  </si>
  <si>
    <t>Consumption expenditure related data</t>
  </si>
  <si>
    <t>Data on elasticity estimates</t>
  </si>
  <si>
    <t>Data on capital formation and investments</t>
  </si>
  <si>
    <t>Wealth and interest rate</t>
  </si>
  <si>
    <t>Labor market data including employment and wages</t>
  </si>
  <si>
    <t>Government spending and tax revenues</t>
  </si>
  <si>
    <t>Data on productivity</t>
  </si>
  <si>
    <t>Demography</t>
  </si>
  <si>
    <t>Data on time use</t>
  </si>
  <si>
    <t>Population, age, and demographic structure and trends</t>
  </si>
  <si>
    <t>Data on migration patterns</t>
  </si>
  <si>
    <t>Environment</t>
  </si>
  <si>
    <t>Data on energy production, consumption, and efficiency</t>
  </si>
  <si>
    <t>Data on electricity generation, distribution, and consumption</t>
  </si>
  <si>
    <t>Data on greenhouse gas emissions from economic activity</t>
  </si>
  <si>
    <t>Data on emissions trading systems and policies</t>
  </si>
  <si>
    <t>Climate change projections</t>
  </si>
  <si>
    <t>Species richness related data</t>
  </si>
  <si>
    <t>Ecosystem services related data</t>
  </si>
  <si>
    <t>Data on the drivers of biodiversity loss and ecological degradation</t>
  </si>
  <si>
    <t xml:space="preserve"> </t>
  </si>
  <si>
    <t>Model abbreviation</t>
  </si>
  <si>
    <t>A1</t>
  </si>
  <si>
    <t>agriculture</t>
  </si>
  <si>
    <t>A2</t>
  </si>
  <si>
    <t>forestry</t>
  </si>
  <si>
    <t>A3</t>
  </si>
  <si>
    <t>fishing</t>
  </si>
  <si>
    <t>B</t>
  </si>
  <si>
    <t>mining</t>
  </si>
  <si>
    <t>C10_12</t>
  </si>
  <si>
    <t>manu_food</t>
  </si>
  <si>
    <t>C13_15</t>
  </si>
  <si>
    <t>manu_clothing</t>
  </si>
  <si>
    <t>C16_17</t>
  </si>
  <si>
    <t>manu_forest</t>
  </si>
  <si>
    <t>C18</t>
  </si>
  <si>
    <t>C20_22</t>
  </si>
  <si>
    <t>manu_chemical</t>
  </si>
  <si>
    <t>C19</t>
  </si>
  <si>
    <t>manu_petroleum</t>
  </si>
  <si>
    <t>C23</t>
  </si>
  <si>
    <t>manu_mineral</t>
  </si>
  <si>
    <t xml:space="preserve">C24_33 </t>
  </si>
  <si>
    <t>manu_metal</t>
  </si>
  <si>
    <t xml:space="preserve">C26_27 </t>
  </si>
  <si>
    <t>manu_electrical</t>
  </si>
  <si>
    <t>C31_32</t>
  </si>
  <si>
    <t>manu_furniture</t>
  </si>
  <si>
    <t>D</t>
  </si>
  <si>
    <t>Electricity</t>
  </si>
  <si>
    <t>electricity</t>
  </si>
  <si>
    <t>E</t>
  </si>
  <si>
    <t>water</t>
  </si>
  <si>
    <t>F</t>
  </si>
  <si>
    <t>construction</t>
  </si>
  <si>
    <t>G</t>
  </si>
  <si>
    <t>trade</t>
  </si>
  <si>
    <t>H</t>
  </si>
  <si>
    <t>transport</t>
  </si>
  <si>
    <t>I</t>
  </si>
  <si>
    <t>accommodation</t>
  </si>
  <si>
    <t>J</t>
  </si>
  <si>
    <t>ict</t>
  </si>
  <si>
    <t>K</t>
  </si>
  <si>
    <t>finance</t>
  </si>
  <si>
    <t>L</t>
  </si>
  <si>
    <t>realestate</t>
  </si>
  <si>
    <t>M_N</t>
  </si>
  <si>
    <t>serv_prof</t>
  </si>
  <si>
    <t>M_N_72</t>
  </si>
  <si>
    <t>serv_science</t>
  </si>
  <si>
    <t>M_N_73</t>
  </si>
  <si>
    <t>serv_advertising</t>
  </si>
  <si>
    <t>O</t>
  </si>
  <si>
    <t>public</t>
  </si>
  <si>
    <t>P</t>
  </si>
  <si>
    <t>Education</t>
  </si>
  <si>
    <t>education</t>
  </si>
  <si>
    <t>Q</t>
  </si>
  <si>
    <t>Health</t>
  </si>
  <si>
    <t>health</t>
  </si>
  <si>
    <t>R</t>
  </si>
  <si>
    <t>entertainment</t>
  </si>
  <si>
    <t>S95</t>
  </si>
  <si>
    <t>serv_repair</t>
  </si>
  <si>
    <t>ST</t>
  </si>
  <si>
    <t>Consumption categories</t>
  </si>
  <si>
    <t>COICOP code</t>
  </si>
  <si>
    <t>Matching Cazcarro et al. 2022 categories</t>
  </si>
  <si>
    <t>CP01</t>
  </si>
  <si>
    <t>Food and non-alcoholic beverages</t>
  </si>
  <si>
    <t>CP011, CP012</t>
  </si>
  <si>
    <t>CP02</t>
  </si>
  <si>
    <t>Alcoholic beverages, tobacco and narcotics</t>
  </si>
  <si>
    <t>CP021, CP022, CP023</t>
  </si>
  <si>
    <t>CP03</t>
  </si>
  <si>
    <t>Clothing and footwear</t>
  </si>
  <si>
    <t>CP031, CP032</t>
  </si>
  <si>
    <t>CP041 – 043</t>
  </si>
  <si>
    <t>CP041, CP042, CP043</t>
  </si>
  <si>
    <t>CP044</t>
  </si>
  <si>
    <t>Water supply and miscellaneous services relating to the dwelling</t>
  </si>
  <si>
    <t>CP045</t>
  </si>
  <si>
    <t>Electricity, gas and other fuels</t>
  </si>
  <si>
    <t>CP05</t>
  </si>
  <si>
    <t>Furnishings, household equipment and routine household maintenance</t>
  </si>
  <si>
    <t>CP06</t>
  </si>
  <si>
    <t>CP061, CP062, CP063</t>
  </si>
  <si>
    <t>CP071 – 072</t>
  </si>
  <si>
    <t>Private transport</t>
  </si>
  <si>
    <t>CP071, CP072</t>
  </si>
  <si>
    <t>CP073</t>
  </si>
  <si>
    <t>Transport services</t>
  </si>
  <si>
    <t>CP08</t>
  </si>
  <si>
    <t>Communications</t>
  </si>
  <si>
    <t>CP081, CP082, CP083</t>
  </si>
  <si>
    <t>CP09</t>
  </si>
  <si>
    <t>Recreation and culture</t>
  </si>
  <si>
    <t>CP091, CP092, CP093, CP094, CP095, CP096</t>
  </si>
  <si>
    <t>CP10</t>
  </si>
  <si>
    <t>CP101, CP102, CP103, CP104, CP105</t>
  </si>
  <si>
    <t>CP11</t>
  </si>
  <si>
    <t>Restaurants and hotels</t>
  </si>
  <si>
    <t>CP111, CP112</t>
  </si>
  <si>
    <t>CP121</t>
  </si>
  <si>
    <t>CP122 – 127</t>
  </si>
  <si>
    <t>Other</t>
  </si>
  <si>
    <t>CP122, CP123, CP124, CP125, CP126, CP127</t>
  </si>
  <si>
    <t>GFCF</t>
  </si>
  <si>
    <t>A</t>
  </si>
  <si>
    <t>C</t>
  </si>
  <si>
    <t>C29</t>
  </si>
  <si>
    <t>D1</t>
  </si>
  <si>
    <t>D2</t>
  </si>
  <si>
    <t>D3</t>
  </si>
  <si>
    <t>J_R_S</t>
  </si>
  <si>
    <t>H_M_N</t>
  </si>
  <si>
    <t>T</t>
  </si>
  <si>
    <t>dom</t>
  </si>
  <si>
    <t>EXP</t>
  </si>
  <si>
    <t>imp</t>
  </si>
  <si>
    <t>import shares</t>
  </si>
  <si>
    <t>Z imp</t>
  </si>
  <si>
    <t>TOT</t>
  </si>
  <si>
    <t>IMP</t>
  </si>
  <si>
    <t>(with ind 18)</t>
  </si>
  <si>
    <t>Note additiona industry</t>
  </si>
  <si>
    <t>Final demand shares (elementwise ratio between f_imp and f_tot)</t>
  </si>
  <si>
    <t>Sector</t>
  </si>
  <si>
    <t>f_HH_imp/f_HH_tot</t>
  </si>
  <si>
    <t>f_gov_imp/f_gov_tot</t>
  </si>
  <si>
    <t>f_gfcf_imp/f_gfcf_tot</t>
  </si>
  <si>
    <t>f_hh_tot</t>
  </si>
  <si>
    <t>HH IMP</t>
  </si>
  <si>
    <t>GOV IMP</t>
  </si>
  <si>
    <t>GFCF IMP</t>
  </si>
  <si>
    <t>P3/S14 Final consumption expenditure by households on imports in 2010 (total)</t>
  </si>
  <si>
    <t>Intermediate trade ratios (elementwise ratio between Z_imp and Z_dom)</t>
  </si>
  <si>
    <t>Export trends (linear or polynomial regression model results for exports, per industry against year, 2010-2021)</t>
  </si>
  <si>
    <t>serv_serv</t>
  </si>
  <si>
    <t>Intercept</t>
  </si>
  <si>
    <t>Trend</t>
  </si>
  <si>
    <t>Slope (Linear or Poly Term 1)</t>
  </si>
  <si>
    <t>Quadratic Term (Poly only)</t>
  </si>
  <si>
    <t>R-squared</t>
  </si>
  <si>
    <t>Significance</t>
  </si>
  <si>
    <t>P-value</t>
  </si>
  <si>
    <t>Model Used</t>
  </si>
  <si>
    <t>Polynomial</t>
  </si>
  <si>
    <t>Linear</t>
  </si>
  <si>
    <t>Polynomial Degree</t>
  </si>
  <si>
    <t>Initial inflation rate (2010)</t>
  </si>
  <si>
    <t>pp_bp</t>
  </si>
  <si>
    <t>%m</t>
  </si>
  <si>
    <t>ttm shares</t>
  </si>
  <si>
    <t>%t</t>
  </si>
  <si>
    <t>q1</t>
  </si>
  <si>
    <t>q2</t>
  </si>
  <si>
    <t>q3</t>
  </si>
  <si>
    <t>q4</t>
  </si>
  <si>
    <t>q5</t>
  </si>
  <si>
    <t>2012</t>
  </si>
  <si>
    <t>Total</t>
  </si>
  <si>
    <t>V</t>
  </si>
  <si>
    <t>VI</t>
  </si>
  <si>
    <t>Bridge matrix to convert elasticities in coicop to elasticities in industries, and to convert consumption per coicop in consumption per industry</t>
  </si>
  <si>
    <t>CP041_043</t>
  </si>
  <si>
    <t>CP071_072</t>
  </si>
  <si>
    <t>CP122_127</t>
  </si>
  <si>
    <t>Bridge matrix to convert consumption shares in coicop to consumption shares in industries</t>
  </si>
  <si>
    <t>Initial total consumption per coicop category</t>
  </si>
  <si>
    <t>y_rq_mean_adjna</t>
  </si>
  <si>
    <t>min</t>
  </si>
  <si>
    <t>max</t>
  </si>
  <si>
    <t>Piemonte</t>
  </si>
  <si>
    <t>Lombardia</t>
  </si>
  <si>
    <t>Trentino</t>
  </si>
  <si>
    <t>Veneto</t>
  </si>
  <si>
    <t>Friuli</t>
  </si>
  <si>
    <t>Liguria</t>
  </si>
  <si>
    <t>Toscana</t>
  </si>
  <si>
    <t>Umbria</t>
  </si>
  <si>
    <t>Marche</t>
  </si>
  <si>
    <t>Lazio</t>
  </si>
  <si>
    <t>Abruzzo</t>
  </si>
  <si>
    <t>Molise</t>
  </si>
  <si>
    <t>Campania</t>
  </si>
  <si>
    <t>Puglia</t>
  </si>
  <si>
    <t>Basilicata~5</t>
  </si>
  <si>
    <t>Calabria</t>
  </si>
  <si>
    <t>Sicilia</t>
  </si>
  <si>
    <t>Sardegna</t>
  </si>
  <si>
    <t>alpha</t>
  </si>
  <si>
    <t>Valle d'Aosta</t>
  </si>
  <si>
    <t>Emilia Romagna</t>
  </si>
  <si>
    <t>Basilicata</t>
  </si>
  <si>
    <t>c_01</t>
  </si>
  <si>
    <t>c_02</t>
  </si>
  <si>
    <t>c_03</t>
  </si>
  <si>
    <t>c_041_043</t>
  </si>
  <si>
    <t>c_044</t>
  </si>
  <si>
    <t>c_045</t>
  </si>
  <si>
    <t>c_05</t>
  </si>
  <si>
    <t>c_06</t>
  </si>
  <si>
    <t>c_071_072</t>
  </si>
  <si>
    <t>c_073</t>
  </si>
  <si>
    <t>c_08</t>
  </si>
  <si>
    <t>c_09</t>
  </si>
  <si>
    <t>c_10</t>
  </si>
  <si>
    <t>c_11</t>
  </si>
  <si>
    <t xml:space="preserve">c_121 </t>
  </si>
  <si>
    <t xml:space="preserve">c_122_127 </t>
  </si>
  <si>
    <t>Piemonte_q1</t>
  </si>
  <si>
    <t>Valle_d'Ao~1</t>
  </si>
  <si>
    <t>Lombardia_q1</t>
  </si>
  <si>
    <t>Trentino_q1</t>
  </si>
  <si>
    <t>Veneto_q1</t>
  </si>
  <si>
    <t>Friuli_q1</t>
  </si>
  <si>
    <t>Liguria_q1</t>
  </si>
  <si>
    <t>Emilia_Rom~1</t>
  </si>
  <si>
    <t>Toscana_q1</t>
  </si>
  <si>
    <t>Umbria_q1</t>
  </si>
  <si>
    <t>Marche_q1</t>
  </si>
  <si>
    <t>Lazio_q1</t>
  </si>
  <si>
    <t>Abruzzo_q1</t>
  </si>
  <si>
    <t>Molise_q1</t>
  </si>
  <si>
    <t>Campania_q1</t>
  </si>
  <si>
    <t>Puglia_q1</t>
  </si>
  <si>
    <t>Basilicata~1</t>
  </si>
  <si>
    <t>Calabria_q1</t>
  </si>
  <si>
    <t>Sicilia_q1</t>
  </si>
  <si>
    <t>Sardegna_q1</t>
  </si>
  <si>
    <t>Piemonte_q2</t>
  </si>
  <si>
    <t>Valle_d'Ao~2</t>
  </si>
  <si>
    <t>Lombardia_q2</t>
  </si>
  <si>
    <t>Trentino_q2</t>
  </si>
  <si>
    <t>Veneto_q2</t>
  </si>
  <si>
    <t>Friuli_q2</t>
  </si>
  <si>
    <t>Liguria_q2</t>
  </si>
  <si>
    <t>Emilia_Rom~2</t>
  </si>
  <si>
    <t>Toscana_q2</t>
  </si>
  <si>
    <t>Umbria_q2</t>
  </si>
  <si>
    <t>Marche_q2</t>
  </si>
  <si>
    <t>Lazio_q2</t>
  </si>
  <si>
    <t>Abruzzo_q2</t>
  </si>
  <si>
    <t>Molise_q2</t>
  </si>
  <si>
    <t>Campania_q2</t>
  </si>
  <si>
    <t>Puglia_q2</t>
  </si>
  <si>
    <t>Basilicata~2</t>
  </si>
  <si>
    <t>Calabria_q2</t>
  </si>
  <si>
    <t>Sicilia_q2</t>
  </si>
  <si>
    <t>Sardegna_q2</t>
  </si>
  <si>
    <t>Piemonte_q3</t>
  </si>
  <si>
    <t>Valle_d'Ao~3</t>
  </si>
  <si>
    <t>Lombardia_q3</t>
  </si>
  <si>
    <t>Trentino_q3</t>
  </si>
  <si>
    <t>Veneto_q3</t>
  </si>
  <si>
    <t>Friuli_q3</t>
  </si>
  <si>
    <t>Liguria_q3</t>
  </si>
  <si>
    <t>Emilia_Rom~3</t>
  </si>
  <si>
    <t>Toscana_q3</t>
  </si>
  <si>
    <t>Umbria_q3</t>
  </si>
  <si>
    <t>Marche_q3</t>
  </si>
  <si>
    <t>Lazio_q3</t>
  </si>
  <si>
    <t>Abruzzo_q3</t>
  </si>
  <si>
    <t>Molise_q3</t>
  </si>
  <si>
    <t>Campania_q3</t>
  </si>
  <si>
    <t>Puglia_q3</t>
  </si>
  <si>
    <t>Basilicata~3</t>
  </si>
  <si>
    <t>Calabria_q3</t>
  </si>
  <si>
    <t>Sicilia_q3</t>
  </si>
  <si>
    <t>Sardegna_q3</t>
  </si>
  <si>
    <t>Piemonte_q4</t>
  </si>
  <si>
    <t>Valle_d'Ao~4</t>
  </si>
  <si>
    <t>Lombardia_q4</t>
  </si>
  <si>
    <t>Trentino_q4</t>
  </si>
  <si>
    <t>Veneto_q4</t>
  </si>
  <si>
    <t>Friuli_q4</t>
  </si>
  <si>
    <t>Liguria_q4</t>
  </si>
  <si>
    <t>Emilia_Rom~4</t>
  </si>
  <si>
    <t>Toscana_q4</t>
  </si>
  <si>
    <t>Umbria_q4</t>
  </si>
  <si>
    <t>Marche_q4</t>
  </si>
  <si>
    <t>Lazio_q4</t>
  </si>
  <si>
    <t>Abruzzo_q4</t>
  </si>
  <si>
    <t>Molise_q4</t>
  </si>
  <si>
    <t>Campania_q4</t>
  </si>
  <si>
    <t>Puglia_q4</t>
  </si>
  <si>
    <t>Basilicata~4</t>
  </si>
  <si>
    <t>Calabria_q4</t>
  </si>
  <si>
    <t>Sicilia_q4</t>
  </si>
  <si>
    <t>Sardegna_q4</t>
  </si>
  <si>
    <t>Piemonte_q5</t>
  </si>
  <si>
    <t>Valle_d'Ao~5</t>
  </si>
  <si>
    <t>Lombardia_q5</t>
  </si>
  <si>
    <t>Trentino_q5</t>
  </si>
  <si>
    <t>Veneto_q5</t>
  </si>
  <si>
    <t>Friuli_q5</t>
  </si>
  <si>
    <t>Liguria_q5</t>
  </si>
  <si>
    <t>Emilia_Rom~5</t>
  </si>
  <si>
    <t>Toscana_q5</t>
  </si>
  <si>
    <t>Umbria_q5</t>
  </si>
  <si>
    <t>Marche_q5</t>
  </si>
  <si>
    <t>Lazio_q5</t>
  </si>
  <si>
    <t>Abruzzo_q5</t>
  </si>
  <si>
    <t>Molise_q5</t>
  </si>
  <si>
    <t>Campania_q5</t>
  </si>
  <si>
    <t>Puglia_q5</t>
  </si>
  <si>
    <t>Calabria_q5</t>
  </si>
  <si>
    <t>Sicilia_q5</t>
  </si>
  <si>
    <t>Sardegna_q5</t>
  </si>
  <si>
    <t>C29_30</t>
  </si>
  <si>
    <t>H49_51</t>
  </si>
  <si>
    <t>per adult national wealth</t>
  </si>
  <si>
    <t>% of national wealth by skill</t>
  </si>
  <si>
    <t>low</t>
  </si>
  <si>
    <t>middle</t>
  </si>
  <si>
    <t>high</t>
  </si>
  <si>
    <t>capitalists</t>
  </si>
  <si>
    <t>Initial interest rate</t>
  </si>
  <si>
    <t>Time</t>
  </si>
  <si>
    <t>Spread italy Bonds</t>
  </si>
  <si>
    <t>skill</t>
  </si>
  <si>
    <t>gender</t>
  </si>
  <si>
    <t>male</t>
  </si>
  <si>
    <t>female</t>
  </si>
  <si>
    <t>g lambda impact on skil shares</t>
  </si>
  <si>
    <t>mid</t>
  </si>
  <si>
    <t>hig</t>
  </si>
  <si>
    <t>employees social contribution</t>
  </si>
  <si>
    <t>NP 2010 ('Population by age group and sex 1960-2023 demo_pjangroup__custom_13219747_spreadsheet'"), 65+ male+female</t>
  </si>
  <si>
    <t>employers social contribution</t>
  </si>
  <si>
    <t>L 2010 ("Employment by Industry and Sex 2007-2022 001_115i_2022_20240608-144719”, Industries total 2010, Employed)</t>
  </si>
  <si>
    <t>BENEFITS</t>
  </si>
  <si>
    <t>Millions</t>
  </si>
  <si>
    <t>People</t>
  </si>
  <si>
    <t>SD per capita</t>
  </si>
  <si>
    <t>Working age pop total (18-64)</t>
  </si>
  <si>
    <t>D62OS 2010 ("Social benefits Eurostat COFOG 2000-2022 gov_10a_exp__custom_12289504_spreadsheet)", sheet 9 (old age) + sheet 12 (survivors)</t>
  </si>
  <si>
    <t>FC per child</t>
  </si>
  <si>
    <t>Children (0-17)</t>
  </si>
  <si>
    <t>ub coverage ratio</t>
  </si>
  <si>
    <t>GWB 2010 (D1 Compensation of employees from file 'Input Output 2010-2015 pt_004_201500_20240328-101829')</t>
  </si>
  <si>
    <t>ub wage ratio</t>
  </si>
  <si>
    <t>pw ratio</t>
  </si>
  <si>
    <t>initial other benefits per capita</t>
  </si>
  <si>
    <t>FINAL CONSUMPTION</t>
  </si>
  <si>
    <t>total final cons expenditure</t>
  </si>
  <si>
    <t>trend in total final cons exp</t>
  </si>
  <si>
    <t>OTHER EXPENDITURE</t>
  </si>
  <si>
    <t>wage ratio</t>
  </si>
  <si>
    <t>investment ratio</t>
  </si>
  <si>
    <t>inflation target</t>
  </si>
  <si>
    <t>initial i</t>
  </si>
  <si>
    <t>Government consolidated gross debt</t>
  </si>
  <si>
    <t>VAT rate</t>
  </si>
  <si>
    <t>vat effective rates 2010</t>
  </si>
  <si>
    <t>Personal income tax (Irpef) rates</t>
  </si>
  <si>
    <t>Tax bracket</t>
  </si>
  <si>
    <t>Bracket treshold</t>
  </si>
  <si>
    <t>tax rate</t>
  </si>
  <si>
    <t> </t>
  </si>
  <si>
    <t>0-15000</t>
  </si>
  <si>
    <t>A,*   0</t>
  </si>
  <si>
    <t>15000-28000</t>
  </si>
  <si>
    <t>A,*   15 200</t>
  </si>
  <si>
    <t>28000-55000</t>
  </si>
  <si>
    <t>A,*   6.5</t>
  </si>
  <si>
    <t>55000-75000</t>
  </si>
  <si>
    <t>A,*   22 600</t>
  </si>
  <si>
    <t>&gt;75000</t>
  </si>
  <si>
    <t>A,*   17.5</t>
  </si>
  <si>
    <t>A,*   36 800</t>
  </si>
  <si>
    <t>Corporate income tax rate (Ires)</t>
  </si>
  <si>
    <t>A,*   21.5</t>
  </si>
  <si>
    <t>Year</t>
  </si>
  <si>
    <t>Year Vensim</t>
  </si>
  <si>
    <t>A,*   66 400</t>
  </si>
  <si>
    <t>A,*   30</t>
  </si>
  <si>
    <t>Financial income tax rate</t>
  </si>
  <si>
    <t>Progressive</t>
  </si>
  <si>
    <t>Prog. threshold, EUR</t>
  </si>
  <si>
    <t>employment status</t>
  </si>
  <si>
    <t>Physiological overhead</t>
  </si>
  <si>
    <t>Study</t>
  </si>
  <si>
    <t>Paid work</t>
  </si>
  <si>
    <t>Unpaid work</t>
  </si>
  <si>
    <t>Leisure</t>
  </si>
  <si>
    <t>unemployed</t>
  </si>
  <si>
    <t>employed</t>
  </si>
  <si>
    <t>out of labour force</t>
  </si>
  <si>
    <t>retired</t>
  </si>
  <si>
    <t>Sens UW</t>
  </si>
  <si>
    <t>initial population by age and gender</t>
  </si>
  <si>
    <t>Gender</t>
  </si>
  <si>
    <t>0-14</t>
  </si>
  <si>
    <t>15-24</t>
  </si>
  <si>
    <t>25-44</t>
  </si>
  <si>
    <t>45-64</t>
  </si>
  <si>
    <t>65+</t>
  </si>
  <si>
    <t>TOTA</t>
  </si>
  <si>
    <t>Working age pop total</t>
  </si>
  <si>
    <t>Children</t>
  </si>
  <si>
    <t>initial distribution by age, gender and skill</t>
  </si>
  <si>
    <t>TRANSPOSED initial distribution by age, gender and skill</t>
  </si>
  <si>
    <t>Skill</t>
  </si>
  <si>
    <t>trend in entry skill</t>
  </si>
  <si>
    <t>covid_mortality_impact_2020</t>
  </si>
  <si>
    <t>1,1,1,1,1.15251</t>
  </si>
  <si>
    <t>covid_mortality_impact_2021</t>
  </si>
  <si>
    <t>fertility rate</t>
  </si>
  <si>
    <t>1,1,1,1,1.08224</t>
  </si>
  <si>
    <t>reproductive life</t>
  </si>
  <si>
    <t>mortality rate</t>
  </si>
  <si>
    <t>historic</t>
  </si>
  <si>
    <t>projection</t>
  </si>
  <si>
    <t>Male share</t>
  </si>
  <si>
    <t>for calculations check 'C:\01_PhD\3rd project\simplified elec capacity factors_1.xlsx'</t>
  </si>
  <si>
    <t>variable</t>
  </si>
  <si>
    <t>subscript</t>
  </si>
  <si>
    <t xml:space="preserve">value </t>
  </si>
  <si>
    <t>source</t>
  </si>
  <si>
    <t>comment</t>
  </si>
  <si>
    <t>LOOKUPS</t>
  </si>
  <si>
    <t>battery investment costs per capacity initial</t>
  </si>
  <si>
    <t>-</t>
  </si>
  <si>
    <t>ETRI, 2014</t>
  </si>
  <si>
    <t>reference value, adjusted to 2010 Euros using core consumer price inflation from Ha et al. (2023). Due to very limited available capacity, we assume away learning effects between 2010 and 2013.</t>
  </si>
  <si>
    <t>max scale increase batteries</t>
  </si>
  <si>
    <t>very optimistic</t>
  </si>
  <si>
    <t>battery cost projection lookup</t>
  </si>
  <si>
    <t>lookup</t>
  </si>
  <si>
    <t>Schmidt et al., 2019
 (citing Schmidt et al., 2017)</t>
  </si>
  <si>
    <t>battery learning rate beta</t>
  </si>
  <si>
    <t>not used rn</t>
  </si>
  <si>
    <t>battery capacity for learning init</t>
  </si>
  <si>
    <t>battery construction time</t>
  </si>
  <si>
    <t>https://lorenz-g.github.io/tesla-megapack-tracker/all-big-batteries.html</t>
  </si>
  <si>
    <t>Sample of biggest batteries, none take longer than 12 months construction time.</t>
  </si>
  <si>
    <t>Maeder et al., 2022</t>
  </si>
  <si>
    <t>final capacity factor</t>
  </si>
  <si>
    <t>battery lifetime</t>
  </si>
  <si>
    <t>IEA, 2020</t>
  </si>
  <si>
    <t>Grid</t>
  </si>
  <si>
    <t>grid lifetime</t>
  </si>
  <si>
    <t>own calculations based on ETRI, 2014; Eurostat grid and PEFA.</t>
  </si>
  <si>
    <t>not used at the moment</t>
  </si>
  <si>
    <t>grid depreciation time</t>
  </si>
  <si>
    <t>own approximation based on Terna (2010), ETRI (2014), Eurostat grid and PEFA</t>
  </si>
  <si>
    <t>initial grid value</t>
  </si>
  <si>
    <t>own approximation based on Terna (2010), Eurostat grid and PEFA</t>
  </si>
  <si>
    <t>2011 value as expected</t>
  </si>
  <si>
    <t>2012 value ect</t>
  </si>
  <si>
    <t>average yearly grid investment</t>
  </si>
  <si>
    <t>PNIEC, 2019</t>
  </si>
  <si>
    <t>very crude assumption</t>
  </si>
  <si>
    <t>Exogenous Scenario</t>
  </si>
  <si>
    <t>e_ coal</t>
  </si>
  <si>
    <t>Eurostat energy balance</t>
  </si>
  <si>
    <t>considering only main activity producers, exclude production by waste as this is allocated to sector E not D, The sum is larger than 1 as storage discharge is included and all production output is gross, i.e. there is double counting of this production.</t>
  </si>
  <si>
    <t>e_gas</t>
  </si>
  <si>
    <t>e_nuclear</t>
  </si>
  <si>
    <t>e_hydro</t>
  </si>
  <si>
    <t>e_wind</t>
  </si>
  <si>
    <t>e_petroleum</t>
  </si>
  <si>
    <t>e_solarpv</t>
  </si>
  <si>
    <t>e_solarth</t>
  </si>
  <si>
    <t>e_nec</t>
  </si>
  <si>
    <t>initial capacity factor</t>
  </si>
  <si>
    <t>own calculations based on Eurostat energy balance, Jaxa-Rozen et al., 2022 and Bolson et al., 2022.</t>
  </si>
  <si>
    <t>Correction for autoproduction: scaled by non autoproduction shares using Eurostat capacity by operator shares where available (i.e. solar,hydro, wind) and Eurostat energy balance production shares by operator as proxy for other technologies</t>
  </si>
  <si>
    <t>average between 2010-2019,for petroleum imputs capacity from production and capacity factor.</t>
  </si>
  <si>
    <t>implicit final capacity factor techn</t>
  </si>
  <si>
    <t>Production technologies</t>
  </si>
  <si>
    <t>Jaxa-Rozen et al., 2022</t>
  </si>
  <si>
    <t>Adjusted to 2010 Euros using WIOD 2016 exchange rates and core consumter price inflation from Ha et al. (2023)</t>
  </si>
  <si>
    <t>init per unit inv costs nec</t>
  </si>
  <si>
    <t>Adjusted to 2010 Euros using WIOD 2016 exchange rates and core consumter price inflation from Ha et al. (2023). For values from different years we use capacity values and learning rates both from Jaxa-Rozen et al. (2022) to obtain cost values for 2010.</t>
  </si>
  <si>
    <t>final per unit inv costs nec</t>
  </si>
  <si>
    <t>Jaxa-Rozen et al., 2022; Maeder et al., 2022</t>
  </si>
  <si>
    <t>init per unit inv costs hydro</t>
  </si>
  <si>
    <t>final per unit inv costs hydro</t>
  </si>
  <si>
    <t>capacity initial MW</t>
  </si>
  <si>
    <t>calculation based on capacity factor from Bolson et al., 2022 and production data from Eurostat, averaged between 2010-2019</t>
  </si>
  <si>
    <t>constructed capacity investment initial MW</t>
  </si>
  <si>
    <t>For these initial values, we ignore depreciation, i.e. these values are simply the difference between capacity 2011 and 2010 (max 0, since linear depreciation of initial capital is assumed). Correction for autoproduction: scaled by non autoproduction shares using Eurostat capacity by operator shares where available (i.e. solar,hydro, wind) and Eurostat energy balance production shares by operator as proxy for other technologies</t>
  </si>
  <si>
    <t>calculation based on capacity factor from Bolson et al., 2022 and production data from Eurostat</t>
  </si>
  <si>
    <t>For these initial values, we ignore depreciation, i.e. these values are simply the difference between capacity 2011 and 2010 (max 0, since linear depreciation of initial capital is assumed).  shares by operator as proxy for other technologies</t>
  </si>
  <si>
    <t>capacity learning rate beta</t>
  </si>
  <si>
    <t>learning rate beta nec init</t>
  </si>
  <si>
    <t>learning rate beta nec final</t>
  </si>
  <si>
    <t>capacity lifetime</t>
  </si>
  <si>
    <t>init lifetime nec</t>
  </si>
  <si>
    <t>IEA, 2020; Jaxa-Rozen et al., 2022</t>
  </si>
  <si>
    <t>final lifetime nec</t>
  </si>
  <si>
    <t>capacity construction time</t>
  </si>
  <si>
    <t>here we take the value for CCGT which is clearly the main type in Italy (Eurostat  Electricity production capacities for combustible fuels by technology and operator for main producer)</t>
  </si>
  <si>
    <t>assume same as gas</t>
  </si>
  <si>
    <t>init construction time nec</t>
  </si>
  <si>
    <t>final construction time nec</t>
  </si>
  <si>
    <t xml:space="preserve">max capacity factor </t>
  </si>
  <si>
    <t>for RES we assume priority of dispatch and hence that the actual capacity factor is equal to the maximum capacity factor.</t>
  </si>
  <si>
    <t>init max cf nec</t>
  </si>
  <si>
    <t>final max cf nec</t>
  </si>
  <si>
    <t>flexibility share techn</t>
  </si>
  <si>
    <t>Sullivan et al. (2013); Carrara and Marangoni (2017)</t>
  </si>
  <si>
    <t>init flex share nec</t>
  </si>
  <si>
    <t>final flex share nec</t>
  </si>
  <si>
    <t>max scale increase</t>
  </si>
  <si>
    <t>from 2011 on as  before very limited capacity (rach &gt;2GW in 2010); Correction for autoproduction: scaled by non autoproduction shares using Eurostat capacity by operator shares where available (i.e. solar,hydro, wind) and Eurostat energy balance production shares by operator as proxy for other technologies</t>
  </si>
  <si>
    <t>from 2011 on as  before very limited capacity (rach &gt;2GW in 2010);Correction for autoproduction: scaled by non autoproduction shares using Eurostat capacity by operator shares where available (i.e. solar,hydro, wind) and Eurostat energy balance production shares by operator as proxy for other technologies</t>
  </si>
  <si>
    <t>Other Parameters</t>
  </si>
  <si>
    <t>expectations adjustment time</t>
  </si>
  <si>
    <t>inv adjustment time</t>
  </si>
  <si>
    <t>expectatuins horizon</t>
  </si>
  <si>
    <t>scale impacts adjustment time</t>
  </si>
  <si>
    <t>flexibility share load base</t>
  </si>
  <si>
    <t>Own calculations from loadcurves in Jaxa Rozen et al., 2022.</t>
  </si>
  <si>
    <t>smooth expectations time</t>
  </si>
  <si>
    <t>phaseout year</t>
  </si>
  <si>
    <t>For coal</t>
  </si>
  <si>
    <t>hours in year</t>
  </si>
  <si>
    <t>grid share electricity production initial</t>
  </si>
  <si>
    <t>Locomotion</t>
  </si>
  <si>
    <t>grid output/electricity production output</t>
  </si>
  <si>
    <t>investment and production structure</t>
  </si>
  <si>
    <t>labour productivity</t>
  </si>
  <si>
    <t>Exiobase</t>
  </si>
  <si>
    <t>e_distribution</t>
  </si>
  <si>
    <t>gfcf shares battery</t>
  </si>
  <si>
    <t>own assumption based on lack of data</t>
  </si>
  <si>
    <t>misses cost shares for other elements, e.g. installment</t>
  </si>
  <si>
    <t>gfcf shares electricity</t>
  </si>
  <si>
    <t>A columns electricity import shares</t>
  </si>
  <si>
    <t>A columns electricity</t>
  </si>
  <si>
    <t>References</t>
  </si>
  <si>
    <t>Institute for Energy and Transport (Joint Research Centre), SERTIS, E. Weidner, M. Jakubcionis, M. Vallei, B. Sigfusson, A. Jäger-Waldau, et al. Energy Technology Reference Indicator (ETRI) Projections for 2010-2050. LU: Publications Office of the European Union, 2014. https://data.europa.eu/doi/10.2790/057687.</t>
  </si>
  <si>
    <t>Schmidt et al., 2019</t>
  </si>
  <si>
    <t>Schmidt, Oliver, Sylvain Melchior, Adam Hawkes, and Iain Staffell. “Projecting the Future Levelized Cost of Electricity Storage Technologies.” Joule 3, no. 1 (January 16, 2019): 81–100. https://doi.org/10.1016/j.joule.2018.12.008.</t>
  </si>
  <si>
    <t>Maeder, Mattia, Olga Weiss, and Konstantinos Boulouchos. “Assessing the Need for Flexibility Technologies in Decarbonized Power Systems: A New Model Applied to Central Europe.” Applied Energy 282 (January 15, 2021): 116050. https://doi.org/10.1016/j.apenergy.2020.116050.</t>
  </si>
  <si>
    <t>IEA, 2020. 'Projected costs of generating Electricity' (https://www.iea.org/reports/projected-costs-of-generating-electricity-2020)</t>
  </si>
  <si>
    <t>Eurostat grid</t>
  </si>
  <si>
    <t>https://ec.europa.eu/eurostat/databrowser/view/nrg_pc_206__custom_8775168/default/table</t>
  </si>
  <si>
    <t>PEFA</t>
  </si>
  <si>
    <t>https://ec.europa.eu/eurostat/databrowser/view/env_ac_pefasu/default/table?lang=en&amp;category=env.env_pefa</t>
  </si>
  <si>
    <t>Terna, 2010</t>
  </si>
  <si>
    <t>Annual Report 2010 (https://download.terna.it/terna/0000/0057/16.pdf)</t>
  </si>
  <si>
    <t>INTEGRATED NATIONAL ENERGY AND CLIMATE PLAN (https://energy.ec.europa.eu/system/files/2020-02/it_final_necp_main_en_0.pdf)</t>
  </si>
  <si>
    <t>https://ec.europa.eu/eurostat/databrowser/view/nrg_bal_c/default/table?lang=en&amp;category=nrg.nrg_quant.nrg_quanta.nrg_bal</t>
  </si>
  <si>
    <t>Jaxa-Rozen, Marc, Xin Wen, and Evelina Trutnevyte. “Historic Data of the National Electricity System Transitions in Europe in 1990–2019 for Retrospective Evaluation of Models.” Data in Brief 43 (August 1, 2022): 108459. https://doi.org/10.1016/j.dib.2022.108459.</t>
  </si>
  <si>
    <t>Bolson et al., 2022</t>
  </si>
  <si>
    <t>Bolson, Natanael, Pedro Prieto, and Tadeusz Patzek. “Capacity Factors for Electrical Power Generation from Renewable and Nonrenewable Sources.” Proceedings of the National Academy of Sciences 119, no. 52 (December 27, 2022): e2205429119. https://doi.org/10.1073/pnas.2205429119.</t>
  </si>
  <si>
    <t>Sullivan et al., 2013</t>
  </si>
  <si>
    <t>Sullivan, Patrick, Volker Krey, and Keywan Riahi. “Impacts of Considering Electric Sector Variability and Reliability in the MESSAGE Model.” Energy Strategy Reviews 1, no. 3 (March 2013): 157–63. https://doi.org/10.1016/j.esr.2013.01.001.</t>
  </si>
  <si>
    <t>Carrara and Marangoni, 2017</t>
  </si>
  <si>
    <t>Carrara, Samuel, and Giacomo Marangoni. “Including System Integration of Variable Renewable Energies in a Constant Elasticity of Substitution Framework: The Case of the WITCH Model.” Energy Economics 64 (May 2017): 612–26. https://doi.org/10.1016/j.eneco.2016.08.017.</t>
  </si>
  <si>
    <t>Ha et al., 2023</t>
  </si>
  <si>
    <t>Ha, Jongrim, M. Ayhan Kose, and Franziska Ohnsorge (2023). "One-Stop Source: A Global Database of Inflation." Journal of International Money and Finance 137 (October): 102896.</t>
  </si>
  <si>
    <t>Heat</t>
  </si>
  <si>
    <t>select_ets</t>
  </si>
  <si>
    <t>free_ets</t>
  </si>
  <si>
    <t>time</t>
  </si>
  <si>
    <t>total_allowances</t>
  </si>
  <si>
    <t>Temperature RCP2.6</t>
  </si>
  <si>
    <t>Temperature RCP4.5</t>
  </si>
  <si>
    <t>Temperature RCP6.0</t>
  </si>
  <si>
    <t>Temperature RCP8.5</t>
  </si>
  <si>
    <t>Vensim code for referring to Excel data</t>
  </si>
  <si>
    <t>GET_XLS_CONSTANTS('?InputData', 'inputoutput', 'A1')</t>
  </si>
  <si>
    <t>GET_XLS_CONSTANTS('?InputData', '', '')</t>
  </si>
  <si>
    <t>Index of ranges</t>
  </si>
  <si>
    <t>H_DOM_INIT</t>
  </si>
  <si>
    <t>Households initial domestic demand per industry</t>
  </si>
  <si>
    <t>Initial government consumption per industry</t>
  </si>
  <si>
    <t>Initial export per industry</t>
  </si>
  <si>
    <t>H_IMP_INIT</t>
  </si>
  <si>
    <t>Household initial import per industry</t>
  </si>
  <si>
    <t>source share imp agg E</t>
  </si>
  <si>
    <t>Coal and coal products</t>
  </si>
  <si>
    <t>Natural gas</t>
  </si>
  <si>
    <t>Oil and petroleum products</t>
  </si>
  <si>
    <t>Nuclear fuel</t>
  </si>
  <si>
    <t>Biofuels</t>
  </si>
  <si>
    <t>SOU_SH_Z_IMP_COAL</t>
  </si>
  <si>
    <t>Sheet</t>
  </si>
  <si>
    <t>Energy</t>
  </si>
  <si>
    <t>SOU_SH_Z_IMP_GAS</t>
  </si>
  <si>
    <t>SOU_SH_Z_IMP_OIL</t>
  </si>
  <si>
    <t>SOU_SH_Z_IMP_NUC</t>
  </si>
  <si>
    <t>SOU_SH_Z_IMP_BIO</t>
  </si>
  <si>
    <t>SOU_SH_Z_IMP_ELEC</t>
  </si>
  <si>
    <t>SOU_SH_Z_IMP_HEAT</t>
  </si>
  <si>
    <t>SOU_SH_Z_DOM_HEAT</t>
  </si>
  <si>
    <t>SOU_SH_Z_DOM_COAL</t>
  </si>
  <si>
    <t>SOU_SH_Z_DOM_GAS</t>
  </si>
  <si>
    <t>SOU_SH_Z_DOM_OIL</t>
  </si>
  <si>
    <t>SOU_SH_Z_DOM_NUC</t>
  </si>
  <si>
    <t>SOU_SH_Z_DOM_BIO</t>
  </si>
  <si>
    <t>SOU_SH_Z_DOM_ELEC</t>
  </si>
  <si>
    <t>source share dom agg E</t>
  </si>
  <si>
    <t>DOM</t>
  </si>
  <si>
    <t>EX</t>
  </si>
  <si>
    <t>SOU_SH_FD_EX</t>
  </si>
  <si>
    <t>SOU_SH_FD_H</t>
  </si>
  <si>
    <t>SOU_SH_FD_IMP</t>
  </si>
  <si>
    <t>FINAL DEMAND ENERGY SOURCE SHARE</t>
  </si>
  <si>
    <t>(HOUSEHOLD) Shares of energy sources in final demand per industry</t>
  </si>
  <si>
    <t>(EXPORT) Shares of energy sources in final demand per industry</t>
  </si>
  <si>
    <t>(IMPORT) Shares of energy sources in final demand  per industry</t>
  </si>
  <si>
    <t>Storage</t>
  </si>
  <si>
    <t>p2g investment costs init</t>
  </si>
  <si>
    <t>Thema et al., 2019</t>
  </si>
  <si>
    <t>PEM electrolysers as in Maeder et al., 2022; 2010 value from exponential approximation function</t>
  </si>
  <si>
    <t>assumption</t>
  </si>
  <si>
    <t>max scale increase p2g</t>
  </si>
  <si>
    <t>min max scale increase</t>
  </si>
  <si>
    <t xml:space="preserve">p2g cost projection </t>
  </si>
  <si>
    <t>(2.02E+36*EXP(-0.0379*TIME+INITIAL YEAR))*1E+6</t>
  </si>
  <si>
    <t>PEM electrolysers as in Maeder et al., 2022</t>
  </si>
  <si>
    <t>p2g construction time</t>
  </si>
  <si>
    <t>Christensen (2020)</t>
  </si>
  <si>
    <t>init capacity factor storage</t>
  </si>
  <si>
    <t>e hydro</t>
  </si>
  <si>
    <t>own calculations based on Eurostat energy balance, Jaxa-Rozen et al., 2022</t>
  </si>
  <si>
    <t>batteries</t>
  </si>
  <si>
    <t>power2gas</t>
  </si>
  <si>
    <t>final capacity factor storage</t>
  </si>
  <si>
    <t>init storage capacity</t>
  </si>
  <si>
    <t>p2g lifetime</t>
  </si>
  <si>
    <t>init storage share of demand</t>
  </si>
  <si>
    <t>final storage share of demand</t>
  </si>
  <si>
    <t>storage charge share by technology</t>
  </si>
  <si>
    <t>assume storage that is not PHS is batteries</t>
  </si>
  <si>
    <t>final storage charge share of production</t>
  </si>
  <si>
    <t>initial storage charge share of production</t>
  </si>
  <si>
    <t>average from 2010-2022</t>
  </si>
  <si>
    <t>final storage share by technology</t>
  </si>
  <si>
    <t>storage efficiency by technology</t>
  </si>
  <si>
    <t>constructed initiala capacity storage</t>
  </si>
  <si>
    <t>irrelevant as construction time =1 year</t>
  </si>
  <si>
    <t>init generation share techn</t>
  </si>
  <si>
    <t>final generation share techn</t>
  </si>
  <si>
    <t>final generation share with g2p gas</t>
  </si>
  <si>
    <t>capacity investment costs per unit capacity intial</t>
  </si>
  <si>
    <t>from 2008 on as  before very limited capacity (rach &gt;2GW in 2007); Correction for autoproduction: scaled by non autoproduction shares using Eurostat capacity by operator shares where available (i.e. solar,hydro, wind) and Eurostat energy balance production shares by operator as proxy for other technologies</t>
  </si>
  <si>
    <t>gfcf shares p2g</t>
  </si>
  <si>
    <t>max hydro potential</t>
  </si>
  <si>
    <t>max PHS charge</t>
  </si>
  <si>
    <t>max generation hydro initial</t>
  </si>
  <si>
    <t>maximum generation between 1990 and 2022</t>
  </si>
  <si>
    <t>max hydro generation final</t>
  </si>
  <si>
    <t>Thema, M., Bauer, F., &amp; Sterner, M. (2019). Power-to-Gas: Electrolysis and methanation status review. Renewable and Sustainable Energy Reviews, 112, 775–787. https://doi.org/10.1016/j.rser.2019.06.030</t>
  </si>
  <si>
    <t>Christensen, A. (2020). Assessment of Hydrogen Production Costs from Electrolysis: United States and Europe. International Council on Clean Transportation (ICCT) .https://theicct.org/wp-content/uploads/2021/06/final_icct2020_assessment_of-_hydrogen_production_costs-v2.pdf</t>
  </si>
  <si>
    <t>cap_const_init</t>
  </si>
  <si>
    <t>cap_constr_init</t>
  </si>
  <si>
    <t>cap_init</t>
  </si>
  <si>
    <t>cf_final</t>
  </si>
  <si>
    <t>efficiency_storage</t>
  </si>
  <si>
    <t>final_charge_share</t>
  </si>
  <si>
    <t>generation_share_final</t>
  </si>
  <si>
    <t>gfcf_shares</t>
  </si>
  <si>
    <t>gfcf_shares_battery</t>
  </si>
  <si>
    <t>gfcf_shares_p2g</t>
  </si>
  <si>
    <t>init_cf</t>
  </si>
  <si>
    <t>init_charge_share</t>
  </si>
  <si>
    <t>init_storage_cap</t>
  </si>
  <si>
    <t>init_techn_sh</t>
  </si>
  <si>
    <t>lambda_elec</t>
  </si>
  <si>
    <t>max_scale</t>
  </si>
  <si>
    <t>storage_final_cf</t>
  </si>
  <si>
    <t>storage_init_cap_constr</t>
  </si>
  <si>
    <t>storage_init_cf</t>
  </si>
  <si>
    <t>initital storage capacity</t>
  </si>
  <si>
    <t>labour productivity by elec technology</t>
  </si>
  <si>
    <t>constructed initial capacity storage</t>
  </si>
  <si>
    <t>techn_sh_bat</t>
  </si>
  <si>
    <t>NO REFERENCE IN ORIGINAL FILE</t>
  </si>
  <si>
    <t xml:space="preserve">A columns electricity import share </t>
  </si>
  <si>
    <t>Original file</t>
  </si>
  <si>
    <t>Z dom</t>
  </si>
  <si>
    <t>FD</t>
  </si>
  <si>
    <t>E M share</t>
  </si>
  <si>
    <t>EM_SH_Z_DOM</t>
  </si>
  <si>
    <t>EM_SH_Z_IMP</t>
  </si>
  <si>
    <t>EM_SH_H</t>
  </si>
  <si>
    <t>EM_SH_EX</t>
  </si>
  <si>
    <t>EM_SH_IMP</t>
  </si>
  <si>
    <t>Energy_IO</t>
  </si>
  <si>
    <t>int</t>
  </si>
  <si>
    <t>Dom</t>
  </si>
  <si>
    <t>Imp</t>
  </si>
  <si>
    <t>INT_Z_DOM</t>
  </si>
  <si>
    <t>INT_Z_IMP</t>
  </si>
  <si>
    <t>INT_H</t>
  </si>
  <si>
    <t>INT_EX</t>
  </si>
  <si>
    <t>INT_IMP</t>
  </si>
  <si>
    <t>E_SH_Z</t>
  </si>
  <si>
    <t>E_SH_H</t>
  </si>
  <si>
    <t>F_SH_Z</t>
  </si>
  <si>
    <t>F_SH_H</t>
  </si>
  <si>
    <t>e share</t>
  </si>
  <si>
    <t>Z</t>
  </si>
  <si>
    <t>households</t>
  </si>
  <si>
    <t>hh</t>
  </si>
  <si>
    <t>f share</t>
  </si>
  <si>
    <t>Households</t>
  </si>
  <si>
    <t>tCO2eq/TJ</t>
  </si>
  <si>
    <t>EMISSION factor</t>
  </si>
  <si>
    <t>EMIS_FAC</t>
  </si>
  <si>
    <t>Emission factor by energy source</t>
  </si>
  <si>
    <t>Emission</t>
  </si>
  <si>
    <t>electricity_module_data</t>
  </si>
  <si>
    <t>Mean</t>
  </si>
  <si>
    <t>Median</t>
  </si>
  <si>
    <t>Sample SD</t>
  </si>
  <si>
    <t>TECHNOLOGY NORMALIZED</t>
  </si>
  <si>
    <t>U neg norm</t>
  </si>
  <si>
    <t>U pos norm</t>
  </si>
  <si>
    <t>u_mean_neg_norm</t>
  </si>
  <si>
    <t>technology</t>
  </si>
  <si>
    <t>technology_normalised</t>
  </si>
  <si>
    <t>u_median_neg_norm</t>
  </si>
  <si>
    <t>u_sd_neg_norm</t>
  </si>
  <si>
    <t>u_mean_pos_norm</t>
  </si>
  <si>
    <t>u_median_pos_norm</t>
  </si>
  <si>
    <t>u_sd_pos_norm</t>
  </si>
  <si>
    <t>lp neg norm</t>
  </si>
  <si>
    <t>lp pos norm</t>
  </si>
  <si>
    <t>U neg</t>
  </si>
  <si>
    <t>U pos</t>
  </si>
  <si>
    <t>lp neg</t>
  </si>
  <si>
    <t>lp pos</t>
  </si>
  <si>
    <t>lp neg norm KLEMS</t>
  </si>
  <si>
    <t>NOT NORMALISED</t>
  </si>
  <si>
    <t>lp_norm_neg_mean</t>
  </si>
  <si>
    <t>lp_norm_neg_median</t>
  </si>
  <si>
    <t>lp_norm_neg_sd</t>
  </si>
  <si>
    <t>lp_norm_pos_mean</t>
  </si>
  <si>
    <t>lp_norm_pos_median</t>
  </si>
  <si>
    <t>lp_norm_pos_sd</t>
  </si>
  <si>
    <t>A_DOM</t>
  </si>
  <si>
    <t>Input_output</t>
  </si>
  <si>
    <t>A_IMP_SH</t>
  </si>
  <si>
    <t>I_MAT</t>
  </si>
  <si>
    <t>Z_Init</t>
  </si>
  <si>
    <t>Technology trends</t>
  </si>
  <si>
    <t>U</t>
  </si>
  <si>
    <t>Lab prod</t>
  </si>
  <si>
    <t>FD import shares</t>
  </si>
  <si>
    <t>CONS_h</t>
  </si>
  <si>
    <t>CONS_g</t>
  </si>
  <si>
    <t xml:space="preserve"> Z cell import shares</t>
  </si>
  <si>
    <t>trend gvex</t>
  </si>
  <si>
    <t>exp</t>
  </si>
  <si>
    <t>gov</t>
  </si>
  <si>
    <t>Ip_mean</t>
  </si>
  <si>
    <t>Ip_median</t>
  </si>
  <si>
    <t>Ip_SD</t>
  </si>
  <si>
    <t>overall_initial_exp_trend</t>
  </si>
  <si>
    <t>overall_initial_gov_c_trend</t>
  </si>
  <si>
    <t>trend_exp</t>
  </si>
  <si>
    <t>trend_gov</t>
  </si>
  <si>
    <t>trend_impsh_gfcf</t>
  </si>
  <si>
    <t>trend_impsh_gov</t>
  </si>
  <si>
    <t>trend_impsh_hhs</t>
  </si>
  <si>
    <t>trend_impsh_z</t>
  </si>
  <si>
    <t>U_median</t>
  </si>
  <si>
    <t>U_SD</t>
  </si>
  <si>
    <t>Investment Matrix</t>
  </si>
  <si>
    <t>Investment_Matrix</t>
  </si>
  <si>
    <t>Investment_matrix</t>
  </si>
  <si>
    <t>Investments</t>
  </si>
  <si>
    <t>domestic Share of coal in aggregate demand per industry</t>
  </si>
  <si>
    <t>domestic Share of gas in aggregate demand per industry</t>
  </si>
  <si>
    <t>domestic Share of oil in aggregate demand per industry</t>
  </si>
  <si>
    <t>domestic Share of heat in aggregate demand per industry</t>
  </si>
  <si>
    <t>domestic Share of nuclear in aggregate demand per industry</t>
  </si>
  <si>
    <t>domestic Share of biofuel in aggregate demand per industry</t>
  </si>
  <si>
    <t>domestic Share of electricity in aggregate demand per industry</t>
  </si>
  <si>
    <t>imported Share of coal in aggregate demand per industry</t>
  </si>
  <si>
    <t>imported Share of gas in aggregate demand per industry</t>
  </si>
  <si>
    <t>imported Share of oil in aggregate demand per industry</t>
  </si>
  <si>
    <t>imported Share of nuclear in aggregate demand per industry</t>
  </si>
  <si>
    <t>imported Share of biofuel in aggregate demand per industry</t>
  </si>
  <si>
    <t>imported Share of electricity in aggregate demand per industry</t>
  </si>
  <si>
    <t>imported Share of heat in aggregate demand per industry</t>
  </si>
  <si>
    <t>domestic aggregate demand energy share of monetary flow by industry</t>
  </si>
  <si>
    <t>imports aggregate demand  energy share of monetary flow by industry</t>
  </si>
  <si>
    <t>household final demand energy share of monetary flow by industry</t>
  </si>
  <si>
    <t>exports final demand energy share of monetary flow by industry</t>
  </si>
  <si>
    <t>imports final demand energy share of monetary flow by industry</t>
  </si>
  <si>
    <t>energy intensity of energy related monetary flow in domestic aggregate demand</t>
  </si>
  <si>
    <t>energy intensity of energy related monetary flow in imported aggregate demand</t>
  </si>
  <si>
    <t>energy intensity of energy related monetary flow in final demand of household</t>
  </si>
  <si>
    <t>energy intensity of energy related monetary flow in exported final demand</t>
  </si>
  <si>
    <t xml:space="preserve">energy intensity of energy related monetary flow in imported final demand </t>
  </si>
  <si>
    <t>emission relevant share of energy in aggregate demand by industry</t>
  </si>
  <si>
    <t>emission relevant share of energy in household consumption</t>
  </si>
  <si>
    <t>final use of energy source in aggregate demand</t>
  </si>
  <si>
    <t>final use of energy source in household demand</t>
  </si>
  <si>
    <t>lp pos norm KLEMS</t>
  </si>
  <si>
    <t>Normalized (with investment) mean negative change of technical coef</t>
  </si>
  <si>
    <t>Normalized (with investment) median negative change of technical coef</t>
  </si>
  <si>
    <t>Normalized (with investment) standard deviation negative change of technical coef</t>
  </si>
  <si>
    <t>Normalized (with investment) mean positive change of technical coef</t>
  </si>
  <si>
    <t>Normalized (with investment) median positive change of technical coef</t>
  </si>
  <si>
    <t>Normalized (with investment) standard deviation positive change of technical coef</t>
  </si>
  <si>
    <t>Normalized (with investment) mean negative change of labour productivity by industry</t>
  </si>
  <si>
    <t>Normalized (with investment) median negative change of labour productivity by industry</t>
  </si>
  <si>
    <t>Normalized (with investment) standard deviation negative change of labour productivity by industry</t>
  </si>
  <si>
    <t>Normalized (with investment) mean positive change of labour productivity by industry</t>
  </si>
  <si>
    <t>Normalized (with investment) median positive change of labour productivity by industry</t>
  </si>
  <si>
    <t>Normalized (with investment) standard deviation positive change of labour productivity by industry</t>
  </si>
  <si>
    <t>Purchasing vs basic prices</t>
  </si>
  <si>
    <t>ttm</t>
  </si>
  <si>
    <t xml:space="preserve">Trade and transport margin paid by consumer </t>
  </si>
  <si>
    <t>prices</t>
  </si>
  <si>
    <t>ttm_shares</t>
  </si>
  <si>
    <t>Distribution of trade and transport</t>
  </si>
  <si>
    <t>tls</t>
  </si>
  <si>
    <t xml:space="preserve">Tax rate less subsidy on products </t>
  </si>
  <si>
    <t>Inputoutput</t>
  </si>
  <si>
    <t>inputoutput</t>
  </si>
  <si>
    <t>NET PROFITS</t>
  </si>
  <si>
    <t>Profit share</t>
  </si>
  <si>
    <t>Mark up</t>
  </si>
  <si>
    <t>ROUNDED</t>
  </si>
  <si>
    <t>repeat the same value D1. D2, D3</t>
  </si>
  <si>
    <t>M+N+U</t>
  </si>
  <si>
    <t>J+R+S</t>
  </si>
  <si>
    <t>Extract</t>
  </si>
  <si>
    <t>Markups</t>
  </si>
  <si>
    <t>ComputingMarkUps</t>
  </si>
  <si>
    <t>Dataset: 6A. Value added and its components by activity, ISIC rev4</t>
  </si>
  <si>
    <t>Country</t>
  </si>
  <si>
    <t>Italy</t>
  </si>
  <si>
    <t>Transaction</t>
  </si>
  <si>
    <t>Net operating surplus and net mixed income</t>
  </si>
  <si>
    <t>Measure</t>
  </si>
  <si>
    <t>Current prices</t>
  </si>
  <si>
    <t>Unit</t>
  </si>
  <si>
    <t>Euro, Millions</t>
  </si>
  <si>
    <t>2010</t>
  </si>
  <si>
    <t>2011</t>
  </si>
  <si>
    <t>2013</t>
  </si>
  <si>
    <t>2014</t>
  </si>
  <si>
    <t>2015</t>
  </si>
  <si>
    <t>Activity</t>
  </si>
  <si>
    <t>i</t>
  </si>
  <si>
    <t/>
  </si>
  <si>
    <t>VTOT: Total activity</t>
  </si>
  <si>
    <t xml:space="preserve">  VA0: Agriculture, forestry and fishing</t>
  </si>
  <si>
    <t xml:space="preserve">    V01: Crop and animal production, hunting and related service activities</t>
  </si>
  <si>
    <t>V01</t>
  </si>
  <si>
    <t xml:space="preserve">    V02: Forestry and logging</t>
  </si>
  <si>
    <t>V02</t>
  </si>
  <si>
    <t xml:space="preserve">    V03: Fishing and aquaculture</t>
  </si>
  <si>
    <t>V03</t>
  </si>
  <si>
    <t xml:space="preserve">  VB: Mining and quarrying</t>
  </si>
  <si>
    <t>VB</t>
  </si>
  <si>
    <t xml:space="preserve">  VC: Manufacturing</t>
  </si>
  <si>
    <t xml:space="preserve">    V10_12: Manufacture of food products, beverages and tobacco products</t>
  </si>
  <si>
    <t>V10_12</t>
  </si>
  <si>
    <t xml:space="preserve">    V13_15: Manufacture of textiles, wearing apparel, leather and related products</t>
  </si>
  <si>
    <t>V13_15</t>
  </si>
  <si>
    <t xml:space="preserve">    V16_18: Manufacture of wood and paper products: printing</t>
  </si>
  <si>
    <t xml:space="preserve">      V16: Manufacture of wood and of products of wood and cork,etc.</t>
  </si>
  <si>
    <t>V16</t>
  </si>
  <si>
    <t xml:space="preserve">      V17: Manufacture of paper and paper products</t>
  </si>
  <si>
    <t>V17</t>
  </si>
  <si>
    <t xml:space="preserve">      V18: Printing and reproduction of recorded media</t>
  </si>
  <si>
    <t>V18</t>
  </si>
  <si>
    <t xml:space="preserve">    V19: Manufacture of coke and refined petroleum products</t>
  </si>
  <si>
    <t>V19</t>
  </si>
  <si>
    <t xml:space="preserve">    V20: Manufacture of chemicals and chemical products</t>
  </si>
  <si>
    <t>V20</t>
  </si>
  <si>
    <t xml:space="preserve">    V21: Manufacture of basic pharmaceutical products and preparations</t>
  </si>
  <si>
    <t>V21</t>
  </si>
  <si>
    <t xml:space="preserve">    V22_23: Manufacture of rubber, plastics and other non-metallic mineral products</t>
  </si>
  <si>
    <t xml:space="preserve">      V22: Manufacture of rubber and plastics products</t>
  </si>
  <si>
    <t>V22</t>
  </si>
  <si>
    <t xml:space="preserve">      V23: Manufacture of other non-metallic mineral products</t>
  </si>
  <si>
    <t>V23</t>
  </si>
  <si>
    <t xml:space="preserve">    V24_25: Manuf. of basic metals and fabricated metal products, except mach. &amp; equip.</t>
  </si>
  <si>
    <t xml:space="preserve">      V24: Manufacture of basic metals</t>
  </si>
  <si>
    <t>V24</t>
  </si>
  <si>
    <t xml:space="preserve">      V25: Manufacture of fabricated metal products, except machinery and equipment</t>
  </si>
  <si>
    <t>V25</t>
  </si>
  <si>
    <t xml:space="preserve">    V26: Manufacture of computer, electronic and optical products</t>
  </si>
  <si>
    <t>V26</t>
  </si>
  <si>
    <t xml:space="preserve">    V27: Manufacture of electrical equipment</t>
  </si>
  <si>
    <t>V27</t>
  </si>
  <si>
    <t xml:space="preserve">    V28: Manufacture of machinery and equipment n.e.c.</t>
  </si>
  <si>
    <t>V28</t>
  </si>
  <si>
    <t xml:space="preserve">    V29_30: Manufacture of transport equipment</t>
  </si>
  <si>
    <t xml:space="preserve">      V29: Manufacture of motor vehicles, trailers and semi-trailers</t>
  </si>
  <si>
    <t>V29</t>
  </si>
  <si>
    <t xml:space="preserve">      V30: Manufacture of other transport equipment</t>
  </si>
  <si>
    <t>V30</t>
  </si>
  <si>
    <t xml:space="preserve">    V31_33: Other manufacturing, repair and installation of machinery and equipment</t>
  </si>
  <si>
    <t xml:space="preserve">      V31_32: Manufacture of furniture, other manufacturing</t>
  </si>
  <si>
    <t>V31_32</t>
  </si>
  <si>
    <t xml:space="preserve">      V33: Repair and installation of machinery and equipment</t>
  </si>
  <si>
    <t>V33</t>
  </si>
  <si>
    <t xml:space="preserve">  VD: Electricity, gas, steam and air conditioning supply</t>
  </si>
  <si>
    <t>VD</t>
  </si>
  <si>
    <t xml:space="preserve">  VE: Water supply, sewerage, waste management and remediation activities</t>
  </si>
  <si>
    <t xml:space="preserve">    V36: Water collection, treatment and supply</t>
  </si>
  <si>
    <t>V36</t>
  </si>
  <si>
    <t xml:space="preserve">    V37_39: Sewerage, waste collection and management services</t>
  </si>
  <si>
    <t>V37_39</t>
  </si>
  <si>
    <t xml:space="preserve">  VF: Construction</t>
  </si>
  <si>
    <t>VF</t>
  </si>
  <si>
    <t xml:space="preserve">  VG: Wholesale and retail trade, repair of motor vehicles and motorcycles</t>
  </si>
  <si>
    <t>V46</t>
  </si>
  <si>
    <t xml:space="preserve">    V46: Wholesale trade, except of motor vehicles and motorcycles</t>
  </si>
  <si>
    <t xml:space="preserve">  VH: Transportation and storage</t>
  </si>
  <si>
    <t xml:space="preserve">    V49: Land transport and transport via pipelines</t>
  </si>
  <si>
    <t>V49</t>
  </si>
  <si>
    <t xml:space="preserve">    V50: Water transport</t>
  </si>
  <si>
    <t>V50</t>
  </si>
  <si>
    <t xml:space="preserve">    V51: Air transport</t>
  </si>
  <si>
    <t>V51</t>
  </si>
  <si>
    <t xml:space="preserve">    V52: Warehousing and support activities for transportation</t>
  </si>
  <si>
    <t>V52</t>
  </si>
  <si>
    <t xml:space="preserve">    V53: Postal and courier activities</t>
  </si>
  <si>
    <t>V53</t>
  </si>
  <si>
    <t xml:space="preserve">  VI: Accommodation and food service activities</t>
  </si>
  <si>
    <t xml:space="preserve">  VJ: Information and communication</t>
  </si>
  <si>
    <t xml:space="preserve">    V58_60: Publishing, audiovisual and broadcasting activities</t>
  </si>
  <si>
    <t xml:space="preserve">      V58: Publishing activities</t>
  </si>
  <si>
    <t>V58</t>
  </si>
  <si>
    <t xml:space="preserve">      V59_60: Audiovisual and broadcasting activities</t>
  </si>
  <si>
    <t>V59_60</t>
  </si>
  <si>
    <t xml:space="preserve">    V61: Telecommunications</t>
  </si>
  <si>
    <t>V61</t>
  </si>
  <si>
    <t xml:space="preserve">    V62_63: IT and other information services</t>
  </si>
  <si>
    <t>V62_63</t>
  </si>
  <si>
    <t xml:space="preserve">  VK: Financial and insurance activities</t>
  </si>
  <si>
    <t xml:space="preserve">    V64: Financial service activities, except insurance and pension funding</t>
  </si>
  <si>
    <t>V64</t>
  </si>
  <si>
    <t xml:space="preserve">    V65: Insurance, reinsurance and pension funding, except compulsory S.S.</t>
  </si>
  <si>
    <t>V65</t>
  </si>
  <si>
    <t xml:space="preserve">    V66: Activities auxiliary to financial service and insurance activities</t>
  </si>
  <si>
    <t>V66</t>
  </si>
  <si>
    <t xml:space="preserve">  VL: Real estate activities</t>
  </si>
  <si>
    <t>VL</t>
  </si>
  <si>
    <t xml:space="preserve">    V68A: of which: imputed rents of owner-occupied dwellings</t>
  </si>
  <si>
    <t>..</t>
  </si>
  <si>
    <t xml:space="preserve">  VM: Professional, scientific and technical activities</t>
  </si>
  <si>
    <t xml:space="preserve">    V69_71: Legal, accounting, management, architecture, engineering activities</t>
  </si>
  <si>
    <t xml:space="preserve">      V69_70: Legal, accounting, head offices, management consultancy activities</t>
  </si>
  <si>
    <t>V69_70</t>
  </si>
  <si>
    <t xml:space="preserve">      V71: Architectural and engineering activities, technical testing and analysis</t>
  </si>
  <si>
    <t>V71</t>
  </si>
  <si>
    <t xml:space="preserve">    V72: Scientific research and development</t>
  </si>
  <si>
    <t>V72</t>
  </si>
  <si>
    <t xml:space="preserve">    V73_75: Other professional, scientific and technical activities</t>
  </si>
  <si>
    <t xml:space="preserve">      V73: Advertising and market research</t>
  </si>
  <si>
    <t>V73</t>
  </si>
  <si>
    <t xml:space="preserve">      V74_75: Other professional, scientific and tech. activities, veterinary activities</t>
  </si>
  <si>
    <t>V74_75</t>
  </si>
  <si>
    <t xml:space="preserve">  VN: Administrative and support service activities</t>
  </si>
  <si>
    <t xml:space="preserve">    V77: Rental and leasing activities</t>
  </si>
  <si>
    <t>V77</t>
  </si>
  <si>
    <t xml:space="preserve">    V78: Employment activities</t>
  </si>
  <si>
    <t>V78</t>
  </si>
  <si>
    <t xml:space="preserve">    V79: Travel agency, tour operator, reservation service and related activities</t>
  </si>
  <si>
    <t>V79</t>
  </si>
  <si>
    <t xml:space="preserve">    V80_82: Security, services to buildings and other business support activities</t>
  </si>
  <si>
    <t>V80_82</t>
  </si>
  <si>
    <t xml:space="preserve">  VO: Public administration and defence, compulsory social security</t>
  </si>
  <si>
    <t>VO</t>
  </si>
  <si>
    <t xml:space="preserve">  VP: Education</t>
  </si>
  <si>
    <t>VP</t>
  </si>
  <si>
    <t xml:space="preserve">  VQ: Human health and social work activities</t>
  </si>
  <si>
    <t xml:space="preserve">    V86: Human health activities</t>
  </si>
  <si>
    <t>V86</t>
  </si>
  <si>
    <t xml:space="preserve">    V87_88: Residential care and social work activities</t>
  </si>
  <si>
    <t>V87_88</t>
  </si>
  <si>
    <t xml:space="preserve">  VR: Arts, entertainment and recreation</t>
  </si>
  <si>
    <t xml:space="preserve">    V90_92: Arts, cultural activities, gambling and betting activities</t>
  </si>
  <si>
    <t>V90_92</t>
  </si>
  <si>
    <t xml:space="preserve">    V93: Sports activities and amusement and recreation activities</t>
  </si>
  <si>
    <t>V93</t>
  </si>
  <si>
    <t xml:space="preserve">  VS: Other service activities</t>
  </si>
  <si>
    <t xml:space="preserve">    V94: Activities of membership organizations</t>
  </si>
  <si>
    <t>V94</t>
  </si>
  <si>
    <t xml:space="preserve">    V95: Repair of computers and personal and household goods</t>
  </si>
  <si>
    <t>V95</t>
  </si>
  <si>
    <t xml:space="preserve">    V96: Other personal service activities</t>
  </si>
  <si>
    <t>V96</t>
  </si>
  <si>
    <t xml:space="preserve">  VT: Act. of HH as employers, undif. G&amp;S-producing activities of HH for own use</t>
  </si>
  <si>
    <t>VT</t>
  </si>
  <si>
    <t xml:space="preserve">  VU: Activities of extraterritorial organizations and bodies</t>
  </si>
  <si>
    <t>Data extracted on 10 Apr 2024 20:02 UTC (GMT) from OECD.Stat</t>
  </si>
  <si>
    <t>NET OPERATING SURPLUS</t>
  </si>
  <si>
    <t>Sorry, the query is too large to fit into the Excel cell. You will not be able to update your table with the .Stat Populator.</t>
  </si>
  <si>
    <t>Gross value added</t>
  </si>
  <si>
    <t>Data extracted on 10 Apr 2024 20:12 UTC (GMT) from OECD.Stat</t>
  </si>
  <si>
    <t>GROSS VALUE ADDED</t>
  </si>
  <si>
    <t xml:space="preserve">A
</t>
  </si>
  <si>
    <t>V45</t>
  </si>
  <si>
    <t>SHOULD BE THE TOTAL OF THE SECTOR.</t>
  </si>
  <si>
    <t>V47</t>
  </si>
  <si>
    <t>J, R, S</t>
  </si>
  <si>
    <t>Consumption of fixed capital</t>
  </si>
  <si>
    <t>CONSUMPTION OF FIXED CAPITAL</t>
  </si>
  <si>
    <t>Old Eurogreen (till July 23)</t>
  </si>
  <si>
    <t>New Eurogreen (after July 23)</t>
  </si>
  <si>
    <t>Million euro (2010) ITALY - TOTAL</t>
  </si>
  <si>
    <t>M+N</t>
  </si>
  <si>
    <t>S+T+U</t>
  </si>
  <si>
    <t>CORRESPONDANCE</t>
  </si>
  <si>
    <t>skillsh_imp</t>
  </si>
  <si>
    <t>current_lp_b_out</t>
  </si>
  <si>
    <t>labour</t>
  </si>
  <si>
    <t>g lambda impact on skill shares</t>
  </si>
  <si>
    <t>Source</t>
  </si>
  <si>
    <t>LFPR gs</t>
  </si>
  <si>
    <t>Computed KLEMS-adjusted LFPR, based on Eurostat edat_lfs</t>
  </si>
  <si>
    <t>Consumption</t>
  </si>
  <si>
    <t>Istat, Final consumption expenditure of resident and non-resident households on the economic territory</t>
  </si>
  <si>
    <t>Government consumption</t>
  </si>
  <si>
    <t>Eurostat, nama_10_gdp</t>
  </si>
  <si>
    <t>Exports</t>
  </si>
  <si>
    <t>covid_lfpr_2020</t>
  </si>
  <si>
    <t>2020 Labour Force Participation Rate (LFPR) by gender and skill level</t>
  </si>
  <si>
    <t>2021 Labour Force Participation Rate (LFPR) by gender and skill level</t>
  </si>
  <si>
    <t>2022 Labour Force Participation Rate (LFPR) by gender and skill level</t>
  </si>
  <si>
    <t>covid_lfpr_2021</t>
  </si>
  <si>
    <t>covid_lfpr_2022</t>
  </si>
  <si>
    <t>covid</t>
  </si>
  <si>
    <t>elasticities</t>
  </si>
  <si>
    <t>covid_cons_2020</t>
  </si>
  <si>
    <t>covid_cons_2021</t>
  </si>
  <si>
    <t>covid_cons_2022</t>
  </si>
  <si>
    <t>2020 household consumption</t>
  </si>
  <si>
    <t>2021 household consumption</t>
  </si>
  <si>
    <t>2022 household consumption</t>
  </si>
  <si>
    <t>covid_gov_2020</t>
  </si>
  <si>
    <t>covid_gov_2021</t>
  </si>
  <si>
    <t>covid_gov_2022</t>
  </si>
  <si>
    <t>2020 government expenditure</t>
  </si>
  <si>
    <t>2021 government expenditure</t>
  </si>
  <si>
    <t>2022 government expenditure</t>
  </si>
  <si>
    <t>covid_exp_2020</t>
  </si>
  <si>
    <t>covid_exp_2021</t>
  </si>
  <si>
    <t>covid_exp_2022</t>
  </si>
  <si>
    <t>2020 Exports</t>
  </si>
  <si>
    <t>2021 Exports</t>
  </si>
  <si>
    <t>2022 Exports</t>
  </si>
  <si>
    <t>covid_inv_2020</t>
  </si>
  <si>
    <t>covid_inv_2021</t>
  </si>
  <si>
    <t>covid_inv_2022</t>
  </si>
  <si>
    <t>2020 GFCF</t>
  </si>
  <si>
    <t>2021 GFCF</t>
  </si>
  <si>
    <t>2022 GFCF</t>
  </si>
  <si>
    <t>LFPR initial gs</t>
  </si>
  <si>
    <t>sens skill cs</t>
  </si>
  <si>
    <t>p0014</t>
  </si>
  <si>
    <t>p1524</t>
  </si>
  <si>
    <t>p2544</t>
  </si>
  <si>
    <t>p4564</t>
  </si>
  <si>
    <t>p65</t>
  </si>
  <si>
    <t>trend skills cgs - female</t>
  </si>
  <si>
    <t>trend skills cgs - male</t>
  </si>
  <si>
    <t>init skill shares cgs - female</t>
  </si>
  <si>
    <t>init skill shares cgs - male</t>
  </si>
  <si>
    <t>LFPR trends</t>
  </si>
  <si>
    <t>lfpr_initial</t>
  </si>
  <si>
    <t>Labour force participation initial by gender and skills</t>
  </si>
  <si>
    <t>sens_skill_cs</t>
  </si>
  <si>
    <t>sensitivity of skill transition to unemployment rates per skill and cohort</t>
  </si>
  <si>
    <t>trends_skills_female</t>
  </si>
  <si>
    <t>Trends of skills share for female per cohort</t>
  </si>
  <si>
    <t>trends_skills_male</t>
  </si>
  <si>
    <t>Trends of skills share for male per cohort</t>
  </si>
  <si>
    <t>init_skill_shares_female</t>
  </si>
  <si>
    <t>init_skill_shares_male</t>
  </si>
  <si>
    <t>lfpr_trends</t>
  </si>
  <si>
    <t xml:space="preserve">initial skill share for female per cohort </t>
  </si>
  <si>
    <t xml:space="preserve">initial skill share for male per cohort </t>
  </si>
  <si>
    <t>Labour force participation trend by sex and skills</t>
  </si>
  <si>
    <t>coefficient wage dispersion</t>
  </si>
  <si>
    <t>male share initial is</t>
  </si>
  <si>
    <t>male share trend is</t>
  </si>
  <si>
    <t>skill distribution initial is</t>
  </si>
  <si>
    <t>skill distribution trend is</t>
  </si>
  <si>
    <t>wages initial gis</t>
  </si>
  <si>
    <t>phys</t>
  </si>
  <si>
    <t>study</t>
  </si>
  <si>
    <t>paid w</t>
  </si>
  <si>
    <t>unpaid w</t>
  </si>
  <si>
    <t>leisure</t>
  </si>
  <si>
    <t>low_u_f</t>
  </si>
  <si>
    <t>low_e_f</t>
  </si>
  <si>
    <t>low_o_f</t>
  </si>
  <si>
    <t>low_p_f</t>
  </si>
  <si>
    <t>low_u_m</t>
  </si>
  <si>
    <t>low_e_m</t>
  </si>
  <si>
    <t>low_o_m</t>
  </si>
  <si>
    <t>low_p_m</t>
  </si>
  <si>
    <t>mid_u_f</t>
  </si>
  <si>
    <t>mid_e_f</t>
  </si>
  <si>
    <t>mid_o_f</t>
  </si>
  <si>
    <t>mid_p_f</t>
  </si>
  <si>
    <t>mid_u_m</t>
  </si>
  <si>
    <t>mid_e_m</t>
  </si>
  <si>
    <t>mid_o_m</t>
  </si>
  <si>
    <t>mid_p_m</t>
  </si>
  <si>
    <t>hig_u_f</t>
  </si>
  <si>
    <t>hig_e_f</t>
  </si>
  <si>
    <t>hig_o_f</t>
  </si>
  <si>
    <t>hig_p_f</t>
  </si>
  <si>
    <t>hig_u_m</t>
  </si>
  <si>
    <t>hig_e_m</t>
  </si>
  <si>
    <t>hig_o_m</t>
  </si>
  <si>
    <t>hig_p_m</t>
  </si>
  <si>
    <t>cap</t>
  </si>
  <si>
    <t>wdispm</t>
  </si>
  <si>
    <t>wdispf</t>
  </si>
  <si>
    <t>init_timeuse</t>
  </si>
  <si>
    <t>Coefficient wage dispertion by skill per industry for male</t>
  </si>
  <si>
    <t>Coefficient wage dispertion by skill per industry for female</t>
  </si>
  <si>
    <t>Initial time use by occupational status, gender and skill</t>
  </si>
  <si>
    <t>timeuse, also in sheet timeuse</t>
  </si>
  <si>
    <t>maleshareinit</t>
  </si>
  <si>
    <t>timeuse</t>
  </si>
  <si>
    <t>initial share of male by skill and industry</t>
  </si>
  <si>
    <t>malesharetrend</t>
  </si>
  <si>
    <t>trends share of male by skill and industry</t>
  </si>
  <si>
    <t>skilldist_init</t>
  </si>
  <si>
    <t>initial skill distribution by industry</t>
  </si>
  <si>
    <t>skilldisttrend</t>
  </si>
  <si>
    <t>trend skill distribution by industry</t>
  </si>
  <si>
    <t>winitm</t>
  </si>
  <si>
    <t>winitf</t>
  </si>
  <si>
    <t>initial wage for male by skill and industry</t>
  </si>
  <si>
    <t>initial wage for female by skill and industry</t>
  </si>
  <si>
    <t>FinDEm</t>
  </si>
  <si>
    <t>DOMESTIC</t>
  </si>
  <si>
    <t>Import shares</t>
  </si>
  <si>
    <t>Z Matrix</t>
  </si>
  <si>
    <t>I Matrix</t>
  </si>
  <si>
    <t>Output</t>
  </si>
  <si>
    <t>id matrix</t>
  </si>
  <si>
    <t>S1 share imp Z ii</t>
  </si>
  <si>
    <t>Z nom initial ii</t>
  </si>
  <si>
    <t>a_dom_elec</t>
  </si>
  <si>
    <t>a_imp_sh_elec</t>
  </si>
  <si>
    <t>id</t>
  </si>
  <si>
    <t>beta elasticities</t>
  </si>
  <si>
    <t>Impshares_z</t>
  </si>
  <si>
    <t>znominit</t>
  </si>
  <si>
    <t xml:space="preserve">U_mean </t>
  </si>
  <si>
    <t>BETA ELASTICITIES</t>
  </si>
  <si>
    <t>init_static_exp_yd</t>
  </si>
  <si>
    <t>init_dynamic_exp_yd</t>
  </si>
  <si>
    <t>e_1</t>
  </si>
  <si>
    <t>e_2</t>
  </si>
  <si>
    <t>e_3</t>
  </si>
  <si>
    <t>e_4</t>
  </si>
  <si>
    <t>e_5</t>
  </si>
  <si>
    <t>yd</t>
  </si>
  <si>
    <t>Mean disposable income by region and quintile</t>
  </si>
  <si>
    <t>regions</t>
  </si>
  <si>
    <t>from istat</t>
  </si>
  <si>
    <t>calibrated</t>
  </si>
  <si>
    <t>Number of households</t>
  </si>
  <si>
    <t>num_hhs_init</t>
  </si>
  <si>
    <t>num_hhs_init_calib</t>
  </si>
  <si>
    <t>initial number of households by regions ISTAT</t>
  </si>
  <si>
    <t xml:space="preserve">initial number of households by regions (calibrated) </t>
  </si>
  <si>
    <t>ireg</t>
  </si>
  <si>
    <t>quint</t>
  </si>
  <si>
    <t>low_r_f</t>
  </si>
  <si>
    <t>low_r_m</t>
  </si>
  <si>
    <t>mid_r_f</t>
  </si>
  <si>
    <t>mid_r_m</t>
  </si>
  <si>
    <t>hig_r_f</t>
  </si>
  <si>
    <t>hig_r_m</t>
  </si>
  <si>
    <t>capitalist</t>
  </si>
  <si>
    <t>child</t>
  </si>
  <si>
    <t>Category shares by regions</t>
  </si>
  <si>
    <t>pw_ratio</t>
  </si>
  <si>
    <t>pw_ratios</t>
  </si>
  <si>
    <t>region</t>
  </si>
  <si>
    <t>total_profits_nifi</t>
  </si>
  <si>
    <t>regional shares</t>
  </si>
  <si>
    <t>Non financial profit by regions</t>
  </si>
  <si>
    <t>initial_profits_nifi_r</t>
  </si>
  <si>
    <t>Total non financial profit by region</t>
  </si>
  <si>
    <t>profits_nifi_shares</t>
  </si>
  <si>
    <t xml:space="preserve">share of non financial profit by quintile (region specific) </t>
  </si>
  <si>
    <t>price elasticities of coicop cat by region Q1</t>
  </si>
  <si>
    <t>price elasticities of coicop cat by region Q2</t>
  </si>
  <si>
    <t>price elasticities of coicop cat by region Q3</t>
  </si>
  <si>
    <t>price elasticities of coicop cat by region Q4</t>
  </si>
  <si>
    <t>price elasticities of coicop cat by region Q5</t>
  </si>
  <si>
    <t>ETS</t>
  </si>
  <si>
    <t>emissionstrading</t>
  </si>
  <si>
    <t>time range for ets</t>
  </si>
  <si>
    <t>Total Allowances</t>
  </si>
  <si>
    <t>ind_to_coicop</t>
  </si>
  <si>
    <t>consumption</t>
  </si>
  <si>
    <t>NACE_COICOP_bridge</t>
  </si>
  <si>
    <t>coicop_to_ind</t>
  </si>
  <si>
    <t>cons_coicop_initial</t>
  </si>
  <si>
    <t>FINLAND SPECIFIC</t>
  </si>
  <si>
    <t>spread_italy</t>
  </si>
  <si>
    <t xml:space="preserve">RANGE NOT NAMED </t>
  </si>
  <si>
    <t>Domestic techinal coefficients matrix (not imported intermediate inputs)</t>
  </si>
  <si>
    <t>Import shares of input-output table</t>
  </si>
  <si>
    <t>Identity matrx</t>
  </si>
  <si>
    <t>Final output per industry</t>
  </si>
  <si>
    <t>Input-Output table in euros(absolute values)</t>
  </si>
  <si>
    <t>Ask till</t>
  </si>
  <si>
    <t>time axis for ETS look-up</t>
  </si>
  <si>
    <t>Trend growth rates of exports per industry</t>
  </si>
  <si>
    <t>Trend growth rates of government expenditure per industry</t>
  </si>
  <si>
    <t>Trend growth rates of investment import shares per industry</t>
  </si>
  <si>
    <t>Trend growth rates of government expenditure import shares per industry(check with till)</t>
  </si>
  <si>
    <t>Trend growth rates of household consumption import shares per industry</t>
  </si>
  <si>
    <t>Trend growth rates of interindustry intermediate inputs import shares per industry</t>
  </si>
  <si>
    <t>ask till</t>
  </si>
  <si>
    <t>Investment matrix ( interindustry demand supply investments links )</t>
  </si>
  <si>
    <t>identity matrix</t>
  </si>
  <si>
    <t>Initial  values of static component of disposable income</t>
  </si>
  <si>
    <t>Initial  values of dynamic component of disposable income</t>
  </si>
  <si>
    <t>Pension-wage ratios</t>
  </si>
  <si>
    <t>Share of each sector's emissions subject to ETS regulation</t>
  </si>
  <si>
    <t>Free allowances of emissions (historic values)</t>
  </si>
  <si>
    <t>cat_shares_q1</t>
  </si>
  <si>
    <t>cat_shares_q2</t>
  </si>
  <si>
    <t>cat_shares_q3</t>
  </si>
  <si>
    <t>cat_shares_q4</t>
  </si>
  <si>
    <t>cat_shares_q5</t>
  </si>
  <si>
    <t>child_shares_q1</t>
  </si>
  <si>
    <t>child_shares_q2</t>
  </si>
  <si>
    <t>child_shares_q3</t>
  </si>
  <si>
    <t>child_shares_q4</t>
  </si>
  <si>
    <t>child_shares_q5</t>
  </si>
  <si>
    <t>Region-quintile population shares per individual type, quintile 1</t>
  </si>
  <si>
    <t>Region-quintile population shares per individual type, quintile 2</t>
  </si>
  <si>
    <t>Region-quintile population shares per individual type, quintile 3</t>
  </si>
  <si>
    <t>Region-quintile population shares per individual type, quintile 4</t>
  </si>
  <si>
    <t>Region-quintile population shares per individual type, quintile 5</t>
  </si>
  <si>
    <t>Region-quintile population shares for children, quintile 1</t>
  </si>
  <si>
    <t>Region-quintile population shares for children, quintile 2</t>
  </si>
  <si>
    <t>Region-quintile population shares for children, quintile 3</t>
  </si>
  <si>
    <t>Region-quintile population shares for children, quintile 4</t>
  </si>
  <si>
    <t>Region-quintile population shares for children, quintile 5</t>
  </si>
  <si>
    <t>Data specific to regions and relative quintiles</t>
  </si>
  <si>
    <t>INDEX OF DATA HERE</t>
  </si>
  <si>
    <t>Piemonte_yd</t>
  </si>
  <si>
    <t>Valle_yd</t>
  </si>
  <si>
    <t>Lombardia_yd</t>
  </si>
  <si>
    <t>Trentino_yd</t>
  </si>
  <si>
    <t>Veneto_yd</t>
  </si>
  <si>
    <t>Friuli_yd</t>
  </si>
  <si>
    <t>Liguria_yd</t>
  </si>
  <si>
    <t>Emilia_yd</t>
  </si>
  <si>
    <t>Toscana_yd</t>
  </si>
  <si>
    <t>Umbria_yd</t>
  </si>
  <si>
    <t>Marche_yd</t>
  </si>
  <si>
    <t>Lazio_yd</t>
  </si>
  <si>
    <t>Abruzzo_yd</t>
  </si>
  <si>
    <t>Molise_yd</t>
  </si>
  <si>
    <t>Campania_yd</t>
  </si>
  <si>
    <t>Puglia_yd</t>
  </si>
  <si>
    <t>Basilicata_yd</t>
  </si>
  <si>
    <t>Calabria_yd</t>
  </si>
  <si>
    <t>Sicilia_yd</t>
  </si>
  <si>
    <t>Sardegna_yd</t>
  </si>
  <si>
    <t>Piemonte_alpha</t>
  </si>
  <si>
    <t>Valle_alpha</t>
  </si>
  <si>
    <t>Lombardia_alpha</t>
  </si>
  <si>
    <t>Trentino_alpha</t>
  </si>
  <si>
    <t>Veneto_alpha</t>
  </si>
  <si>
    <t>Friuli_alpha</t>
  </si>
  <si>
    <t>Liguria_alpha</t>
  </si>
  <si>
    <t>Emilia_alpha</t>
  </si>
  <si>
    <t>Toscana_alpha</t>
  </si>
  <si>
    <t>Umbria_alpha</t>
  </si>
  <si>
    <t>Marche_alpha</t>
  </si>
  <si>
    <t>Lazio_alpha</t>
  </si>
  <si>
    <t>Abruzzo_alpha</t>
  </si>
  <si>
    <t>Molise_alpha</t>
  </si>
  <si>
    <t>Campania_alpha</t>
  </si>
  <si>
    <t>Puglia_alpha</t>
  </si>
  <si>
    <t>Basilicata_alpha</t>
  </si>
  <si>
    <t>Calabria_alpha</t>
  </si>
  <si>
    <t>Sicilia_alpha</t>
  </si>
  <si>
    <t>Sardegna_alpha</t>
  </si>
  <si>
    <t>Piemonte mean disposable income by quintile</t>
  </si>
  <si>
    <t>Valle d'aosta mean disposable income by quintile</t>
  </si>
  <si>
    <t>Lombardia mean disposable income by quintile</t>
  </si>
  <si>
    <t>Trentino mean disposable income by quintile</t>
  </si>
  <si>
    <t>Veneto mean disposable income by quintile</t>
  </si>
  <si>
    <t>Friuli mean disposable income by quintile</t>
  </si>
  <si>
    <t>Liguria mean disposable income by quintile</t>
  </si>
  <si>
    <t>Emilia mean disposable income by quintile</t>
  </si>
  <si>
    <t>Toscana mean disposable income by quintile</t>
  </si>
  <si>
    <t>Umbria mean disposable income by quintile</t>
  </si>
  <si>
    <t>Marche mean disposable income by quintile</t>
  </si>
  <si>
    <t>Lazio mean disposable income by quintile</t>
  </si>
  <si>
    <t>Abruzzo mean disposable income by quintile</t>
  </si>
  <si>
    <t>Molise mean disposable income by quintile</t>
  </si>
  <si>
    <t>Campania mean disposable income by quintile</t>
  </si>
  <si>
    <t>Puglia mean disposable income by quintile</t>
  </si>
  <si>
    <t>Basilicata mean disposable income by quintile</t>
  </si>
  <si>
    <t>Calabria mean disposable income by quintile</t>
  </si>
  <si>
    <t>Sicilia mean disposable income by quintile</t>
  </si>
  <si>
    <t>Sardegna mean disposable income by quintile</t>
  </si>
  <si>
    <t>Piemonte average propensity to consume</t>
  </si>
  <si>
    <t>Valle d'aosta average propensity to consume</t>
  </si>
  <si>
    <t>Lombardia average propensity to consume</t>
  </si>
  <si>
    <t>Trentino average propensity to consume</t>
  </si>
  <si>
    <t>Veneto average propensity to consume</t>
  </si>
  <si>
    <t>Friuli average propensity to consume</t>
  </si>
  <si>
    <t>Liguria average propensity to consume</t>
  </si>
  <si>
    <t>Emilia average propensity to consume</t>
  </si>
  <si>
    <t>Toscana average propensity to consume</t>
  </si>
  <si>
    <t>Umbria average propensity to consume</t>
  </si>
  <si>
    <t>Marche average propensity to consume</t>
  </si>
  <si>
    <t>Lazio average propensity to consume</t>
  </si>
  <si>
    <t>Abruzzo average propensity to consume</t>
  </si>
  <si>
    <t>Molise average propensity to consume</t>
  </si>
  <si>
    <t>Campania average propensity to consume</t>
  </si>
  <si>
    <t>Puglia average propensity to consume</t>
  </si>
  <si>
    <t>Basilicata average propensity to consume</t>
  </si>
  <si>
    <t>Calabria average propensity to consume</t>
  </si>
  <si>
    <t>Sicilia average propensity to consume</t>
  </si>
  <si>
    <t>Sardegna average propensity to consume</t>
  </si>
  <si>
    <t>average number of household members per region</t>
  </si>
  <si>
    <t>avg_hh_members</t>
  </si>
  <si>
    <t>Time2</t>
  </si>
  <si>
    <t>cons</t>
  </si>
  <si>
    <t>gov_shocks</t>
  </si>
  <si>
    <t>inv_shocks</t>
  </si>
  <si>
    <t>exp_shocks</t>
  </si>
  <si>
    <t>cons_shocks</t>
  </si>
  <si>
    <t>Covid shock on government expenditure</t>
  </si>
  <si>
    <t xml:space="preserve">Covid shock on GFCF </t>
  </si>
  <si>
    <t>Covid shock on exports</t>
  </si>
  <si>
    <t>Covid shock on consumption</t>
  </si>
  <si>
    <t>Direct energy intensity of intermediate imports of different energy sources (L imp int * L imp prdsh)</t>
  </si>
  <si>
    <t>coal</t>
  </si>
  <si>
    <t>gas</t>
  </si>
  <si>
    <t>oil</t>
  </si>
  <si>
    <t>nuc</t>
  </si>
  <si>
    <t>bio</t>
  </si>
  <si>
    <t xml:space="preserve">elec </t>
  </si>
  <si>
    <t>heat</t>
  </si>
  <si>
    <t>elec</t>
  </si>
  <si>
    <t>Electricity and heat</t>
  </si>
  <si>
    <t>nuclear</t>
  </si>
  <si>
    <t>L_imp_int_ii_coal</t>
  </si>
  <si>
    <t>L_imp_int_ii_gas</t>
  </si>
  <si>
    <t>L_imp_int_ii_oil</t>
  </si>
  <si>
    <t>L_imp_int_ii_bio</t>
  </si>
  <si>
    <t>L_imp_int_ii_elec</t>
  </si>
  <si>
    <t>L_imp_int_ii_heat</t>
  </si>
  <si>
    <t>L_imp_int_ii_nuclear</t>
  </si>
  <si>
    <t>Direct energy intensity of intermediate imports of coal</t>
  </si>
  <si>
    <t>Direct energy intensity of intermediate imports of gas</t>
  </si>
  <si>
    <t>Direct energy intensity of intermediate imports of oil</t>
  </si>
  <si>
    <t>Direct energy intensity of intermediate imports of bioenergy</t>
  </si>
  <si>
    <t>Direct energy intensity of intermediate imports of electricity</t>
  </si>
  <si>
    <t>Direct energy intensity of intermediate imports of heat</t>
  </si>
  <si>
    <t>Direct energy intensity of intermediate imports of nuclear</t>
  </si>
  <si>
    <t>L_imp_dom_ratio</t>
  </si>
  <si>
    <t xml:space="preserve">Import vs domestic ratio </t>
  </si>
  <si>
    <t>final demand shares</t>
  </si>
  <si>
    <t>ereu_fd_nrg</t>
  </si>
  <si>
    <t>Energy final demand by industry</t>
  </si>
  <si>
    <t>NOT FINISHED SHEET</t>
  </si>
  <si>
    <t>gamma</t>
  </si>
  <si>
    <t>constant</t>
  </si>
  <si>
    <t>logx</t>
  </si>
  <si>
    <t>aids</t>
  </si>
  <si>
    <t>coeff_prices</t>
  </si>
  <si>
    <t>coeff_inc</t>
  </si>
  <si>
    <t>demand system coefficients of income</t>
  </si>
  <si>
    <t>intercept</t>
  </si>
  <si>
    <t>deciles</t>
  </si>
  <si>
    <t>Decile of each household in the initial period</t>
  </si>
  <si>
    <t>total rents share</t>
  </si>
  <si>
    <t>rents_share_r</t>
  </si>
  <si>
    <t>Share of total rents (actual and imputed) in mixed income per region</t>
  </si>
  <si>
    <t>share of self-employment per industry</t>
  </si>
  <si>
    <t>share</t>
  </si>
  <si>
    <t>share_selfemp_income</t>
  </si>
  <si>
    <t>Share of self-employment per industry</t>
  </si>
  <si>
    <t>year_free_ets_phaseout</t>
  </si>
  <si>
    <t>Year in which free emissions allowances will be phased out per industry</t>
  </si>
  <si>
    <t>carbon price</t>
  </si>
  <si>
    <t>time_p_ets</t>
  </si>
  <si>
    <t>p_ets_forecast</t>
  </si>
  <si>
    <t>Approximated from historical prices from https://tradingeconomics.com/commodity/carbon and forecasts from https://www.enerdata.net/publications/executive-briefing/carbon-price-forecast-under-eu-ets.pdf</t>
  </si>
  <si>
    <t>computed from free allowances above, using the ratio of free/verified in the EEA data</t>
  </si>
  <si>
    <t>historical data of free allowances (from https://www.eea.europa.eu/) if select_ets&lt;1, otherwise they are proportional to modelled emissions by the observed ratio free/verified in the EEA data</t>
  </si>
  <si>
    <t>ratio of verified emissions (from https://www.eea.europa.eu/) to modelled emissions (from model), if ratio&gt;1, then select_ets=1</t>
  </si>
  <si>
    <t>Forecast for the price of emissions allowances</t>
  </si>
  <si>
    <t>Time for the lookup of the ETS price forecast</t>
  </si>
  <si>
    <t>TRENDS for direct energy intensity of intermediate imports of different energy sources (L imp int * L imp prdsh)</t>
  </si>
  <si>
    <t>trend_L_imp_int_ii_coal</t>
  </si>
  <si>
    <t>trend_L_imp_int_ii_gas</t>
  </si>
  <si>
    <t>trend_L_imp_int_ii_oil</t>
  </si>
  <si>
    <t>trend_L_imp_int_ii_bio</t>
  </si>
  <si>
    <t>trend_L_imp_int_ii_elec</t>
  </si>
  <si>
    <t>trend_L_imp_int_ii_heat</t>
  </si>
  <si>
    <t>trend_L_imp_int_ii_nuclear</t>
  </si>
  <si>
    <t>TRENDS for direct energy intensity of intermediate imports of  coal</t>
  </si>
  <si>
    <t>TRENDS for direct energy intensity of intermediate imports of  gas</t>
  </si>
  <si>
    <t>TRENDS for direct energy intensity of intermediate imports of  oil</t>
  </si>
  <si>
    <t>TRENDS for direct energy intensity of intermediate imports of  biofuel</t>
  </si>
  <si>
    <t>TRENDS for direct energy intensity of intermediate imports of  electricity</t>
  </si>
  <si>
    <t>TRENDS for direct energy intensity of intermediate imports of  heat</t>
  </si>
  <si>
    <t>TRENDS for direct energy intensity of intermediate imports of  nuclear</t>
  </si>
  <si>
    <t>EREU_int_new</t>
  </si>
  <si>
    <t>FD imp embed 2010 (TJ_EUR)</t>
  </si>
  <si>
    <t>Nuclear</t>
  </si>
  <si>
    <t>trend_ereu_fd_nrg</t>
  </si>
  <si>
    <t>TRENDS Energy final demand by industry</t>
  </si>
  <si>
    <t>L imp</t>
  </si>
  <si>
    <t>L imp trend</t>
  </si>
  <si>
    <t>L_imp</t>
  </si>
  <si>
    <t>trend_L_imp</t>
  </si>
  <si>
    <t xml:space="preserve">Direct energy intensity of intermediate import </t>
  </si>
  <si>
    <t xml:space="preserve">Trend Direct energy intensity of intermediate import </t>
  </si>
  <si>
    <r>
      <t>PNIEC (2019)</t>
    </r>
    <r>
      <rPr>
        <sz val="11"/>
        <color theme="1"/>
        <rFont val="Arial"/>
        <family val="2"/>
      </rPr>
      <t xml:space="preserve"> gross electricity production</t>
    </r>
  </si>
  <si>
    <t>init_gov_c_imp</t>
  </si>
  <si>
    <t>gov import final demand intial</t>
  </si>
  <si>
    <t>IO</t>
  </si>
  <si>
    <t>EX_INIT</t>
  </si>
  <si>
    <t xml:space="preserve">variable </t>
  </si>
  <si>
    <t>value</t>
  </si>
  <si>
    <t>Lookups</t>
  </si>
  <si>
    <t>fuel conversion efficiencies</t>
  </si>
  <si>
    <t>Eurostat 2024,nrg_bal_c</t>
  </si>
  <si>
    <t>Gas</t>
  </si>
  <si>
    <t>Oil and oil products</t>
  </si>
  <si>
    <t>solid bio</t>
  </si>
  <si>
    <t>share of nec which is wastebio</t>
  </si>
  <si>
    <t>share of nec which is wastebio final</t>
  </si>
  <si>
    <t>Maeder et al., 2021</t>
  </si>
  <si>
    <t>share of wastebio which is solid bio</t>
  </si>
  <si>
    <t>Transformation use</t>
  </si>
  <si>
    <t>conversion_eff</t>
  </si>
  <si>
    <t>Fuel conversion intensities</t>
  </si>
  <si>
    <t>init_gov_c_dom</t>
  </si>
  <si>
    <t>overall gov trend</t>
  </si>
  <si>
    <t>overall exp trend</t>
  </si>
  <si>
    <t>TREND Gvex</t>
  </si>
  <si>
    <t>timet</t>
  </si>
  <si>
    <t>logx2</t>
  </si>
  <si>
    <t>coeff_inc2</t>
  </si>
  <si>
    <t>demand system coefficients of prices</t>
  </si>
  <si>
    <t>demand system coefficients of squared income</t>
  </si>
  <si>
    <t>irgn</t>
  </si>
  <si>
    <t>rgn</t>
  </si>
  <si>
    <t>quintile_r</t>
  </si>
  <si>
    <t>sh_01</t>
  </si>
  <si>
    <t>sh_02</t>
  </si>
  <si>
    <t>sh_03</t>
  </si>
  <si>
    <t>sh_041_043</t>
  </si>
  <si>
    <t>sh_044</t>
  </si>
  <si>
    <t>sh_045</t>
  </si>
  <si>
    <t>sh_05r</t>
  </si>
  <si>
    <t>sh_06</t>
  </si>
  <si>
    <t>sh_071_072</t>
  </si>
  <si>
    <t>sh_073</t>
  </si>
  <si>
    <t>sh_08</t>
  </si>
  <si>
    <t>sh_09</t>
  </si>
  <si>
    <t>sh_10</t>
  </si>
  <si>
    <t>sh_11</t>
  </si>
  <si>
    <t>sh_056dom_124</t>
  </si>
  <si>
    <t>sh_121_127</t>
  </si>
  <si>
    <t>Expenditure shares per COICOP category, region and quintile (betas)</t>
  </si>
  <si>
    <t>beta_q1</t>
  </si>
  <si>
    <t>beta_q2</t>
  </si>
  <si>
    <t>beta_q3</t>
  </si>
  <si>
    <t>beta_q4</t>
  </si>
  <si>
    <t>beta_q5</t>
  </si>
  <si>
    <t>Expenditure shares per COICOP category and region, quintile 1</t>
  </si>
  <si>
    <t>Expenditure shares per COICOP category and region, quintile 2</t>
  </si>
  <si>
    <t>Expenditure shares per COICOP category and region, quintile 3</t>
  </si>
  <si>
    <t>Expenditure shares per COICOP category and region, quintile 4</t>
  </si>
  <si>
    <t>Expenditure shares per COICOP category and region, quintile 5</t>
  </si>
  <si>
    <t>betas</t>
  </si>
  <si>
    <t>CP056dom – 124</t>
  </si>
  <si>
    <t>CP056 (domestic services), CP124</t>
  </si>
  <si>
    <t>CP051, CP052, CP053, CP054, CP055, CP056 (non-durable household goods)</t>
  </si>
  <si>
    <t>Care (domestic work and social protection)</t>
  </si>
  <si>
    <t>Housing (actual and imputed rentals, maintenance and repair of the dwelling)</t>
  </si>
  <si>
    <t>beta</t>
  </si>
  <si>
    <t>lambda</t>
  </si>
  <si>
    <t>QUAIDS</t>
  </si>
  <si>
    <t>distr_init_pop_gc</t>
  </si>
  <si>
    <t>Iniitial population per cohort and gender</t>
  </si>
  <si>
    <t>demography</t>
  </si>
  <si>
    <t>Eurostat</t>
  </si>
  <si>
    <t>covid shock</t>
  </si>
  <si>
    <t>covid rebound</t>
  </si>
  <si>
    <t>Output expected shocks</t>
  </si>
  <si>
    <t>Shock in 2021 for expected output, per industry</t>
  </si>
  <si>
    <t>Shock in 2020 for expected output, per industry</t>
  </si>
  <si>
    <t>covid_shock</t>
  </si>
  <si>
    <t>covid_rebound</t>
  </si>
  <si>
    <t>tls base</t>
  </si>
  <si>
    <t>copied from</t>
  </si>
  <si>
    <t>variable name</t>
  </si>
  <si>
    <t>tls_base</t>
  </si>
  <si>
    <t>post debt repayment profits i</t>
  </si>
  <si>
    <t>initial post debt repayment profits i</t>
  </si>
  <si>
    <t>post_debt_repayment_profits</t>
  </si>
  <si>
    <t>yd national initial</t>
  </si>
  <si>
    <t>yd national</t>
  </si>
  <si>
    <t>yd_national_initial</t>
  </si>
  <si>
    <t>unit intermediate demand i</t>
  </si>
  <si>
    <t>initial unit int dem i</t>
  </si>
  <si>
    <t>initial_unit_int_dem</t>
  </si>
  <si>
    <t>health and education market output</t>
  </si>
  <si>
    <t>initial health and education market output</t>
  </si>
  <si>
    <t>init_health_educ</t>
  </si>
  <si>
    <t>intial public market output</t>
  </si>
  <si>
    <t>gov market output</t>
  </si>
  <si>
    <t>init_public</t>
  </si>
  <si>
    <t>initial trans use per output electricity sector</t>
  </si>
  <si>
    <t>trans use per output electricity sector</t>
  </si>
  <si>
    <t>trans_use</t>
  </si>
  <si>
    <t>initial D2 to electricity output ratio</t>
  </si>
  <si>
    <t>D2 to electricity output ratio</t>
  </si>
  <si>
    <t>d2_output_ratio</t>
  </si>
  <si>
    <t>init share yd dynamic</t>
  </si>
  <si>
    <t>share yd dynamic</t>
  </si>
  <si>
    <t>yd_dynamic_share</t>
  </si>
  <si>
    <t>emissions_output</t>
  </si>
  <si>
    <t>emissions per output electricity initial</t>
  </si>
  <si>
    <t>emissions per output electricity</t>
  </si>
  <si>
    <t>initial electricity per output</t>
  </si>
  <si>
    <t>electricity_output</t>
  </si>
  <si>
    <t>electricity per output</t>
  </si>
  <si>
    <t>initial electricity demand</t>
  </si>
  <si>
    <t>end use ff init</t>
  </si>
  <si>
    <t>initial generation</t>
  </si>
  <si>
    <t>initialrun</t>
  </si>
  <si>
    <t>increases u a bit in the medium to long run</t>
  </si>
  <si>
    <t>Initital value of profits after debt repayment per industry</t>
  </si>
  <si>
    <t>Inital value of taxes-less-subsidies rates per industry</t>
  </si>
  <si>
    <t>Initial unit intermediate costs per industry</t>
  </si>
  <si>
    <t>Initial transport use per output of electricity sector, per energy source</t>
  </si>
  <si>
    <t>Initial disposable national income</t>
  </si>
  <si>
    <t>Initital government spending in public industry</t>
  </si>
  <si>
    <t>Initital government spending in health and education industries</t>
  </si>
  <si>
    <t>Initial D2 to electricity output ratio</t>
  </si>
  <si>
    <t>Initial emissions per output in electricity sector</t>
  </si>
  <si>
    <t>Initial electricity per output</t>
  </si>
  <si>
    <t>Initital share of dynamic components in household disposable income, per region and quintile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</si>
</sst>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_-;\-* #,##0_-;_-* &quot;-&quot;_-;_-@_-"/>
    <numFmt numFmtId="165" formatCode="0.000"/>
    <numFmt numFmtId="166" formatCode="0.0000"/>
    <numFmt numFmtId="167" formatCode="0.000000"/>
    <numFmt numFmtId="168" formatCode="0.00000"/>
    <numFmt numFmtId="169" formatCode="#,##0.000"/>
    <numFmt numFmtId="170" formatCode="0.0000000"/>
    <numFmt numFmtId="171" formatCode="_-* #,##0.0000000_-;\-* #,##0.0000000_-;_-* &quot;-&quot;_-;_-@_-"/>
    <numFmt numFmtId="172" formatCode="#,##0.##########"/>
    <numFmt numFmtId="173" formatCode="_-* #,##0.0000000000_-;\-* #,##0.0000000000_-;_-* &quot;-&quot;_-;_-@_-"/>
    <numFmt numFmtId="174" formatCode="0.0000000000"/>
    <numFmt numFmtId="175" formatCode="0.00000.E+00"/>
    <numFmt numFmtId="176" formatCode="0.00.E+00"/>
    <numFmt numFmtId="177" formatCode="0.0000E+00"/>
    <numFmt numFmtId="178" formatCode="0.00000E+00"/>
  </numFmts>
  <fonts count="98">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b/>
      <sz val="11"/>
      <color theme="1"/>
      <name val="Arial"/>
      <family val="2"/>
    </font>
    <font>
      <u/>
      <sz val="11"/>
      <color theme="10"/>
      <name val="Arial"/>
      <family val="2"/>
    </font>
    <font>
      <sz val="11"/>
      <color theme="1"/>
      <name val="Calibri"/>
      <family val="2"/>
    </font>
    <font>
      <b/>
      <sz val="11"/>
      <color rgb="FF000000"/>
      <name val="Calibri"/>
      <family val="2"/>
    </font>
    <font>
      <b/>
      <sz val="11"/>
      <color theme="1"/>
      <name val="Calibri"/>
      <family val="2"/>
    </font>
    <font>
      <sz val="11"/>
      <color rgb="FF000000"/>
      <name val="Calibri"/>
      <family val="2"/>
    </font>
    <font>
      <sz val="11"/>
      <color rgb="FF000000"/>
      <name val="Arial"/>
      <family val="2"/>
    </font>
    <font>
      <b/>
      <sz val="10"/>
      <color theme="1"/>
      <name val="Arial"/>
      <family val="2"/>
    </font>
    <font>
      <b/>
      <sz val="11"/>
      <color rgb="FF000000"/>
      <name val="Arial"/>
      <family val="2"/>
    </font>
    <font>
      <sz val="9"/>
      <color theme="1"/>
      <name val="Arial"/>
      <family val="2"/>
    </font>
    <font>
      <b/>
      <sz val="9"/>
      <color theme="1"/>
      <name val="Arial"/>
      <family val="2"/>
    </font>
    <font>
      <sz val="11"/>
      <color theme="1"/>
      <name val="Arial"/>
      <family val="2"/>
    </font>
    <font>
      <sz val="11"/>
      <color theme="1"/>
      <name val="Arial"/>
      <family val="2"/>
    </font>
    <font>
      <sz val="12"/>
      <color theme="1"/>
      <name val="Arial"/>
      <family val="2"/>
    </font>
    <font>
      <sz val="12"/>
      <color theme="1"/>
      <name val="Calibri"/>
      <family val="2"/>
    </font>
    <font>
      <b/>
      <sz val="12"/>
      <color rgb="FF000000"/>
      <name val="Calibri"/>
      <family val="2"/>
    </font>
    <font>
      <b/>
      <sz val="12"/>
      <color theme="1"/>
      <name val="Arial"/>
      <family val="2"/>
    </font>
    <font>
      <i/>
      <sz val="11"/>
      <color theme="1"/>
      <name val="Arial"/>
      <family val="2"/>
    </font>
    <font>
      <sz val="11"/>
      <color rgb="FF242424"/>
      <name val="Aptos Narrow"/>
      <family val="2"/>
    </font>
    <font>
      <b/>
      <sz val="11"/>
      <color theme="1"/>
      <name val="calibri"/>
      <family val="2"/>
      <scheme val="minor"/>
    </font>
    <font>
      <sz val="11"/>
      <color rgb="FF000000"/>
      <name val="calibri"/>
      <family val="2"/>
      <scheme val="minor"/>
    </font>
    <font>
      <sz val="9"/>
      <name val="Arial"/>
      <family val="2"/>
    </font>
    <font>
      <sz val="8"/>
      <name val="Arial"/>
      <family val="2"/>
    </font>
    <font>
      <sz val="11"/>
      <color theme="1"/>
      <name val="Arial"/>
      <family val="2"/>
      <charset val="1"/>
    </font>
    <font>
      <b/>
      <sz val="10"/>
      <name val="Arial"/>
      <family val="2"/>
    </font>
    <font>
      <sz val="10"/>
      <name val="Arial"/>
      <family val="2"/>
    </font>
    <font>
      <b/>
      <sz val="10"/>
      <color rgb="FF000000"/>
      <name val="Calibri"/>
      <family val="2"/>
    </font>
    <font>
      <sz val="10"/>
      <color theme="1"/>
      <name val="Arial"/>
      <family val="2"/>
    </font>
    <font>
      <sz val="10"/>
      <color theme="1"/>
      <name val="Calibri"/>
      <family val="2"/>
    </font>
    <font>
      <sz val="10"/>
      <color rgb="FF000000"/>
      <name val="Arial"/>
      <family val="2"/>
    </font>
    <font>
      <sz val="10"/>
      <color rgb="FF000000"/>
      <name val="Calibri"/>
      <family val="2"/>
    </font>
    <font>
      <b/>
      <sz val="10"/>
      <color theme="1"/>
      <name val="calibri"/>
      <family val="2"/>
      <scheme val="minor"/>
    </font>
    <font>
      <sz val="11"/>
      <color theme="5" tint="0.39997558519241921"/>
      <name val="Arial"/>
      <family val="2"/>
    </font>
    <font>
      <sz val="11"/>
      <color rgb="FF000000"/>
      <name val="Aptos Narrow"/>
      <family val="2"/>
    </font>
    <font>
      <b/>
      <sz val="16"/>
      <color theme="1"/>
      <name val="Arial"/>
      <family val="2"/>
    </font>
    <font>
      <b/>
      <sz val="18"/>
      <color theme="1"/>
      <name val="Arial"/>
      <family val="2"/>
    </font>
    <font>
      <sz val="18"/>
      <color theme="1"/>
      <name val="Arial"/>
      <family val="2"/>
    </font>
    <font>
      <sz val="12"/>
      <color rgb="FF000000"/>
      <name val="Arial"/>
      <family val="2"/>
    </font>
    <font>
      <b/>
      <sz val="11"/>
      <color rgb="FFC00000"/>
      <name val="Arial"/>
      <family val="2"/>
    </font>
    <font>
      <b/>
      <sz val="11"/>
      <color rgb="FF2F5496"/>
      <name val="Arial"/>
      <family val="2"/>
    </font>
    <font>
      <b/>
      <sz val="11"/>
      <color theme="4"/>
      <name val="Arial"/>
      <family val="2"/>
    </font>
    <font>
      <sz val="11"/>
      <color theme="4"/>
      <name val="Arial"/>
      <family val="2"/>
    </font>
    <font>
      <b/>
      <sz val="18"/>
      <color rgb="FFFF0000"/>
      <name val="Arial"/>
      <family val="2"/>
    </font>
    <font>
      <i/>
      <sz val="16"/>
      <color theme="1"/>
      <name val="Arial"/>
      <family val="2"/>
    </font>
    <font>
      <b/>
      <i/>
      <sz val="10"/>
      <color rgb="FF000000"/>
      <name val="Calibri"/>
      <family val="2"/>
    </font>
    <font>
      <i/>
      <sz val="10"/>
      <color theme="1"/>
      <name val="Arial"/>
      <family val="2"/>
    </font>
    <font>
      <i/>
      <sz val="11"/>
      <color rgb="FF000000"/>
      <name val="calibri"/>
      <family val="2"/>
      <scheme val="minor"/>
    </font>
    <font>
      <sz val="10"/>
      <color rgb="FF000000"/>
      <name val="Aptos Narrow"/>
      <family val="2"/>
    </font>
    <font>
      <b/>
      <sz val="10"/>
      <color theme="1"/>
      <name val="Calibri"/>
      <family val="2"/>
    </font>
    <font>
      <sz val="11"/>
      <name val="calibri"/>
      <family val="2"/>
      <scheme val="minor"/>
    </font>
    <font>
      <sz val="11"/>
      <color theme="5"/>
      <name val="Arial"/>
      <family val="2"/>
    </font>
    <font>
      <u/>
      <sz val="11"/>
      <color theme="10"/>
      <name val="calibri"/>
      <family val="2"/>
      <scheme val="minor"/>
    </font>
    <font>
      <sz val="11"/>
      <color rgb="FFFF0000"/>
      <name val="calibri"/>
      <family val="2"/>
      <scheme val="minor"/>
    </font>
    <font>
      <sz val="11"/>
      <color rgb="FFFF0000"/>
      <name val="Arial"/>
      <family val="2"/>
    </font>
    <font>
      <b/>
      <sz val="11"/>
      <color rgb="FF000000"/>
      <name val="calibri"/>
      <family val="2"/>
      <scheme val="minor"/>
    </font>
    <font>
      <b/>
      <sz val="11"/>
      <name val="Calibri"/>
      <family val="2"/>
    </font>
    <font>
      <b/>
      <sz val="11"/>
      <color rgb="FFFF0000"/>
      <name val="Calibri"/>
      <family val="2"/>
    </font>
    <font>
      <sz val="11"/>
      <color rgb="FFFFFFFF"/>
      <name val="Calibri"/>
      <family val="2"/>
    </font>
    <font>
      <sz val="11"/>
      <name val="Calibri"/>
      <family val="2"/>
    </font>
    <font>
      <sz val="11"/>
      <color rgb="FF182026"/>
      <name val="Helvetica Neue"/>
      <charset val="1"/>
    </font>
    <font>
      <sz val="10"/>
      <color theme="5" tint="0.39997558519241921"/>
      <name val="Arial"/>
      <family val="2"/>
    </font>
    <font>
      <b/>
      <sz val="10"/>
      <color rgb="FF000000"/>
      <name val="calibri"/>
      <family val="2"/>
      <scheme val="minor"/>
    </font>
    <font>
      <sz val="8"/>
      <name val="Arial"/>
      <family val="2"/>
    </font>
    <font>
      <b/>
      <sz val="11"/>
      <name val="Calibri"/>
      <family val="2"/>
    </font>
    <font>
      <u/>
      <sz val="11"/>
      <color theme="10"/>
      <name val="Arial"/>
      <family val="2"/>
    </font>
    <font>
      <b/>
      <u/>
      <sz val="11"/>
      <color theme="1"/>
      <name val="calibri"/>
      <family val="2"/>
      <scheme val="minor"/>
    </font>
    <font>
      <sz val="11"/>
      <name val="Arial"/>
      <family val="2"/>
    </font>
    <font>
      <b/>
      <u/>
      <sz val="9"/>
      <color indexed="18"/>
      <name val="Verdana"/>
      <family val="2"/>
    </font>
    <font>
      <b/>
      <sz val="8"/>
      <color indexed="9"/>
      <name val="Verdana"/>
      <family val="2"/>
    </font>
    <font>
      <u/>
      <sz val="8"/>
      <color indexed="9"/>
      <name val="Verdana"/>
      <family val="2"/>
    </font>
    <font>
      <sz val="8"/>
      <color indexed="9"/>
      <name val="Verdana"/>
      <family val="2"/>
    </font>
    <font>
      <b/>
      <sz val="8"/>
      <name val="Verdana"/>
      <family val="2"/>
    </font>
    <font>
      <b/>
      <sz val="9"/>
      <color indexed="10"/>
      <name val="Courier New"/>
      <family val="3"/>
    </font>
    <font>
      <sz val="8"/>
      <name val="Verdana"/>
      <family val="2"/>
    </font>
    <font>
      <u/>
      <sz val="8"/>
      <name val="Verdana"/>
      <family val="2"/>
    </font>
    <font>
      <b/>
      <sz val="10"/>
      <color rgb="FF5B9BD5"/>
      <name val="Arial"/>
      <family val="2"/>
    </font>
    <font>
      <b/>
      <sz val="11"/>
      <color rgb="FF5B9BD5"/>
      <name val="Arial"/>
      <family val="2"/>
    </font>
    <font>
      <b/>
      <sz val="10"/>
      <color rgb="FFC00000"/>
      <name val="Arial"/>
      <family val="2"/>
    </font>
    <font>
      <b/>
      <sz val="10"/>
      <color rgb="FFFF0000"/>
      <name val="Arial"/>
      <family val="2"/>
    </font>
    <font>
      <sz val="10"/>
      <color rgb="FF0000FF"/>
      <name val="Arial"/>
      <family val="2"/>
    </font>
    <font>
      <sz val="9"/>
      <color rgb="FF0000FF"/>
      <name val="Arial"/>
      <family val="2"/>
    </font>
    <font>
      <sz val="14"/>
      <color theme="1"/>
      <name val="Calibri"/>
      <family val="2"/>
    </font>
    <font>
      <b/>
      <u/>
      <sz val="10"/>
      <color theme="1"/>
      <name val="calibri"/>
      <family val="2"/>
      <scheme val="minor"/>
    </font>
    <font>
      <sz val="10"/>
      <color theme="1"/>
      <name val="calibri"/>
      <family val="2"/>
      <scheme val="minor"/>
    </font>
    <font>
      <i/>
      <sz val="11"/>
      <color rgb="FFFF0000"/>
      <name val="Calibri"/>
      <family val="2"/>
    </font>
    <font>
      <sz val="18"/>
      <color rgb="FFFF0000"/>
      <name val="Arial"/>
      <family val="2"/>
    </font>
    <font>
      <sz val="12"/>
      <color rgb="FFFF0000"/>
      <name val="Arial"/>
      <family val="2"/>
    </font>
    <font>
      <sz val="12"/>
      <color rgb="FFFF0000"/>
      <name val="Calibri"/>
      <family val="2"/>
    </font>
    <font>
      <u/>
      <sz val="20"/>
      <color theme="10"/>
      <name val="Arial"/>
      <family val="2"/>
    </font>
    <font>
      <sz val="11"/>
      <color rgb="FF0000FF"/>
      <name val="Aptos Narrow"/>
      <family val="2"/>
    </font>
    <font>
      <sz val="12"/>
      <color rgb="FF0000FF"/>
      <name val="Calibri"/>
      <family val="2"/>
    </font>
    <font>
      <sz val="11"/>
      <color rgb="FF0000FF"/>
      <name val="Arial"/>
      <family val="2"/>
    </font>
    <font>
      <sz val="12"/>
      <color rgb="FF0000FF"/>
      <name val="Arial"/>
      <family val="2"/>
    </font>
    <font>
      <i/>
      <sz val="11"/>
      <color rgb="FFFF0000"/>
      <name val="Arial"/>
      <family val="2"/>
    </font>
  </fonts>
  <fills count="49">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6F6F6"/>
        <bgColor rgb="FF000000"/>
      </patternFill>
    </fill>
    <fill>
      <patternFill patternType="solid">
        <fgColor rgb="FFFFFFFF"/>
        <bgColor rgb="FF000000"/>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rgb="FF0549AB"/>
        <bgColor rgb="FF000000"/>
      </patternFill>
    </fill>
    <fill>
      <patternFill patternType="solid">
        <fgColor rgb="FFF1F1F1"/>
        <bgColor rgb="FF000000"/>
      </patternFill>
    </fill>
    <fill>
      <patternFill patternType="solid">
        <fgColor theme="0" tint="-0.14999847407452621"/>
        <bgColor indexed="64"/>
      </patternFill>
    </fill>
    <fill>
      <patternFill patternType="solid">
        <fgColor theme="4" tint="0.79998168889431442"/>
        <bgColor indexed="64"/>
      </patternFill>
    </fill>
    <fill>
      <patternFill patternType="solid">
        <fgColor theme="2" tint="-0.249977111117893"/>
        <bgColor indexed="64"/>
      </patternFill>
    </fill>
    <fill>
      <patternFill patternType="solid">
        <fgColor rgb="FFFF0000"/>
        <bgColor indexed="64"/>
      </patternFill>
    </fill>
    <fill>
      <patternFill patternType="solid">
        <fgColor theme="6"/>
        <bgColor indexed="64"/>
      </patternFill>
    </fill>
    <fill>
      <patternFill patternType="solid">
        <fgColor theme="9" tint="0.39997558519241921"/>
        <bgColor indexed="64"/>
      </patternFill>
    </fill>
    <fill>
      <patternFill patternType="solid">
        <fgColor theme="5"/>
        <bgColor indexed="64"/>
      </patternFill>
    </fill>
    <fill>
      <patternFill patternType="solid">
        <fgColor theme="7"/>
        <bgColor indexed="64"/>
      </patternFill>
    </fill>
    <fill>
      <patternFill patternType="solid">
        <fgColor theme="9"/>
        <bgColor indexed="64"/>
      </patternFill>
    </fill>
    <fill>
      <patternFill patternType="solid">
        <fgColor rgb="FF2973BD"/>
        <bgColor indexed="64"/>
      </patternFill>
    </fill>
    <fill>
      <patternFill patternType="solid">
        <fgColor rgb="FF00A1E3"/>
        <bgColor indexed="64"/>
      </patternFill>
    </fill>
    <fill>
      <patternFill patternType="solid">
        <fgColor rgb="FFC4D8ED"/>
        <bgColor indexed="64"/>
      </patternFill>
    </fill>
    <fill>
      <patternFill patternType="mediumGray">
        <fgColor rgb="FFC0C0C0"/>
        <bgColor rgb="FFFFFFFF"/>
      </patternFill>
    </fill>
    <fill>
      <patternFill patternType="solid">
        <fgColor rgb="FFF0F8FF"/>
        <bgColor indexed="64"/>
      </patternFill>
    </fill>
    <fill>
      <patternFill patternType="solid">
        <fgColor rgb="FFE2EFD9"/>
        <bgColor indexed="64"/>
      </patternFill>
    </fill>
    <fill>
      <patternFill patternType="solid">
        <fgColor rgb="FFE7E6E6"/>
        <bgColor indexed="64"/>
      </patternFill>
    </fill>
    <fill>
      <patternFill patternType="solid">
        <fgColor rgb="FFFBE4D5"/>
        <bgColor indexed="64"/>
      </patternFill>
    </fill>
    <fill>
      <patternFill patternType="solid">
        <fgColor rgb="FFED7D31"/>
        <bgColor indexed="64"/>
      </patternFill>
    </fill>
    <fill>
      <patternFill patternType="solid">
        <fgColor rgb="FFD9E2F3"/>
        <bgColor indexed="64"/>
      </patternFill>
    </fill>
    <fill>
      <patternFill patternType="solid">
        <fgColor rgb="FF8EAADB"/>
        <bgColor indexed="64"/>
      </patternFill>
    </fill>
    <fill>
      <patternFill patternType="solid">
        <fgColor rgb="FFF7CAAC"/>
        <bgColor indexed="64"/>
      </patternFill>
    </fill>
    <fill>
      <patternFill patternType="solid">
        <fgColor rgb="FFFEF2CB"/>
        <bgColor indexed="64"/>
      </patternFill>
    </fill>
    <fill>
      <patternFill patternType="solid">
        <fgColor rgb="FFFFE598"/>
        <bgColor indexed="64"/>
      </patternFill>
    </fill>
    <fill>
      <patternFill patternType="solid">
        <fgColor rgb="FFC5E0B3"/>
        <bgColor indexed="64"/>
      </patternFill>
    </fill>
    <fill>
      <patternFill patternType="solid">
        <fgColor rgb="FFA8D08D"/>
        <bgColor indexed="64"/>
      </patternFill>
    </fill>
    <fill>
      <patternFill patternType="solid">
        <fgColor rgb="FF548135"/>
        <bgColor indexed="64"/>
      </patternFill>
    </fill>
    <fill>
      <patternFill patternType="solid">
        <fgColor rgb="FFECECEC"/>
        <bgColor indexed="64"/>
      </patternFill>
    </fill>
    <fill>
      <patternFill patternType="solid">
        <fgColor rgb="FFD0CECE"/>
        <bgColor indexed="64"/>
      </patternFill>
    </fill>
    <fill>
      <patternFill patternType="solid">
        <fgColor rgb="FFAEABAB"/>
        <bgColor indexed="64"/>
      </patternFill>
    </fill>
    <fill>
      <patternFill patternType="solid">
        <fgColor rgb="FFC8C8C8"/>
        <bgColor indexed="64"/>
      </patternFill>
    </fill>
    <fill>
      <patternFill patternType="solid">
        <fgColor rgb="FFFFFFFF"/>
        <bgColor indexed="64"/>
      </patternFill>
    </fill>
    <fill>
      <patternFill patternType="solid">
        <fgColor theme="2" tint="-9.9978637043366805E-2"/>
        <bgColor indexed="64"/>
      </patternFill>
    </fill>
    <fill>
      <patternFill patternType="solid">
        <fgColor rgb="FFD9D9D9"/>
        <bgColor rgb="FFD9D9D9"/>
      </patternFill>
    </fill>
    <fill>
      <patternFill patternType="solid">
        <fgColor rgb="FF92D050"/>
        <bgColor indexed="64"/>
      </patternFill>
    </fill>
    <fill>
      <patternFill patternType="solid">
        <fgColor theme="5" tint="0.59999389629810485"/>
        <bgColor indexed="64"/>
      </patternFill>
    </fill>
    <fill>
      <patternFill patternType="solid">
        <fgColor theme="2" tint="-0.14999847407452621"/>
        <bgColor indexed="64"/>
      </patternFill>
    </fill>
    <fill>
      <patternFill patternType="solid">
        <fgColor theme="9" tint="0.59999389629810485"/>
        <bgColor indexed="64"/>
      </patternFill>
    </fill>
  </fills>
  <borders count="74">
    <border>
      <left/>
      <right/>
      <top/>
      <bottom/>
      <diagonal/>
    </border>
    <border>
      <left/>
      <right/>
      <top/>
      <bottom/>
      <diagonal/>
    </border>
    <border>
      <left/>
      <right/>
      <top style="thin">
        <color indexed="64"/>
      </top>
      <bottom/>
      <diagonal/>
    </border>
    <border>
      <left style="thin">
        <color rgb="FFCEDAE4"/>
      </left>
      <right style="thin">
        <color rgb="FFCEDAE4"/>
      </right>
      <top style="thin">
        <color rgb="FFCEDAE4"/>
      </top>
      <bottom style="thin">
        <color rgb="FFCEDAE4"/>
      </bottom>
      <diagonal/>
    </border>
    <border>
      <left/>
      <right style="thin">
        <color rgb="FFCEDAE4"/>
      </right>
      <top style="thin">
        <color rgb="FFCEDAE4"/>
      </top>
      <bottom style="thin">
        <color rgb="FFCEDA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CCCCCC"/>
      </left>
      <right style="medium">
        <color rgb="FFCCCCCC"/>
      </right>
      <top style="medium">
        <color rgb="FFCCCCCC"/>
      </top>
      <bottom style="medium">
        <color rgb="FFCCCCCC"/>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right style="thin">
        <color rgb="FF000000"/>
      </right>
      <top/>
      <bottom style="thin">
        <color indexed="64"/>
      </bottom>
      <diagonal/>
    </border>
    <border>
      <left/>
      <right style="thin">
        <color rgb="FF000000"/>
      </right>
      <top style="thin">
        <color indexed="64"/>
      </top>
      <bottom style="thin">
        <color rgb="FF000000"/>
      </bottom>
      <diagonal/>
    </border>
    <border>
      <left/>
      <right style="mediumDashed">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auto="1"/>
      </left>
      <right/>
      <top style="thin">
        <color auto="1"/>
      </top>
      <bottom style="thin">
        <color auto="1"/>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style="thin">
        <color rgb="FFC0C0C0"/>
      </right>
      <top/>
      <bottom/>
      <diagonal/>
    </border>
    <border>
      <left style="medium">
        <color rgb="FFCCCCCC"/>
      </left>
      <right style="medium">
        <color rgb="FF000000"/>
      </right>
      <top style="medium">
        <color rgb="FFCCCCCC"/>
      </top>
      <bottom style="medium">
        <color rgb="FF000000"/>
      </bottom>
      <diagonal/>
    </border>
    <border>
      <left style="thin">
        <color rgb="FFC0C0C0"/>
      </left>
      <right style="thin">
        <color rgb="FFC0C0C0"/>
      </right>
      <top/>
      <bottom style="thin">
        <color rgb="FFC0C0C0"/>
      </bottom>
      <diagonal/>
    </border>
    <border>
      <left style="thin">
        <color rgb="FFC0C0C0"/>
      </left>
      <right/>
      <top/>
      <bottom style="thin">
        <color rgb="FFC0C0C0"/>
      </bottom>
      <diagonal/>
    </border>
    <border>
      <left/>
      <right/>
      <top/>
      <bottom style="thin">
        <color rgb="FFC0C0C0"/>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CCCCCC"/>
      </top>
      <bottom/>
      <diagonal/>
    </border>
    <border>
      <left style="medium">
        <color rgb="FFCCCCCC"/>
      </left>
      <right style="medium">
        <color rgb="FF000000"/>
      </right>
      <top/>
      <bottom/>
      <diagonal/>
    </border>
    <border>
      <left style="medium">
        <color rgb="FFCCCCCC"/>
      </left>
      <right style="medium">
        <color rgb="FF000000"/>
      </right>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000000"/>
      </bottom>
      <diagonal/>
    </border>
    <border>
      <left/>
      <right style="medium">
        <color rgb="FFCCCCCC"/>
      </right>
      <top style="medium">
        <color rgb="FFCCCCCC"/>
      </top>
      <bottom style="medium">
        <color rgb="FF000000"/>
      </bottom>
      <diagonal/>
    </border>
    <border>
      <left style="thick">
        <color rgb="FF000000"/>
      </left>
      <right/>
      <top style="medium">
        <color rgb="FFCCCCCC"/>
      </top>
      <bottom style="medium">
        <color rgb="FF000000"/>
      </bottom>
      <diagonal/>
    </border>
    <border>
      <left/>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right/>
      <top/>
      <bottom style="medium">
        <color rgb="FFCCCCCC"/>
      </bottom>
      <diagonal/>
    </border>
  </borders>
  <cellStyleXfs count="11">
    <xf numFmtId="0" fontId="0" fillId="0" borderId="0"/>
    <xf numFmtId="164" fontId="16" fillId="0" borderId="0" applyFont="0" applyFill="0" applyBorder="0" applyAlignment="0" applyProtection="0"/>
    <xf numFmtId="0" fontId="24" fillId="0" borderId="1"/>
    <xf numFmtId="0" fontId="15" fillId="0" borderId="1"/>
    <xf numFmtId="0" fontId="29" fillId="0" borderId="1"/>
    <xf numFmtId="0" fontId="3" fillId="0" borderId="1"/>
    <xf numFmtId="0" fontId="55" fillId="0" borderId="1" applyNumberFormat="0" applyFill="0" applyBorder="0" applyAlignment="0" applyProtection="0"/>
    <xf numFmtId="0" fontId="2" fillId="0" borderId="1"/>
    <xf numFmtId="164" fontId="24" fillId="0" borderId="1" applyFont="0" applyFill="0" applyBorder="0" applyAlignment="0" applyProtection="0"/>
    <xf numFmtId="0" fontId="1" fillId="0" borderId="1"/>
    <xf numFmtId="0" fontId="68" fillId="0" borderId="0" applyNumberFormat="0" applyFill="0" applyBorder="0" applyAlignment="0" applyProtection="0"/>
  </cellStyleXfs>
  <cellXfs count="585">
    <xf numFmtId="0" fontId="0" fillId="0" borderId="0" xfId="0"/>
    <xf numFmtId="0" fontId="4" fillId="0" borderId="0" xfId="0" applyFont="1"/>
    <xf numFmtId="0" fontId="6" fillId="0" borderId="0" xfId="0" applyFont="1"/>
    <xf numFmtId="0" fontId="6" fillId="0" borderId="0" xfId="0" applyFont="1" applyAlignment="1">
      <alignment horizontal="right"/>
    </xf>
    <xf numFmtId="0" fontId="7" fillId="0" borderId="0" xfId="0" applyFont="1"/>
    <xf numFmtId="0" fontId="8" fillId="0" borderId="0" xfId="0" applyFont="1"/>
    <xf numFmtId="11" fontId="6" fillId="0" borderId="0" xfId="0" applyNumberFormat="1" applyFont="1" applyAlignment="1">
      <alignment horizontal="right"/>
    </xf>
    <xf numFmtId="0" fontId="9" fillId="0" borderId="0" xfId="0" applyFont="1" applyAlignment="1">
      <alignment horizontal="right"/>
    </xf>
    <xf numFmtId="0" fontId="9" fillId="0" borderId="0" xfId="0" applyFont="1"/>
    <xf numFmtId="11" fontId="9" fillId="0" borderId="0" xfId="0" applyNumberFormat="1" applyFont="1" applyAlignment="1">
      <alignment horizontal="right"/>
    </xf>
    <xf numFmtId="166" fontId="0" fillId="0" borderId="0" xfId="0" applyNumberFormat="1"/>
    <xf numFmtId="0" fontId="10" fillId="0" borderId="0" xfId="0" applyFont="1"/>
    <xf numFmtId="0" fontId="10" fillId="0" borderId="0" xfId="0" applyFont="1" applyAlignment="1">
      <alignment horizontal="right"/>
    </xf>
    <xf numFmtId="0" fontId="9" fillId="0" borderId="0" xfId="0" applyFont="1" applyAlignment="1">
      <alignment horizontal="center"/>
    </xf>
    <xf numFmtId="0" fontId="14" fillId="0" borderId="0" xfId="0" applyFont="1" applyAlignment="1">
      <alignment horizontal="left"/>
    </xf>
    <xf numFmtId="0" fontId="15" fillId="0" borderId="0" xfId="0" applyFont="1"/>
    <xf numFmtId="0" fontId="17" fillId="0" borderId="0" xfId="0" applyFont="1"/>
    <xf numFmtId="0" fontId="18" fillId="0" borderId="0" xfId="0" applyFont="1"/>
    <xf numFmtId="0" fontId="7" fillId="2" borderId="0" xfId="0" applyFont="1" applyFill="1"/>
    <xf numFmtId="0" fontId="0" fillId="2" borderId="0" xfId="0" applyFill="1"/>
    <xf numFmtId="0" fontId="6" fillId="2" borderId="0" xfId="0" applyFont="1" applyFill="1"/>
    <xf numFmtId="0" fontId="21" fillId="0" borderId="0" xfId="0" applyFont="1"/>
    <xf numFmtId="1" fontId="0" fillId="0" borderId="0" xfId="0" applyNumberFormat="1"/>
    <xf numFmtId="0" fontId="0" fillId="0" borderId="0" xfId="0" applyAlignment="1">
      <alignment horizontal="left" vertical="top"/>
    </xf>
    <xf numFmtId="0" fontId="4" fillId="0" borderId="0" xfId="0" applyFont="1" applyAlignment="1">
      <alignment horizontal="left" vertical="top"/>
    </xf>
    <xf numFmtId="0" fontId="12" fillId="2" borderId="0" xfId="0" applyFont="1" applyFill="1"/>
    <xf numFmtId="0" fontId="23" fillId="0" borderId="0" xfId="0" applyFont="1" applyAlignment="1">
      <alignment horizontal="left"/>
    </xf>
    <xf numFmtId="0" fontId="22" fillId="0" borderId="0" xfId="0" applyFont="1"/>
    <xf numFmtId="1" fontId="6" fillId="0" borderId="0" xfId="0" applyNumberFormat="1" applyFont="1" applyAlignment="1">
      <alignment horizontal="right"/>
    </xf>
    <xf numFmtId="1" fontId="0" fillId="0" borderId="0" xfId="0" applyNumberFormat="1" applyAlignment="1">
      <alignment horizontal="left" vertical="top"/>
    </xf>
    <xf numFmtId="0" fontId="9" fillId="0" borderId="1" xfId="0" applyFont="1" applyBorder="1"/>
    <xf numFmtId="0" fontId="7" fillId="0" borderId="0" xfId="0" applyFont="1" applyAlignment="1">
      <alignment horizontal="right"/>
    </xf>
    <xf numFmtId="0" fontId="12" fillId="0" borderId="0" xfId="0" applyFont="1" applyAlignment="1">
      <alignment horizontal="right"/>
    </xf>
    <xf numFmtId="0" fontId="4" fillId="0" borderId="0" xfId="0" applyFont="1" applyAlignment="1">
      <alignment horizontal="right"/>
    </xf>
    <xf numFmtId="2" fontId="9" fillId="0" borderId="0" xfId="0" applyNumberFormat="1" applyFont="1" applyAlignment="1">
      <alignment horizontal="right"/>
    </xf>
    <xf numFmtId="0" fontId="17" fillId="4" borderId="0" xfId="0" applyFont="1" applyFill="1"/>
    <xf numFmtId="0" fontId="24" fillId="0" borderId="1" xfId="2"/>
    <xf numFmtId="0" fontId="8" fillId="2" borderId="0" xfId="0" applyFont="1" applyFill="1"/>
    <xf numFmtId="0" fontId="27" fillId="0" borderId="0" xfId="0" applyFont="1"/>
    <xf numFmtId="2" fontId="0" fillId="0" borderId="0" xfId="0" applyNumberFormat="1"/>
    <xf numFmtId="1" fontId="10" fillId="0" borderId="0" xfId="0" applyNumberFormat="1" applyFont="1"/>
    <xf numFmtId="167" fontId="0" fillId="0" borderId="0" xfId="0" applyNumberFormat="1"/>
    <xf numFmtId="0" fontId="0" fillId="0" borderId="2" xfId="0" applyBorder="1"/>
    <xf numFmtId="0" fontId="4" fillId="0" borderId="2" xfId="0" applyFont="1" applyBorder="1" applyAlignment="1">
      <alignment horizontal="right"/>
    </xf>
    <xf numFmtId="0" fontId="11" fillId="0" borderId="0" xfId="0" applyFont="1" applyAlignment="1">
      <alignment horizontal="left" vertical="top"/>
    </xf>
    <xf numFmtId="0" fontId="31" fillId="0" borderId="0" xfId="0" applyFont="1"/>
    <xf numFmtId="0" fontId="32" fillId="0" borderId="0" xfId="0" applyFont="1" applyAlignment="1">
      <alignment horizontal="right"/>
    </xf>
    <xf numFmtId="11" fontId="32" fillId="0" borderId="0" xfId="0" applyNumberFormat="1" applyFont="1" applyAlignment="1">
      <alignment horizontal="right"/>
    </xf>
    <xf numFmtId="0" fontId="33" fillId="0" borderId="0" xfId="0" applyFont="1"/>
    <xf numFmtId="0" fontId="31" fillId="0" borderId="1" xfId="0" applyFont="1" applyBorder="1"/>
    <xf numFmtId="0" fontId="34" fillId="0" borderId="0" xfId="0" applyFont="1"/>
    <xf numFmtId="0" fontId="34" fillId="0" borderId="0" xfId="0" applyFont="1" applyAlignment="1">
      <alignment horizontal="left" wrapText="1"/>
    </xf>
    <xf numFmtId="11" fontId="31" fillId="0" borderId="0" xfId="0" applyNumberFormat="1" applyFont="1"/>
    <xf numFmtId="0" fontId="31" fillId="2" borderId="0" xfId="0" applyFont="1" applyFill="1"/>
    <xf numFmtId="0" fontId="35" fillId="0" borderId="0" xfId="0" applyFont="1" applyAlignment="1">
      <alignment horizontal="left"/>
    </xf>
    <xf numFmtId="168" fontId="32" fillId="0" borderId="0" xfId="0" applyNumberFormat="1" applyFont="1" applyAlignment="1">
      <alignment horizontal="right"/>
    </xf>
    <xf numFmtId="0" fontId="34" fillId="2" borderId="0" xfId="0" applyFont="1" applyFill="1"/>
    <xf numFmtId="0" fontId="4" fillId="3" borderId="0" xfId="0" applyFont="1" applyFill="1"/>
    <xf numFmtId="0" fontId="11" fillId="3" borderId="0" xfId="0" applyFont="1" applyFill="1" applyAlignment="1">
      <alignment horizontal="left" vertical="top"/>
    </xf>
    <xf numFmtId="0" fontId="31" fillId="0" borderId="2" xfId="0" applyFont="1" applyBorder="1"/>
    <xf numFmtId="0" fontId="7" fillId="0" borderId="1" xfId="0" applyFont="1" applyBorder="1"/>
    <xf numFmtId="0" fontId="30" fillId="0" borderId="1" xfId="0" applyFont="1" applyBorder="1"/>
    <xf numFmtId="0" fontId="19" fillId="3" borderId="0" xfId="0" applyFont="1" applyFill="1"/>
    <xf numFmtId="168" fontId="6" fillId="0" borderId="0" xfId="0" applyNumberFormat="1" applyFont="1" applyAlignment="1">
      <alignment horizontal="right"/>
    </xf>
    <xf numFmtId="0" fontId="36" fillId="0" borderId="0" xfId="0" applyFont="1" applyAlignment="1">
      <alignment horizontal="right"/>
    </xf>
    <xf numFmtId="0" fontId="36" fillId="0" borderId="0" xfId="0" applyFont="1"/>
    <xf numFmtId="11" fontId="36" fillId="0" borderId="0" xfId="0" applyNumberFormat="1" applyFont="1"/>
    <xf numFmtId="0" fontId="31" fillId="0" borderId="0" xfId="0" applyFont="1" applyAlignment="1">
      <alignment horizontal="left"/>
    </xf>
    <xf numFmtId="0" fontId="6" fillId="0" borderId="1" xfId="3" applyFont="1"/>
    <xf numFmtId="0" fontId="15" fillId="0" borderId="1" xfId="3"/>
    <xf numFmtId="0" fontId="9" fillId="0" borderId="1" xfId="3" applyFont="1"/>
    <xf numFmtId="0" fontId="37" fillId="0" borderId="1" xfId="3" applyFont="1"/>
    <xf numFmtId="4" fontId="9" fillId="0" borderId="1" xfId="3" applyNumberFormat="1" applyFont="1" applyAlignment="1">
      <alignment horizontal="right"/>
    </xf>
    <xf numFmtId="4" fontId="15" fillId="0" borderId="1" xfId="3" applyNumberFormat="1"/>
    <xf numFmtId="0" fontId="9" fillId="0" borderId="1" xfId="3" applyFont="1" applyAlignment="1">
      <alignment horizontal="right"/>
    </xf>
    <xf numFmtId="169" fontId="25" fillId="5" borderId="1" xfId="3" applyNumberFormat="1" applyFont="1" applyFill="1"/>
    <xf numFmtId="11" fontId="15" fillId="0" borderId="1" xfId="3" applyNumberFormat="1"/>
    <xf numFmtId="0" fontId="10" fillId="0" borderId="1" xfId="3" applyFont="1"/>
    <xf numFmtId="20" fontId="33" fillId="6" borderId="3" xfId="3" applyNumberFormat="1" applyFont="1" applyFill="1" applyBorder="1"/>
    <xf numFmtId="0" fontId="10" fillId="0" borderId="1" xfId="3" applyFont="1" applyAlignment="1">
      <alignment horizontal="right"/>
    </xf>
    <xf numFmtId="20" fontId="33" fillId="6" borderId="4" xfId="3" applyNumberFormat="1" applyFont="1" applyFill="1" applyBorder="1"/>
    <xf numFmtId="0" fontId="0" fillId="8" borderId="0" xfId="0" applyFill="1"/>
    <xf numFmtId="0" fontId="0" fillId="8" borderId="5" xfId="0" applyFill="1" applyBorder="1"/>
    <xf numFmtId="0" fontId="0" fillId="8" borderId="6" xfId="0" applyFill="1" applyBorder="1"/>
    <xf numFmtId="0" fontId="0" fillId="8" borderId="7" xfId="0" applyFill="1" applyBorder="1"/>
    <xf numFmtId="0" fontId="0" fillId="8" borderId="8" xfId="0" applyFill="1" applyBorder="1"/>
    <xf numFmtId="0" fontId="15" fillId="8" borderId="1" xfId="0" applyFont="1" applyFill="1" applyBorder="1"/>
    <xf numFmtId="0" fontId="0" fillId="8" borderId="1" xfId="0" applyFill="1" applyBorder="1"/>
    <xf numFmtId="0" fontId="0" fillId="8" borderId="9" xfId="0" applyFill="1" applyBorder="1"/>
    <xf numFmtId="0" fontId="4" fillId="8" borderId="1" xfId="0" applyFont="1" applyFill="1" applyBorder="1"/>
    <xf numFmtId="0" fontId="39" fillId="8" borderId="1" xfId="0" applyFont="1" applyFill="1" applyBorder="1"/>
    <xf numFmtId="0" fontId="40" fillId="8" borderId="9" xfId="0" applyFont="1" applyFill="1" applyBorder="1"/>
    <xf numFmtId="0" fontId="40" fillId="8" borderId="0" xfId="0" applyFont="1" applyFill="1"/>
    <xf numFmtId="0" fontId="4" fillId="8" borderId="0" xfId="0" applyFont="1" applyFill="1"/>
    <xf numFmtId="0" fontId="0" fillId="8" borderId="9" xfId="0" applyFill="1" applyBorder="1" applyAlignment="1">
      <alignment wrapText="1"/>
    </xf>
    <xf numFmtId="0" fontId="0" fillId="8" borderId="0" xfId="0" applyFill="1" applyAlignment="1">
      <alignment wrapText="1"/>
    </xf>
    <xf numFmtId="0" fontId="0" fillId="8" borderId="10" xfId="0" applyFill="1" applyBorder="1"/>
    <xf numFmtId="0" fontId="0" fillId="8" borderId="11" xfId="0" applyFill="1" applyBorder="1"/>
    <xf numFmtId="0" fontId="0" fillId="8" borderId="12" xfId="0" applyFill="1" applyBorder="1" applyAlignment="1">
      <alignment wrapText="1"/>
    </xf>
    <xf numFmtId="0" fontId="15" fillId="8" borderId="0" xfId="0" applyFont="1" applyFill="1"/>
    <xf numFmtId="0" fontId="4" fillId="8" borderId="1" xfId="0" applyFont="1" applyFill="1" applyBorder="1" applyAlignment="1">
      <alignment vertical="top"/>
    </xf>
    <xf numFmtId="0" fontId="21" fillId="8" borderId="1" xfId="0" applyFont="1" applyFill="1" applyBorder="1" applyAlignment="1">
      <alignment vertical="top"/>
    </xf>
    <xf numFmtId="3" fontId="9" fillId="0" borderId="1" xfId="3" applyNumberFormat="1" applyFont="1"/>
    <xf numFmtId="0" fontId="10" fillId="0" borderId="1" xfId="0" applyFont="1" applyBorder="1"/>
    <xf numFmtId="0" fontId="4" fillId="8" borderId="0" xfId="0" applyFont="1" applyFill="1" applyAlignment="1">
      <alignment horizontal="right"/>
    </xf>
    <xf numFmtId="0" fontId="0" fillId="8" borderId="0" xfId="0" applyFill="1" applyAlignment="1">
      <alignment horizontal="center"/>
    </xf>
    <xf numFmtId="0" fontId="15" fillId="8" borderId="1" xfId="0" applyFont="1" applyFill="1" applyBorder="1" applyAlignment="1">
      <alignment vertical="top" wrapText="1"/>
    </xf>
    <xf numFmtId="0" fontId="0" fillId="8" borderId="0" xfId="0" applyFill="1" applyAlignment="1">
      <alignment vertical="top" wrapText="1"/>
    </xf>
    <xf numFmtId="0" fontId="46" fillId="8" borderId="1" xfId="0" applyFont="1" applyFill="1" applyBorder="1"/>
    <xf numFmtId="0" fontId="47" fillId="8" borderId="1" xfId="0" applyFont="1" applyFill="1" applyBorder="1"/>
    <xf numFmtId="0" fontId="38" fillId="8" borderId="1" xfId="0" applyFont="1" applyFill="1" applyBorder="1" applyAlignment="1">
      <alignment vertical="top"/>
    </xf>
    <xf numFmtId="0" fontId="6" fillId="9" borderId="0" xfId="0" applyFont="1" applyFill="1"/>
    <xf numFmtId="0" fontId="0" fillId="9" borderId="0" xfId="0" applyFill="1"/>
    <xf numFmtId="0" fontId="48" fillId="0" borderId="1" xfId="0" applyFont="1" applyBorder="1"/>
    <xf numFmtId="0" fontId="49" fillId="4" borderId="0" xfId="0" applyFont="1" applyFill="1"/>
    <xf numFmtId="0" fontId="50" fillId="0" borderId="1" xfId="2" applyFont="1"/>
    <xf numFmtId="0" fontId="8" fillId="9" borderId="0" xfId="0" applyFont="1" applyFill="1"/>
    <xf numFmtId="0" fontId="12" fillId="9" borderId="0" xfId="0" applyFont="1" applyFill="1"/>
    <xf numFmtId="0" fontId="10" fillId="9" borderId="0" xfId="0" applyFont="1" applyFill="1"/>
    <xf numFmtId="0" fontId="33" fillId="0" borderId="1" xfId="3" applyFont="1"/>
    <xf numFmtId="0" fontId="31" fillId="0" borderId="1" xfId="3" applyFont="1"/>
    <xf numFmtId="0" fontId="12" fillId="2" borderId="1" xfId="3" applyFont="1" applyFill="1"/>
    <xf numFmtId="0" fontId="6" fillId="2" borderId="1" xfId="3" applyFont="1" applyFill="1"/>
    <xf numFmtId="0" fontId="15" fillId="2" borderId="1" xfId="3" applyFill="1"/>
    <xf numFmtId="0" fontId="51" fillId="0" borderId="1" xfId="3" applyFont="1"/>
    <xf numFmtId="0" fontId="9" fillId="2" borderId="1" xfId="3" applyFont="1" applyFill="1"/>
    <xf numFmtId="0" fontId="9" fillId="0" borderId="1" xfId="3" applyFont="1" applyAlignment="1">
      <alignment horizontal="center"/>
    </xf>
    <xf numFmtId="0" fontId="31" fillId="2" borderId="1" xfId="3" applyFont="1" applyFill="1" applyAlignment="1">
      <alignment horizontal="center"/>
    </xf>
    <xf numFmtId="0" fontId="31" fillId="2" borderId="1" xfId="3" applyFont="1" applyFill="1"/>
    <xf numFmtId="0" fontId="13" fillId="0" borderId="1" xfId="3" applyFont="1"/>
    <xf numFmtId="0" fontId="41" fillId="0" borderId="1" xfId="3" applyFont="1" applyAlignment="1">
      <alignment horizontal="right"/>
    </xf>
    <xf numFmtId="0" fontId="42" fillId="0" borderId="1" xfId="3" applyFont="1" applyAlignment="1">
      <alignment horizontal="center"/>
    </xf>
    <xf numFmtId="10" fontId="43" fillId="0" borderId="1" xfId="3" applyNumberFormat="1" applyFont="1" applyAlignment="1">
      <alignment horizontal="right"/>
    </xf>
    <xf numFmtId="0" fontId="44" fillId="0" borderId="1" xfId="3" applyFont="1"/>
    <xf numFmtId="0" fontId="45" fillId="0" borderId="1" xfId="3" applyFont="1"/>
    <xf numFmtId="11" fontId="37" fillId="0" borderId="1" xfId="3" applyNumberFormat="1" applyFont="1"/>
    <xf numFmtId="10" fontId="9" fillId="0" borderId="1" xfId="3" applyNumberFormat="1" applyFont="1"/>
    <xf numFmtId="10" fontId="6" fillId="0" borderId="1" xfId="3" applyNumberFormat="1" applyFont="1"/>
    <xf numFmtId="0" fontId="28" fillId="9" borderId="1" xfId="3" applyFont="1" applyFill="1"/>
    <xf numFmtId="0" fontId="52" fillId="9" borderId="1" xfId="3" applyFont="1" applyFill="1"/>
    <xf numFmtId="0" fontId="34" fillId="0" borderId="1" xfId="3" applyFont="1"/>
    <xf numFmtId="0" fontId="53" fillId="0" borderId="0" xfId="0" applyFont="1"/>
    <xf numFmtId="0" fontId="54" fillId="0" borderId="0" xfId="0" applyFont="1"/>
    <xf numFmtId="0" fontId="29" fillId="0" borderId="20" xfId="4" applyBorder="1"/>
    <xf numFmtId="0" fontId="29" fillId="0" borderId="18" xfId="4" applyBorder="1"/>
    <xf numFmtId="0" fontId="29" fillId="0" borderId="21" xfId="4" applyBorder="1"/>
    <xf numFmtId="0" fontId="29" fillId="0" borderId="1" xfId="4"/>
    <xf numFmtId="0" fontId="29" fillId="0" borderId="16" xfId="4" applyBorder="1"/>
    <xf numFmtId="0" fontId="29" fillId="0" borderId="23" xfId="4" applyBorder="1"/>
    <xf numFmtId="0" fontId="29" fillId="0" borderId="24" xfId="4" applyBorder="1"/>
    <xf numFmtId="0" fontId="29" fillId="0" borderId="19" xfId="4" applyBorder="1"/>
    <xf numFmtId="0" fontId="55" fillId="0" borderId="1" xfId="6"/>
    <xf numFmtId="0" fontId="55" fillId="0" borderId="1" xfId="6" applyAlignment="1">
      <alignment horizontal="left" vertical="center" indent="2"/>
    </xf>
    <xf numFmtId="0" fontId="55" fillId="0" borderId="25" xfId="6" applyBorder="1" applyAlignment="1">
      <alignment vertical="center"/>
    </xf>
    <xf numFmtId="0" fontId="2" fillId="0" borderId="1" xfId="7"/>
    <xf numFmtId="167" fontId="0" fillId="0" borderId="20" xfId="0" applyNumberFormat="1" applyBorder="1"/>
    <xf numFmtId="0" fontId="0" fillId="0" borderId="1" xfId="0" applyBorder="1"/>
    <xf numFmtId="0" fontId="59" fillId="0" borderId="20" xfId="2" applyFont="1" applyBorder="1" applyAlignment="1">
      <alignment horizontal="center" vertical="top"/>
    </xf>
    <xf numFmtId="0" fontId="0" fillId="0" borderId="23" xfId="0" applyBorder="1"/>
    <xf numFmtId="0" fontId="0" fillId="0" borderId="16" xfId="0" applyBorder="1"/>
    <xf numFmtId="0" fontId="0" fillId="0" borderId="24" xfId="0" applyBorder="1"/>
    <xf numFmtId="0" fontId="0" fillId="0" borderId="19" xfId="0" applyBorder="1"/>
    <xf numFmtId="165" fontId="0" fillId="0" borderId="0" xfId="0" applyNumberFormat="1"/>
    <xf numFmtId="0" fontId="15" fillId="4" borderId="1" xfId="3" applyFill="1"/>
    <xf numFmtId="0" fontId="6" fillId="4" borderId="0" xfId="0" applyFont="1" applyFill="1"/>
    <xf numFmtId="0" fontId="0" fillId="4" borderId="0" xfId="0" applyFill="1"/>
    <xf numFmtId="0" fontId="61" fillId="10" borderId="20" xfId="0" applyFont="1" applyFill="1" applyBorder="1" applyAlignment="1">
      <alignment wrapText="1" readingOrder="1"/>
    </xf>
    <xf numFmtId="0" fontId="62" fillId="11" borderId="24" xfId="0" applyFont="1" applyFill="1" applyBorder="1" applyAlignment="1">
      <alignment wrapText="1" readingOrder="1"/>
    </xf>
    <xf numFmtId="0" fontId="62" fillId="0" borderId="24" xfId="0" applyFont="1" applyBorder="1" applyAlignment="1">
      <alignment wrapText="1" readingOrder="1"/>
    </xf>
    <xf numFmtId="0" fontId="63" fillId="0" borderId="0" xfId="0" applyFont="1"/>
    <xf numFmtId="0" fontId="12" fillId="0" borderId="0" xfId="0" applyFont="1"/>
    <xf numFmtId="0" fontId="0" fillId="0" borderId="1" xfId="3" applyFont="1"/>
    <xf numFmtId="0" fontId="29" fillId="12" borderId="1" xfId="4" applyFill="1"/>
    <xf numFmtId="0" fontId="64" fillId="0" borderId="0" xfId="0" applyFont="1"/>
    <xf numFmtId="0" fontId="15" fillId="13" borderId="0" xfId="0" applyFont="1" applyFill="1"/>
    <xf numFmtId="0" fontId="24" fillId="0" borderId="0" xfId="0" applyFont="1"/>
    <xf numFmtId="11" fontId="0" fillId="0" borderId="0" xfId="0" applyNumberFormat="1"/>
    <xf numFmtId="164" fontId="8" fillId="0" borderId="29" xfId="1" applyFont="1" applyBorder="1" applyAlignment="1">
      <alignment horizontal="center" vertical="top"/>
    </xf>
    <xf numFmtId="164" fontId="8" fillId="0" borderId="30" xfId="1" applyFont="1" applyBorder="1" applyAlignment="1">
      <alignment horizontal="center" vertical="top"/>
    </xf>
    <xf numFmtId="0" fontId="8" fillId="0" borderId="30" xfId="0" applyFont="1" applyBorder="1" applyAlignment="1">
      <alignment horizontal="center" vertical="top"/>
    </xf>
    <xf numFmtId="1" fontId="9" fillId="0" borderId="0" xfId="1" applyNumberFormat="1" applyFont="1" applyAlignment="1">
      <alignment horizontal="right"/>
    </xf>
    <xf numFmtId="0" fontId="8" fillId="0" borderId="33" xfId="0" applyFont="1" applyBorder="1" applyAlignment="1">
      <alignment horizontal="center" vertical="top"/>
    </xf>
    <xf numFmtId="0" fontId="8" fillId="0" borderId="35" xfId="0" applyFont="1" applyBorder="1" applyAlignment="1">
      <alignment horizontal="center" vertical="top"/>
    </xf>
    <xf numFmtId="1" fontId="9" fillId="0" borderId="18" xfId="1" applyNumberFormat="1" applyFont="1" applyBorder="1" applyAlignment="1">
      <alignment horizontal="right"/>
    </xf>
    <xf numFmtId="1" fontId="0" fillId="0" borderId="1" xfId="1" applyNumberFormat="1" applyFont="1" applyBorder="1"/>
    <xf numFmtId="0" fontId="8" fillId="0" borderId="36" xfId="0" applyFont="1" applyBorder="1" applyAlignment="1">
      <alignment horizontal="center" vertical="top"/>
    </xf>
    <xf numFmtId="0" fontId="8" fillId="0" borderId="37" xfId="0" applyFont="1" applyBorder="1" applyAlignment="1">
      <alignment horizontal="center" vertical="top"/>
    </xf>
    <xf numFmtId="171" fontId="0" fillId="0" borderId="2" xfId="1" applyNumberFormat="1" applyFont="1" applyBorder="1"/>
    <xf numFmtId="164" fontId="0" fillId="0" borderId="1" xfId="1" applyFont="1" applyBorder="1"/>
    <xf numFmtId="171" fontId="0" fillId="0" borderId="1" xfId="1" applyNumberFormat="1" applyFont="1" applyBorder="1"/>
    <xf numFmtId="171" fontId="0" fillId="0" borderId="18" xfId="1" applyNumberFormat="1" applyFont="1" applyBorder="1"/>
    <xf numFmtId="164" fontId="0" fillId="0" borderId="18" xfId="1" applyFont="1" applyBorder="1"/>
    <xf numFmtId="0" fontId="4" fillId="0" borderId="1" xfId="0" applyFont="1" applyBorder="1"/>
    <xf numFmtId="0" fontId="0" fillId="0" borderId="38" xfId="0" applyBorder="1"/>
    <xf numFmtId="0" fontId="0" fillId="14" borderId="0" xfId="0" applyFill="1"/>
    <xf numFmtId="0" fontId="0" fillId="14" borderId="38" xfId="0" applyFill="1" applyBorder="1"/>
    <xf numFmtId="0" fontId="59" fillId="0" borderId="20" xfId="0" applyFont="1" applyBorder="1" applyAlignment="1">
      <alignment horizontal="center" vertical="top"/>
    </xf>
    <xf numFmtId="0" fontId="67" fillId="0" borderId="20" xfId="0" applyFont="1" applyBorder="1" applyAlignment="1">
      <alignment horizontal="center" vertical="top"/>
    </xf>
    <xf numFmtId="0" fontId="0" fillId="0" borderId="8" xfId="0" applyBorder="1"/>
    <xf numFmtId="0" fontId="67" fillId="0" borderId="39" xfId="0" applyFont="1" applyBorder="1" applyAlignment="1">
      <alignment horizontal="center" vertical="top"/>
    </xf>
    <xf numFmtId="0" fontId="0" fillId="0" borderId="9" xfId="0" applyBorder="1"/>
    <xf numFmtId="0" fontId="67" fillId="0" borderId="44" xfId="0" applyFont="1" applyBorder="1" applyAlignment="1">
      <alignment horizontal="center" vertical="top"/>
    </xf>
    <xf numFmtId="0" fontId="0" fillId="0" borderId="11" xfId="0" applyBorder="1"/>
    <xf numFmtId="0" fontId="0" fillId="0" borderId="12" xfId="0" applyBorder="1"/>
    <xf numFmtId="0" fontId="0" fillId="0" borderId="20" xfId="0" applyBorder="1"/>
    <xf numFmtId="0" fontId="15" fillId="0" borderId="20" xfId="0" applyFont="1" applyBorder="1"/>
    <xf numFmtId="0" fontId="23" fillId="0" borderId="0" xfId="0" applyFont="1"/>
    <xf numFmtId="0" fontId="2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53" fillId="0" borderId="1" xfId="6" applyFont="1"/>
    <xf numFmtId="0" fontId="0" fillId="0" borderId="0" xfId="0" quotePrefix="1"/>
    <xf numFmtId="0" fontId="55" fillId="0" borderId="1" xfId="6" applyFill="1"/>
    <xf numFmtId="0" fontId="0" fillId="0" borderId="0" xfId="0" applyAlignment="1">
      <alignment horizontal="left" vertical="center" indent="2"/>
    </xf>
    <xf numFmtId="0" fontId="0" fillId="0" borderId="0" xfId="0" applyAlignment="1">
      <alignment vertical="center"/>
    </xf>
    <xf numFmtId="0" fontId="15" fillId="0" borderId="23" xfId="0" applyFont="1" applyBorder="1"/>
    <xf numFmtId="0" fontId="67" fillId="0" borderId="40" xfId="0" applyFont="1" applyBorder="1" applyAlignment="1">
      <alignment horizontal="center" vertical="top"/>
    </xf>
    <xf numFmtId="0" fontId="67" fillId="0" borderId="45" xfId="0" applyFont="1" applyBorder="1" applyAlignment="1">
      <alignment horizontal="center" vertical="top"/>
    </xf>
    <xf numFmtId="0" fontId="59" fillId="0" borderId="39" xfId="0" applyFont="1" applyBorder="1" applyAlignment="1">
      <alignment horizontal="center" vertical="top"/>
    </xf>
    <xf numFmtId="0" fontId="59" fillId="0" borderId="40" xfId="0" applyFont="1" applyBorder="1" applyAlignment="1">
      <alignment horizontal="center" vertical="top"/>
    </xf>
    <xf numFmtId="0" fontId="59" fillId="0" borderId="44" xfId="0" applyFont="1" applyBorder="1" applyAlignment="1">
      <alignment horizontal="center" vertical="top"/>
    </xf>
    <xf numFmtId="0" fontId="4" fillId="0" borderId="8" xfId="3" applyFont="1" applyBorder="1"/>
    <xf numFmtId="0" fontId="0" fillId="0" borderId="5" xfId="0" applyBorder="1"/>
    <xf numFmtId="0" fontId="67" fillId="0" borderId="46" xfId="0" applyFont="1" applyBorder="1" applyAlignment="1">
      <alignment horizontal="center" vertical="top"/>
    </xf>
    <xf numFmtId="0" fontId="59" fillId="0" borderId="46" xfId="0" applyFont="1" applyBorder="1" applyAlignment="1">
      <alignment horizontal="center" vertical="top"/>
    </xf>
    <xf numFmtId="0" fontId="59" fillId="0" borderId="45" xfId="0" applyFont="1" applyBorder="1" applyAlignment="1">
      <alignment horizontal="center" vertical="top"/>
    </xf>
    <xf numFmtId="0" fontId="68" fillId="0" borderId="0" xfId="10"/>
    <xf numFmtId="0" fontId="68" fillId="15" borderId="0" xfId="10" applyFill="1"/>
    <xf numFmtId="0" fontId="67" fillId="18" borderId="20" xfId="0" applyFont="1" applyFill="1" applyBorder="1" applyAlignment="1">
      <alignment horizontal="center" vertical="top"/>
    </xf>
    <xf numFmtId="0" fontId="59" fillId="14" borderId="16" xfId="0" applyFont="1" applyFill="1" applyBorder="1" applyAlignment="1">
      <alignment horizontal="center" vertical="top"/>
    </xf>
    <xf numFmtId="0" fontId="59" fillId="14" borderId="20" xfId="0" applyFont="1" applyFill="1" applyBorder="1" applyAlignment="1">
      <alignment horizontal="center" vertical="top"/>
    </xf>
    <xf numFmtId="0" fontId="23" fillId="14" borderId="0" xfId="0" applyFont="1" applyFill="1"/>
    <xf numFmtId="0" fontId="0" fillId="0" borderId="47" xfId="0" applyBorder="1"/>
    <xf numFmtId="0" fontId="0" fillId="0" borderId="13" xfId="0" applyBorder="1"/>
    <xf numFmtId="0" fontId="0" fillId="0" borderId="14" xfId="0" applyBorder="1"/>
    <xf numFmtId="0" fontId="0" fillId="0" borderId="15" xfId="0" applyBorder="1"/>
    <xf numFmtId="0" fontId="0" fillId="0" borderId="17" xfId="0" applyBorder="1"/>
    <xf numFmtId="0" fontId="0" fillId="0" borderId="18" xfId="0" applyBorder="1"/>
    <xf numFmtId="0" fontId="0" fillId="0" borderId="22" xfId="0" applyBorder="1"/>
    <xf numFmtId="1" fontId="0" fillId="0" borderId="20" xfId="0" applyNumberFormat="1" applyBorder="1" applyAlignment="1">
      <alignment horizontal="center"/>
    </xf>
    <xf numFmtId="0" fontId="59" fillId="18" borderId="20" xfId="0" applyFont="1" applyFill="1" applyBorder="1" applyAlignment="1">
      <alignment horizontal="center" vertical="top"/>
    </xf>
    <xf numFmtId="168" fontId="6" fillId="15" borderId="0" xfId="0" applyNumberFormat="1" applyFont="1" applyFill="1" applyAlignment="1">
      <alignment horizontal="right"/>
    </xf>
    <xf numFmtId="0" fontId="0" fillId="15" borderId="0" xfId="0" applyFill="1"/>
    <xf numFmtId="0" fontId="67" fillId="15" borderId="20" xfId="0" applyFont="1" applyFill="1" applyBorder="1" applyAlignment="1">
      <alignment horizontal="center" vertical="top"/>
    </xf>
    <xf numFmtId="0" fontId="0" fillId="0" borderId="21" xfId="0" applyBorder="1"/>
    <xf numFmtId="0" fontId="29" fillId="0" borderId="1" xfId="2" applyFont="1"/>
    <xf numFmtId="0" fontId="0" fillId="19" borderId="0" xfId="0" applyFill="1"/>
    <xf numFmtId="0" fontId="0" fillId="13" borderId="0" xfId="0" applyFill="1"/>
    <xf numFmtId="0" fontId="4" fillId="13" borderId="0" xfId="0" applyFont="1" applyFill="1"/>
    <xf numFmtId="0" fontId="71" fillId="0" borderId="48" xfId="2" applyFont="1" applyBorder="1" applyAlignment="1">
      <alignment horizontal="left" wrapText="1"/>
    </xf>
    <xf numFmtId="0" fontId="74" fillId="22" borderId="48" xfId="2" applyFont="1" applyFill="1" applyBorder="1" applyAlignment="1">
      <alignment horizontal="center" vertical="top" wrapText="1"/>
    </xf>
    <xf numFmtId="0" fontId="76" fillId="24" borderId="48" xfId="2" applyFont="1" applyFill="1" applyBorder="1" applyAlignment="1">
      <alignment horizontal="center"/>
    </xf>
    <xf numFmtId="0" fontId="26" fillId="0" borderId="48" xfId="2" applyFont="1" applyBorder="1" applyAlignment="1">
      <alignment horizontal="right"/>
    </xf>
    <xf numFmtId="0" fontId="26" fillId="25" borderId="48" xfId="2" applyFont="1" applyFill="1" applyBorder="1" applyAlignment="1">
      <alignment horizontal="right"/>
    </xf>
    <xf numFmtId="0" fontId="31" fillId="26" borderId="54" xfId="0" applyFont="1" applyFill="1" applyBorder="1" applyAlignment="1">
      <alignment wrapText="1"/>
    </xf>
    <xf numFmtId="0" fontId="31" fillId="27" borderId="54" xfId="0" applyFont="1" applyFill="1" applyBorder="1" applyAlignment="1">
      <alignment wrapText="1"/>
    </xf>
    <xf numFmtId="0" fontId="31" fillId="28" borderId="54" xfId="0" applyFont="1" applyFill="1" applyBorder="1" applyAlignment="1">
      <alignment wrapText="1"/>
    </xf>
    <xf numFmtId="0" fontId="77" fillId="23" borderId="48" xfId="2" applyFont="1" applyFill="1" applyBorder="1" applyAlignment="1">
      <alignment vertical="top" wrapText="1"/>
    </xf>
    <xf numFmtId="0" fontId="31" fillId="29" borderId="54" xfId="0" applyFont="1" applyFill="1" applyBorder="1" applyAlignment="1">
      <alignment wrapText="1"/>
    </xf>
    <xf numFmtId="0" fontId="31" fillId="30" borderId="54" xfId="0" applyFont="1" applyFill="1" applyBorder="1" applyAlignment="1">
      <alignment wrapText="1"/>
    </xf>
    <xf numFmtId="0" fontId="31" fillId="31" borderId="54" xfId="0" applyFont="1" applyFill="1" applyBorder="1" applyAlignment="1">
      <alignment wrapText="1"/>
    </xf>
    <xf numFmtId="0" fontId="31" fillId="32" borderId="54" xfId="0" applyFont="1" applyFill="1" applyBorder="1" applyAlignment="1">
      <alignment wrapText="1"/>
    </xf>
    <xf numFmtId="0" fontId="31" fillId="33" borderId="54" xfId="0" applyFont="1" applyFill="1" applyBorder="1" applyAlignment="1">
      <alignment wrapText="1"/>
    </xf>
    <xf numFmtId="0" fontId="31" fillId="34" borderId="54" xfId="0" applyFont="1" applyFill="1" applyBorder="1" applyAlignment="1">
      <alignment wrapText="1"/>
    </xf>
    <xf numFmtId="0" fontId="31" fillId="35" borderId="54" xfId="0" applyFont="1" applyFill="1" applyBorder="1" applyAlignment="1">
      <alignment wrapText="1"/>
    </xf>
    <xf numFmtId="0" fontId="31" fillId="36" borderId="54" xfId="0" applyFont="1" applyFill="1" applyBorder="1" applyAlignment="1">
      <alignment wrapText="1"/>
    </xf>
    <xf numFmtId="0" fontId="31" fillId="37" borderId="54" xfId="0" applyFont="1" applyFill="1" applyBorder="1" applyAlignment="1">
      <alignment wrapText="1"/>
    </xf>
    <xf numFmtId="0" fontId="31" fillId="38" borderId="54" xfId="0" applyFont="1" applyFill="1" applyBorder="1" applyAlignment="1">
      <alignment wrapText="1"/>
    </xf>
    <xf numFmtId="0" fontId="31" fillId="39" borderId="54" xfId="0" applyFont="1" applyFill="1" applyBorder="1" applyAlignment="1">
      <alignment wrapText="1"/>
    </xf>
    <xf numFmtId="0" fontId="31" fillId="40" borderId="54" xfId="0" applyFont="1" applyFill="1" applyBorder="1" applyAlignment="1">
      <alignment wrapText="1"/>
    </xf>
    <xf numFmtId="0" fontId="31" fillId="41" borderId="54" xfId="0" applyFont="1" applyFill="1" applyBorder="1" applyAlignment="1">
      <alignment wrapText="1"/>
    </xf>
    <xf numFmtId="0" fontId="78" fillId="0" borderId="1" xfId="2" applyFont="1" applyAlignment="1">
      <alignment horizontal="left"/>
    </xf>
    <xf numFmtId="0" fontId="26" fillId="0" borderId="48" xfId="2" applyFont="1" applyBorder="1"/>
    <xf numFmtId="0" fontId="15" fillId="0" borderId="58" xfId="0" applyFont="1" applyBorder="1" applyAlignment="1">
      <alignment horizontal="right" wrapText="1"/>
    </xf>
    <xf numFmtId="0" fontId="79" fillId="42" borderId="59" xfId="0" applyFont="1" applyFill="1" applyBorder="1" applyAlignment="1">
      <alignment vertical="center" wrapText="1"/>
    </xf>
    <xf numFmtId="0" fontId="79" fillId="42" borderId="60" xfId="0" applyFont="1" applyFill="1" applyBorder="1" applyAlignment="1">
      <alignment vertical="center" wrapText="1"/>
    </xf>
    <xf numFmtId="0" fontId="79" fillId="42" borderId="61" xfId="0" applyFont="1" applyFill="1" applyBorder="1" applyAlignment="1">
      <alignment vertical="center" wrapText="1"/>
    </xf>
    <xf numFmtId="0" fontId="15" fillId="0" borderId="25" xfId="0" applyFont="1" applyBorder="1" applyAlignment="1">
      <alignment horizontal="right" wrapText="1"/>
    </xf>
    <xf numFmtId="0" fontId="80" fillId="0" borderId="58" xfId="0" applyFont="1" applyBorder="1" applyAlignment="1">
      <alignment horizontal="center" wrapText="1"/>
    </xf>
    <xf numFmtId="0" fontId="79" fillId="0" borderId="58" xfId="0" applyFont="1" applyBorder="1" applyAlignment="1">
      <alignment horizontal="center" vertical="center" wrapText="1"/>
    </xf>
    <xf numFmtId="0" fontId="0" fillId="33" borderId="54" xfId="0" applyFill="1" applyBorder="1" applyAlignment="1">
      <alignment wrapText="1"/>
    </xf>
    <xf numFmtId="0" fontId="0" fillId="0" borderId="72" xfId="0" applyBorder="1" applyAlignment="1">
      <alignment wrapText="1"/>
    </xf>
    <xf numFmtId="0" fontId="82" fillId="0" borderId="58" xfId="0" applyFont="1" applyBorder="1" applyAlignment="1">
      <alignment horizontal="center" vertical="center" wrapText="1"/>
    </xf>
    <xf numFmtId="0" fontId="29" fillId="0" borderId="0" xfId="0" applyFont="1"/>
    <xf numFmtId="0" fontId="29" fillId="43" borderId="0" xfId="0" applyFont="1" applyFill="1"/>
    <xf numFmtId="0" fontId="0" fillId="43" borderId="0" xfId="0" applyFill="1"/>
    <xf numFmtId="0" fontId="0" fillId="43" borderId="20" xfId="0" applyFill="1" applyBorder="1"/>
    <xf numFmtId="169" fontId="0" fillId="0" borderId="13" xfId="0" applyNumberFormat="1" applyBorder="1"/>
    <xf numFmtId="169" fontId="0" fillId="0" borderId="2" xfId="0" applyNumberFormat="1" applyBorder="1"/>
    <xf numFmtId="169" fontId="0" fillId="0" borderId="14" xfId="0" applyNumberFormat="1" applyBorder="1"/>
    <xf numFmtId="169" fontId="0" fillId="0" borderId="17" xfId="0" applyNumberFormat="1" applyBorder="1"/>
    <xf numFmtId="169" fontId="0" fillId="0" borderId="18" xfId="0" applyNumberFormat="1" applyBorder="1"/>
    <xf numFmtId="169" fontId="0" fillId="0" borderId="19" xfId="0" applyNumberFormat="1" applyBorder="1"/>
    <xf numFmtId="0" fontId="29" fillId="0" borderId="20" xfId="0" applyFont="1" applyBorder="1"/>
    <xf numFmtId="0" fontId="29" fillId="0" borderId="13" xfId="0" applyFont="1" applyBorder="1"/>
    <xf numFmtId="0" fontId="29" fillId="0" borderId="2" xfId="0" applyFont="1" applyBorder="1"/>
    <xf numFmtId="0" fontId="29" fillId="0" borderId="14" xfId="0" applyFont="1" applyBorder="1"/>
    <xf numFmtId="0" fontId="29" fillId="0" borderId="15" xfId="0" applyFont="1" applyBorder="1"/>
    <xf numFmtId="0" fontId="29" fillId="0" borderId="16" xfId="0" applyFont="1" applyBorder="1"/>
    <xf numFmtId="0" fontId="29" fillId="0" borderId="17" xfId="0" applyFont="1" applyBorder="1"/>
    <xf numFmtId="0" fontId="29" fillId="0" borderId="18" xfId="0" applyFont="1" applyBorder="1"/>
    <xf numFmtId="0" fontId="29" fillId="0" borderId="19" xfId="0" applyFont="1" applyBorder="1"/>
    <xf numFmtId="0" fontId="83" fillId="0" borderId="0" xfId="0" applyFont="1"/>
    <xf numFmtId="0" fontId="0" fillId="0" borderId="28" xfId="0" applyBorder="1"/>
    <xf numFmtId="0" fontId="24" fillId="0" borderId="22" xfId="2" applyBorder="1"/>
    <xf numFmtId="0" fontId="24" fillId="0" borderId="23" xfId="2" applyBorder="1"/>
    <xf numFmtId="11" fontId="0" fillId="0" borderId="15" xfId="0" applyNumberFormat="1" applyBorder="1"/>
    <xf numFmtId="0" fontId="24" fillId="0" borderId="24" xfId="2" applyBorder="1"/>
    <xf numFmtId="0" fontId="8" fillId="0" borderId="29" xfId="0" applyFont="1" applyBorder="1" applyAlignment="1">
      <alignment horizontal="center" vertical="top"/>
    </xf>
    <xf numFmtId="0" fontId="8" fillId="0" borderId="34" xfId="0" applyFont="1" applyBorder="1" applyAlignment="1">
      <alignment horizontal="center" vertical="top"/>
    </xf>
    <xf numFmtId="0" fontId="87" fillId="0" borderId="0" xfId="0" applyFont="1"/>
    <xf numFmtId="0" fontId="0" fillId="12" borderId="0" xfId="0" applyFill="1"/>
    <xf numFmtId="1" fontId="9" fillId="0" borderId="0" xfId="0" applyNumberFormat="1" applyFont="1" applyAlignment="1">
      <alignment horizontal="right"/>
    </xf>
    <xf numFmtId="11" fontId="0" fillId="0" borderId="13" xfId="0" applyNumberFormat="1" applyBorder="1"/>
    <xf numFmtId="11" fontId="0" fillId="0" borderId="2" xfId="0" applyNumberFormat="1" applyBorder="1"/>
    <xf numFmtId="0" fontId="57" fillId="0" borderId="0" xfId="0" applyFont="1"/>
    <xf numFmtId="0" fontId="5" fillId="0" borderId="0" xfId="10" applyFont="1"/>
    <xf numFmtId="1" fontId="0" fillId="0" borderId="16" xfId="0" applyNumberFormat="1" applyBorder="1"/>
    <xf numFmtId="1" fontId="0" fillId="0" borderId="18" xfId="0" applyNumberFormat="1" applyBorder="1"/>
    <xf numFmtId="1" fontId="0" fillId="0" borderId="19" xfId="0" applyNumberFormat="1" applyBorder="1"/>
    <xf numFmtId="166" fontId="0" fillId="0" borderId="14" xfId="0" applyNumberFormat="1" applyBorder="1"/>
    <xf numFmtId="166" fontId="0" fillId="0" borderId="16" xfId="0" applyNumberFormat="1" applyBorder="1"/>
    <xf numFmtId="166" fontId="0" fillId="0" borderId="19" xfId="0" applyNumberFormat="1" applyBorder="1"/>
    <xf numFmtId="0" fontId="24" fillId="0" borderId="20" xfId="2" applyBorder="1"/>
    <xf numFmtId="0" fontId="24" fillId="0" borderId="21" xfId="2" applyBorder="1"/>
    <xf numFmtId="0" fontId="24" fillId="0" borderId="47" xfId="2" applyBorder="1"/>
    <xf numFmtId="1" fontId="24" fillId="0" borderId="16" xfId="2" applyNumberFormat="1" applyBorder="1"/>
    <xf numFmtId="1" fontId="24" fillId="0" borderId="19" xfId="2" applyNumberFormat="1" applyBorder="1"/>
    <xf numFmtId="170" fontId="88" fillId="0" borderId="1" xfId="2" applyNumberFormat="1" applyFont="1"/>
    <xf numFmtId="0" fontId="29" fillId="0" borderId="47" xfId="4" applyBorder="1"/>
    <xf numFmtId="0" fontId="8" fillId="0" borderId="26" xfId="0" applyFont="1" applyBorder="1" applyAlignment="1">
      <alignment horizontal="center" vertical="top"/>
    </xf>
    <xf numFmtId="0" fontId="8" fillId="0" borderId="27" xfId="0" applyFont="1" applyBorder="1" applyAlignment="1">
      <alignment horizontal="center" vertical="top"/>
    </xf>
    <xf numFmtId="0" fontId="8" fillId="0" borderId="20" xfId="0" applyFont="1" applyBorder="1" applyAlignment="1">
      <alignment horizontal="center" vertical="top"/>
    </xf>
    <xf numFmtId="0" fontId="0" fillId="4" borderId="28" xfId="0" applyFill="1" applyBorder="1"/>
    <xf numFmtId="0" fontId="0" fillId="45" borderId="0" xfId="0" applyFill="1"/>
    <xf numFmtId="0" fontId="58" fillId="45" borderId="20" xfId="0" applyFont="1" applyFill="1" applyBorder="1" applyAlignment="1">
      <alignment horizontal="center"/>
    </xf>
    <xf numFmtId="0" fontId="58" fillId="45" borderId="47" xfId="0" applyFont="1" applyFill="1" applyBorder="1" applyAlignment="1">
      <alignment horizontal="center"/>
    </xf>
    <xf numFmtId="0" fontId="59" fillId="45" borderId="20" xfId="2" applyFont="1" applyFill="1" applyBorder="1" applyAlignment="1">
      <alignment horizontal="center" vertical="top"/>
    </xf>
    <xf numFmtId="167" fontId="56" fillId="0" borderId="0" xfId="0" applyNumberFormat="1" applyFont="1"/>
    <xf numFmtId="0" fontId="60" fillId="45" borderId="20" xfId="2" applyFont="1" applyFill="1" applyBorder="1" applyAlignment="1">
      <alignment horizontal="center" vertical="top"/>
    </xf>
    <xf numFmtId="0" fontId="59" fillId="45" borderId="22" xfId="2" applyFont="1" applyFill="1" applyBorder="1" applyAlignment="1">
      <alignment horizontal="center" vertical="top"/>
    </xf>
    <xf numFmtId="0" fontId="59" fillId="0" borderId="1" xfId="2" applyFont="1" applyAlignment="1">
      <alignment horizontal="left" vertical="top"/>
    </xf>
    <xf numFmtId="164" fontId="24" fillId="0" borderId="20" xfId="8" applyFont="1" applyBorder="1"/>
    <xf numFmtId="0" fontId="90" fillId="0" borderId="0" xfId="0" applyFont="1"/>
    <xf numFmtId="0" fontId="90" fillId="2" borderId="0" xfId="0" applyFont="1" applyFill="1"/>
    <xf numFmtId="0" fontId="56" fillId="0" borderId="0" xfId="0" applyFont="1"/>
    <xf numFmtId="0" fontId="91" fillId="2" borderId="0" xfId="0" applyFont="1" applyFill="1"/>
    <xf numFmtId="0" fontId="56" fillId="0" borderId="0" xfId="0" applyFont="1" applyAlignment="1">
      <alignment horizontal="center"/>
    </xf>
    <xf numFmtId="0" fontId="8" fillId="0" borderId="1" xfId="0" applyFont="1" applyBorder="1" applyAlignment="1">
      <alignment horizontal="center" vertical="top"/>
    </xf>
    <xf numFmtId="0" fontId="23" fillId="0" borderId="1" xfId="0" applyFont="1" applyBorder="1"/>
    <xf numFmtId="0" fontId="4" fillId="46" borderId="20" xfId="0" applyFont="1" applyFill="1" applyBorder="1" applyAlignment="1">
      <alignment horizontal="center"/>
    </xf>
    <xf numFmtId="0" fontId="4" fillId="46" borderId="23" xfId="0" applyFont="1" applyFill="1" applyBorder="1" applyAlignment="1">
      <alignment horizontal="center"/>
    </xf>
    <xf numFmtId="0" fontId="68" fillId="0" borderId="1" xfId="10" applyBorder="1"/>
    <xf numFmtId="0" fontId="5" fillId="0" borderId="1" xfId="10" applyFont="1" applyBorder="1"/>
    <xf numFmtId="0" fontId="68" fillId="0" borderId="0" xfId="10" applyFill="1" applyBorder="1"/>
    <xf numFmtId="0" fontId="29" fillId="0" borderId="13" xfId="4" applyBorder="1"/>
    <xf numFmtId="0" fontId="29" fillId="0" borderId="2" xfId="4" applyBorder="1"/>
    <xf numFmtId="0" fontId="29" fillId="0" borderId="14" xfId="4" applyBorder="1"/>
    <xf numFmtId="0" fontId="29" fillId="0" borderId="15" xfId="4" applyBorder="1"/>
    <xf numFmtId="0" fontId="29" fillId="0" borderId="17" xfId="4" applyBorder="1"/>
    <xf numFmtId="0" fontId="0" fillId="0" borderId="0" xfId="0" applyAlignment="1">
      <alignment horizontal="left"/>
    </xf>
    <xf numFmtId="173" fontId="59" fillId="0" borderId="20" xfId="1" applyNumberFormat="1" applyFont="1" applyBorder="1" applyAlignment="1">
      <alignment horizontal="center" vertical="top"/>
    </xf>
    <xf numFmtId="173" fontId="59" fillId="4" borderId="20" xfId="1" applyNumberFormat="1" applyFont="1" applyFill="1" applyBorder="1" applyAlignment="1">
      <alignment horizontal="center" vertical="top"/>
    </xf>
    <xf numFmtId="0" fontId="59" fillId="0" borderId="20" xfId="0" applyFont="1" applyBorder="1" applyAlignment="1">
      <alignment horizontal="left" vertical="top"/>
    </xf>
    <xf numFmtId="173" fontId="0" fillId="0" borderId="0" xfId="1" applyNumberFormat="1" applyFont="1"/>
    <xf numFmtId="0" fontId="59" fillId="4" borderId="20" xfId="0" applyFont="1" applyFill="1" applyBorder="1" applyAlignment="1">
      <alignment horizontal="center" vertical="top"/>
    </xf>
    <xf numFmtId="0" fontId="0" fillId="15" borderId="8" xfId="0" applyFill="1" applyBorder="1"/>
    <xf numFmtId="0" fontId="39" fillId="15" borderId="1" xfId="0" applyFont="1" applyFill="1" applyBorder="1"/>
    <xf numFmtId="0" fontId="40" fillId="15" borderId="1" xfId="0" applyFont="1" applyFill="1" applyBorder="1"/>
    <xf numFmtId="0" fontId="4" fillId="15" borderId="1" xfId="0" applyFont="1" applyFill="1" applyBorder="1"/>
    <xf numFmtId="0" fontId="4" fillId="15" borderId="1" xfId="0" applyFont="1" applyFill="1" applyBorder="1" applyAlignment="1">
      <alignment horizontal="left"/>
    </xf>
    <xf numFmtId="0" fontId="6" fillId="15" borderId="1" xfId="0" applyFont="1" applyFill="1" applyBorder="1" applyAlignment="1">
      <alignment horizontal="left" vertical="top"/>
    </xf>
    <xf numFmtId="0" fontId="5" fillId="15" borderId="1" xfId="0" applyFont="1" applyFill="1" applyBorder="1" applyAlignment="1">
      <alignment horizontal="left" vertical="top"/>
    </xf>
    <xf numFmtId="0" fontId="29" fillId="15" borderId="1" xfId="0" applyFont="1" applyFill="1" applyBorder="1" applyAlignment="1">
      <alignment horizontal="left" vertical="top" wrapText="1"/>
    </xf>
    <xf numFmtId="0" fontId="68" fillId="15" borderId="1" xfId="10" applyFill="1" applyBorder="1" applyAlignment="1">
      <alignment horizontal="left" vertical="top"/>
    </xf>
    <xf numFmtId="0" fontId="0" fillId="15" borderId="1" xfId="0" applyFill="1" applyBorder="1" applyAlignment="1">
      <alignment horizontal="left" vertical="top"/>
    </xf>
    <xf numFmtId="0" fontId="0" fillId="15" borderId="1" xfId="0" applyFill="1" applyBorder="1" applyAlignment="1">
      <alignment horizontal="left" vertical="top" wrapText="1"/>
    </xf>
    <xf numFmtId="167" fontId="24" fillId="0" borderId="20" xfId="2" applyNumberFormat="1" applyBorder="1"/>
    <xf numFmtId="0" fontId="4" fillId="2" borderId="1" xfId="0" applyFont="1" applyFill="1" applyBorder="1"/>
    <xf numFmtId="0" fontId="83" fillId="0" borderId="1" xfId="0" applyFont="1" applyBorder="1"/>
    <xf numFmtId="165" fontId="83" fillId="0" borderId="1" xfId="0" applyNumberFormat="1" applyFont="1" applyBorder="1"/>
    <xf numFmtId="166" fontId="83" fillId="0" borderId="1" xfId="0" applyNumberFormat="1" applyFont="1" applyBorder="1"/>
    <xf numFmtId="169" fontId="83" fillId="0" borderId="1" xfId="0" applyNumberFormat="1" applyFont="1" applyBorder="1"/>
    <xf numFmtId="172" fontId="84" fillId="0" borderId="1" xfId="0" applyNumberFormat="1" applyFont="1" applyBorder="1" applyAlignment="1">
      <alignment horizontal="right" vertical="center" shrinkToFit="1"/>
    </xf>
    <xf numFmtId="169" fontId="84" fillId="0" borderId="1" xfId="0" applyNumberFormat="1" applyFont="1" applyBorder="1" applyAlignment="1">
      <alignment horizontal="right" vertical="center" shrinkToFit="1"/>
    </xf>
    <xf numFmtId="174" fontId="0" fillId="0" borderId="0" xfId="1" applyNumberFormat="1" applyFont="1"/>
    <xf numFmtId="174" fontId="0" fillId="0" borderId="0" xfId="1" applyNumberFormat="1" applyFont="1" applyFill="1"/>
    <xf numFmtId="174" fontId="56" fillId="0" borderId="0" xfId="1" applyNumberFormat="1" applyFont="1"/>
    <xf numFmtId="173" fontId="0" fillId="0" borderId="0" xfId="1" applyNumberFormat="1" applyFont="1" applyFill="1"/>
    <xf numFmtId="173" fontId="59" fillId="0" borderId="20" xfId="1" applyNumberFormat="1" applyFont="1" applyFill="1" applyBorder="1" applyAlignment="1">
      <alignment horizontal="center" vertical="top"/>
    </xf>
    <xf numFmtId="0" fontId="60" fillId="0" borderId="20" xfId="0" applyFont="1" applyBorder="1" applyAlignment="1">
      <alignment horizontal="left" vertical="top"/>
    </xf>
    <xf numFmtId="0" fontId="60" fillId="0" borderId="20" xfId="0" applyFont="1" applyBorder="1" applyAlignment="1">
      <alignment horizontal="center" vertical="top"/>
    </xf>
    <xf numFmtId="0" fontId="59" fillId="0" borderId="21" xfId="0" applyFont="1" applyBorder="1" applyAlignment="1">
      <alignment horizontal="center" vertical="top"/>
    </xf>
    <xf numFmtId="175" fontId="53" fillId="0" borderId="15" xfId="0" applyNumberFormat="1" applyFont="1" applyBorder="1"/>
    <xf numFmtId="175" fontId="53" fillId="0" borderId="0" xfId="0" applyNumberFormat="1" applyFont="1"/>
    <xf numFmtId="0" fontId="53" fillId="0" borderId="15" xfId="0" applyFont="1" applyBorder="1"/>
    <xf numFmtId="0" fontId="53" fillId="0" borderId="13" xfId="0" applyFont="1" applyBorder="1"/>
    <xf numFmtId="0" fontId="53" fillId="0" borderId="2" xfId="0" applyFont="1" applyBorder="1"/>
    <xf numFmtId="172" fontId="0" fillId="0" borderId="0" xfId="0" applyNumberFormat="1"/>
    <xf numFmtId="0" fontId="68" fillId="0" borderId="0" xfId="10" applyBorder="1"/>
    <xf numFmtId="0" fontId="8" fillId="0" borderId="47" xfId="0" applyFont="1" applyBorder="1" applyAlignment="1">
      <alignment horizontal="center" vertical="top"/>
    </xf>
    <xf numFmtId="1" fontId="10" fillId="0" borderId="1" xfId="0" applyNumberFormat="1" applyFont="1" applyBorder="1"/>
    <xf numFmtId="0" fontId="93" fillId="0" borderId="0" xfId="0" applyFont="1"/>
    <xf numFmtId="0" fontId="94" fillId="0" borderId="0" xfId="0" applyFont="1"/>
    <xf numFmtId="0" fontId="95" fillId="0" borderId="1" xfId="0" applyFont="1" applyBorder="1"/>
    <xf numFmtId="0" fontId="94" fillId="0" borderId="1" xfId="0" applyFont="1" applyBorder="1"/>
    <xf numFmtId="1" fontId="95" fillId="0" borderId="1" xfId="0" applyNumberFormat="1" applyFont="1" applyBorder="1"/>
    <xf numFmtId="0" fontId="96" fillId="0" borderId="0" xfId="0" applyFont="1"/>
    <xf numFmtId="1" fontId="95" fillId="0" borderId="0" xfId="0" applyNumberFormat="1" applyFont="1"/>
    <xf numFmtId="1" fontId="96" fillId="0" borderId="0" xfId="0" applyNumberFormat="1" applyFont="1"/>
    <xf numFmtId="1" fontId="95" fillId="0" borderId="0" xfId="0" applyNumberFormat="1" applyFont="1" applyAlignment="1">
      <alignment horizontal="left" vertical="top"/>
    </xf>
    <xf numFmtId="0" fontId="83" fillId="0" borderId="16" xfId="4" applyFont="1" applyBorder="1"/>
    <xf numFmtId="0" fontId="83" fillId="0" borderId="19" xfId="4" applyFont="1" applyBorder="1"/>
    <xf numFmtId="0" fontId="83" fillId="0" borderId="1" xfId="4" applyFont="1"/>
    <xf numFmtId="0" fontId="83" fillId="0" borderId="18" xfId="4" applyFont="1" applyBorder="1"/>
    <xf numFmtId="0" fontId="28" fillId="0" borderId="1" xfId="4" applyFont="1"/>
    <xf numFmtId="167" fontId="97" fillId="0" borderId="0" xfId="0" applyNumberFormat="1" applyFont="1"/>
    <xf numFmtId="164" fontId="57" fillId="0" borderId="0" xfId="1" applyFont="1"/>
    <xf numFmtId="11" fontId="0" fillId="0" borderId="1" xfId="0" applyNumberFormat="1" applyBorder="1"/>
    <xf numFmtId="0" fontId="15" fillId="0" borderId="21" xfId="0" applyFont="1" applyBorder="1"/>
    <xf numFmtId="11" fontId="0" fillId="0" borderId="16" xfId="0" applyNumberFormat="1" applyBorder="1"/>
    <xf numFmtId="11" fontId="0" fillId="0" borderId="18" xfId="0" applyNumberFormat="1" applyBorder="1"/>
    <xf numFmtId="0" fontId="15" fillId="47" borderId="20" xfId="0" applyFont="1" applyFill="1" applyBorder="1"/>
    <xf numFmtId="176" fontId="0" fillId="0" borderId="0" xfId="0" applyNumberFormat="1"/>
    <xf numFmtId="177" fontId="0" fillId="0" borderId="0" xfId="0" applyNumberFormat="1"/>
    <xf numFmtId="0" fontId="0" fillId="0" borderId="0" xfId="0" applyAlignment="1">
      <alignment wrapText="1"/>
    </xf>
    <xf numFmtId="176" fontId="0" fillId="0" borderId="14" xfId="0" applyNumberFormat="1" applyBorder="1"/>
    <xf numFmtId="176" fontId="0" fillId="0" borderId="16" xfId="0" applyNumberFormat="1" applyBorder="1"/>
    <xf numFmtId="176" fontId="0" fillId="0" borderId="16" xfId="1" applyNumberFormat="1" applyFont="1" applyBorder="1"/>
    <xf numFmtId="176" fontId="0" fillId="0" borderId="19" xfId="0" applyNumberFormat="1" applyBorder="1"/>
    <xf numFmtId="11" fontId="0" fillId="0" borderId="22" xfId="0" applyNumberFormat="1" applyBorder="1"/>
    <xf numFmtId="11" fontId="0" fillId="0" borderId="23" xfId="0" applyNumberFormat="1" applyBorder="1"/>
    <xf numFmtId="11" fontId="0" fillId="0" borderId="24" xfId="0" applyNumberFormat="1" applyBorder="1"/>
    <xf numFmtId="11" fontId="0" fillId="0" borderId="17" xfId="0" applyNumberFormat="1" applyBorder="1"/>
    <xf numFmtId="0" fontId="15" fillId="0" borderId="20" xfId="0" applyFont="1" applyBorder="1" applyAlignment="1">
      <alignment wrapText="1"/>
    </xf>
    <xf numFmtId="0" fontId="0" fillId="0" borderId="20" xfId="0" applyBorder="1" applyAlignment="1">
      <alignment wrapText="1"/>
    </xf>
    <xf numFmtId="177" fontId="0" fillId="0" borderId="24" xfId="0" applyNumberFormat="1" applyBorder="1"/>
    <xf numFmtId="178" fontId="0" fillId="0" borderId="24" xfId="0" applyNumberFormat="1" applyBorder="1"/>
    <xf numFmtId="0" fontId="15" fillId="45" borderId="20" xfId="0" applyFont="1" applyFill="1" applyBorder="1" applyAlignment="1">
      <alignment wrapText="1"/>
    </xf>
    <xf numFmtId="0" fontId="15" fillId="15" borderId="20" xfId="0" applyFont="1" applyFill="1" applyBorder="1" applyAlignment="1">
      <alignment wrapText="1"/>
    </xf>
    <xf numFmtId="0" fontId="0" fillId="45" borderId="20" xfId="0" applyFill="1" applyBorder="1" applyAlignment="1">
      <alignment wrapText="1"/>
    </xf>
    <xf numFmtId="0" fontId="68" fillId="0" borderId="1" xfId="10" applyFill="1" applyBorder="1"/>
    <xf numFmtId="0" fontId="0" fillId="48" borderId="0" xfId="0" applyFill="1"/>
    <xf numFmtId="0" fontId="92" fillId="8" borderId="20" xfId="10" applyFont="1" applyFill="1" applyBorder="1" applyAlignment="1">
      <alignment horizontal="center" vertical="center" wrapText="1"/>
    </xf>
    <xf numFmtId="0" fontId="8" fillId="0" borderId="31" xfId="0" applyFont="1" applyBorder="1" applyAlignment="1">
      <alignment horizontal="center" vertical="top"/>
    </xf>
    <xf numFmtId="0" fontId="29" fillId="0" borderId="32" xfId="0" applyFont="1" applyBorder="1"/>
    <xf numFmtId="0" fontId="29" fillId="0" borderId="34" xfId="0" applyFont="1" applyBorder="1"/>
    <xf numFmtId="0" fontId="8" fillId="0" borderId="32" xfId="0" applyFont="1" applyBorder="1" applyAlignment="1">
      <alignment horizontal="center" vertical="top"/>
    </xf>
    <xf numFmtId="0" fontId="29" fillId="0" borderId="35" xfId="0" applyFont="1" applyBorder="1"/>
    <xf numFmtId="0" fontId="65" fillId="0" borderId="22" xfId="0" applyFont="1" applyBorder="1" applyAlignment="1">
      <alignment horizontal="center" vertical="top" wrapText="1"/>
    </xf>
    <xf numFmtId="0" fontId="65" fillId="0" borderId="23" xfId="0" applyFont="1" applyBorder="1" applyAlignment="1">
      <alignment horizontal="center" vertical="top" wrapText="1"/>
    </xf>
    <xf numFmtId="0" fontId="65" fillId="0" borderId="24" xfId="0" applyFont="1" applyBorder="1" applyAlignment="1">
      <alignment horizontal="center" vertical="top" wrapText="1"/>
    </xf>
    <xf numFmtId="1" fontId="85" fillId="4" borderId="1" xfId="0" applyNumberFormat="1" applyFont="1" applyFill="1" applyBorder="1" applyAlignment="1">
      <alignment horizontal="center"/>
    </xf>
    <xf numFmtId="1" fontId="6" fillId="4" borderId="1" xfId="0" applyNumberFormat="1" applyFont="1" applyFill="1" applyBorder="1" applyAlignment="1">
      <alignment horizontal="center"/>
    </xf>
    <xf numFmtId="0" fontId="86" fillId="44" borderId="0" xfId="0" applyFont="1" applyFill="1" applyAlignment="1">
      <alignment horizontal="center"/>
    </xf>
    <xf numFmtId="0" fontId="0" fillId="0" borderId="0" xfId="0"/>
    <xf numFmtId="0" fontId="15" fillId="4" borderId="0" xfId="0" applyFont="1" applyFill="1" applyAlignment="1">
      <alignment horizontal="center"/>
    </xf>
    <xf numFmtId="0" fontId="0" fillId="4" borderId="0" xfId="0" applyFill="1" applyAlignment="1">
      <alignment horizontal="center"/>
    </xf>
    <xf numFmtId="0" fontId="72" fillId="21" borderId="49" xfId="2" applyFont="1" applyFill="1" applyBorder="1" applyAlignment="1">
      <alignment horizontal="right" vertical="top" wrapText="1"/>
    </xf>
    <xf numFmtId="0" fontId="72" fillId="21" borderId="50" xfId="2" applyFont="1" applyFill="1" applyBorder="1" applyAlignment="1">
      <alignment horizontal="right" vertical="top" wrapText="1"/>
    </xf>
    <xf numFmtId="0" fontId="72" fillId="21" borderId="51" xfId="2" applyFont="1" applyFill="1" applyBorder="1" applyAlignment="1">
      <alignment horizontal="right" vertical="top" wrapText="1"/>
    </xf>
    <xf numFmtId="0" fontId="74" fillId="21" borderId="49" xfId="2" applyFont="1" applyFill="1" applyBorder="1" applyAlignment="1">
      <alignment vertical="top" wrapText="1"/>
    </xf>
    <xf numFmtId="0" fontId="74" fillId="21" borderId="50" xfId="2" applyFont="1" applyFill="1" applyBorder="1" applyAlignment="1">
      <alignment vertical="top" wrapText="1"/>
    </xf>
    <xf numFmtId="0" fontId="74" fillId="21" borderId="51" xfId="2" applyFont="1" applyFill="1" applyBorder="1" applyAlignment="1">
      <alignment vertical="top" wrapText="1"/>
    </xf>
    <xf numFmtId="0" fontId="72" fillId="22" borderId="49" xfId="2" applyFont="1" applyFill="1" applyBorder="1" applyAlignment="1">
      <alignment horizontal="right" vertical="center" wrapText="1"/>
    </xf>
    <xf numFmtId="0" fontId="72" fillId="22" borderId="50" xfId="2" applyFont="1" applyFill="1" applyBorder="1" applyAlignment="1">
      <alignment horizontal="right" vertical="center" wrapText="1"/>
    </xf>
    <xf numFmtId="0" fontId="72" fillId="22" borderId="51" xfId="2" applyFont="1" applyFill="1" applyBorder="1" applyAlignment="1">
      <alignment horizontal="right" vertical="center" wrapText="1"/>
    </xf>
    <xf numFmtId="0" fontId="0" fillId="0" borderId="1" xfId="0" applyBorder="1" applyAlignment="1">
      <alignment horizontal="center"/>
    </xf>
    <xf numFmtId="0" fontId="73" fillId="21" borderId="49" xfId="2" applyFont="1" applyFill="1" applyBorder="1" applyAlignment="1">
      <alignment vertical="top" wrapText="1"/>
    </xf>
    <xf numFmtId="0" fontId="73" fillId="21" borderId="50" xfId="2" applyFont="1" applyFill="1" applyBorder="1" applyAlignment="1">
      <alignment vertical="top" wrapText="1"/>
    </xf>
    <xf numFmtId="0" fontId="73" fillId="21" borderId="51" xfId="2" applyFont="1" applyFill="1" applyBorder="1" applyAlignment="1">
      <alignment vertical="top" wrapText="1"/>
    </xf>
    <xf numFmtId="0" fontId="77" fillId="23" borderId="49" xfId="2" applyFont="1" applyFill="1" applyBorder="1" applyAlignment="1">
      <alignment vertical="top" wrapText="1"/>
    </xf>
    <xf numFmtId="0" fontId="77" fillId="23" borderId="51" xfId="2" applyFont="1" applyFill="1" applyBorder="1" applyAlignment="1">
      <alignment vertical="top" wrapText="1"/>
    </xf>
    <xf numFmtId="0" fontId="77" fillId="23" borderId="52" xfId="2" applyFont="1" applyFill="1" applyBorder="1" applyAlignment="1">
      <alignment vertical="top" wrapText="1"/>
    </xf>
    <xf numFmtId="0" fontId="77" fillId="23" borderId="55" xfId="2" applyFont="1" applyFill="1" applyBorder="1" applyAlignment="1">
      <alignment vertical="top" wrapText="1"/>
    </xf>
    <xf numFmtId="0" fontId="75" fillId="23" borderId="49" xfId="2" applyFont="1" applyFill="1" applyBorder="1" applyAlignment="1">
      <alignment wrapText="1"/>
    </xf>
    <xf numFmtId="0" fontId="75" fillId="23" borderId="50" xfId="2" applyFont="1" applyFill="1" applyBorder="1" applyAlignment="1">
      <alignment wrapText="1"/>
    </xf>
    <xf numFmtId="0" fontId="75" fillId="23" borderId="51" xfId="2" applyFont="1" applyFill="1" applyBorder="1" applyAlignment="1">
      <alignment wrapText="1"/>
    </xf>
    <xf numFmtId="0" fontId="77" fillId="23" borderId="50" xfId="2" applyFont="1" applyFill="1" applyBorder="1" applyAlignment="1">
      <alignment vertical="top" wrapText="1"/>
    </xf>
    <xf numFmtId="0" fontId="77" fillId="23" borderId="53" xfId="2" applyFont="1" applyFill="1" applyBorder="1" applyAlignment="1">
      <alignment vertical="top" wrapText="1"/>
    </xf>
    <xf numFmtId="0" fontId="58" fillId="2" borderId="56" xfId="2" applyFont="1" applyFill="1" applyBorder="1" applyAlignment="1">
      <alignment horizontal="center"/>
    </xf>
    <xf numFmtId="0" fontId="24" fillId="2" borderId="57" xfId="2" applyFill="1" applyBorder="1" applyAlignment="1">
      <alignment horizontal="center"/>
    </xf>
    <xf numFmtId="0" fontId="80" fillId="0" borderId="62" xfId="0" applyFont="1" applyBorder="1" applyAlignment="1">
      <alignment horizontal="center" vertical="center" wrapText="1"/>
    </xf>
    <xf numFmtId="0" fontId="80" fillId="0" borderId="63" xfId="0" applyFont="1" applyBorder="1" applyAlignment="1">
      <alignment horizontal="center" vertical="center" wrapText="1"/>
    </xf>
    <xf numFmtId="0" fontId="80" fillId="0" borderId="64" xfId="0" applyFont="1" applyBorder="1" applyAlignment="1">
      <alignment horizontal="center" vertical="center" wrapText="1"/>
    </xf>
    <xf numFmtId="0" fontId="79" fillId="0" borderId="62" xfId="0" applyFont="1" applyBorder="1" applyAlignment="1">
      <alignment horizontal="center" vertical="center" wrapText="1"/>
    </xf>
    <xf numFmtId="0" fontId="79" fillId="0" borderId="64" xfId="0" applyFont="1" applyBorder="1" applyAlignment="1">
      <alignment horizontal="center" vertical="center" wrapText="1"/>
    </xf>
    <xf numFmtId="0" fontId="79" fillId="0" borderId="63" xfId="0" applyFont="1" applyBorder="1" applyAlignment="1">
      <alignment horizontal="center" vertical="center" wrapText="1"/>
    </xf>
    <xf numFmtId="0" fontId="20" fillId="0" borderId="65" xfId="0" applyFont="1" applyBorder="1" applyAlignment="1">
      <alignment horizontal="center" wrapText="1"/>
    </xf>
    <xf numFmtId="0" fontId="20" fillId="0" borderId="66" xfId="0" applyFont="1" applyBorder="1" applyAlignment="1">
      <alignment horizontal="center" wrapText="1"/>
    </xf>
    <xf numFmtId="0" fontId="20" fillId="0" borderId="67" xfId="0" applyFont="1" applyBorder="1" applyAlignment="1">
      <alignment horizontal="center" wrapText="1"/>
    </xf>
    <xf numFmtId="0" fontId="20" fillId="0" borderId="68" xfId="0" applyFont="1" applyBorder="1" applyAlignment="1">
      <alignment horizontal="center" wrapText="1"/>
    </xf>
    <xf numFmtId="0" fontId="20" fillId="0" borderId="69" xfId="0" applyFont="1" applyBorder="1" applyAlignment="1">
      <alignment horizontal="center" wrapText="1"/>
    </xf>
    <xf numFmtId="0" fontId="81" fillId="0" borderId="70" xfId="0" applyFont="1" applyBorder="1" applyAlignment="1">
      <alignment horizontal="center" vertical="top" wrapText="1"/>
    </xf>
    <xf numFmtId="0" fontId="81" fillId="0" borderId="71" xfId="0" applyFont="1" applyBorder="1" applyAlignment="1">
      <alignment horizontal="center" vertical="top" wrapText="1"/>
    </xf>
    <xf numFmtId="0" fontId="81" fillId="0" borderId="69" xfId="0" applyFont="1" applyBorder="1" applyAlignment="1">
      <alignment horizontal="center" vertical="top" wrapText="1"/>
    </xf>
    <xf numFmtId="0" fontId="82" fillId="42" borderId="59" xfId="0" applyFont="1" applyFill="1" applyBorder="1" applyAlignment="1">
      <alignment horizontal="center" vertical="center" wrapText="1"/>
    </xf>
    <xf numFmtId="0" fontId="82" fillId="42" borderId="60" xfId="0" applyFont="1" applyFill="1" applyBorder="1" applyAlignment="1">
      <alignment horizontal="center" vertical="center" wrapText="1"/>
    </xf>
    <xf numFmtId="0" fontId="82" fillId="42" borderId="61" xfId="0" applyFont="1" applyFill="1" applyBorder="1" applyAlignment="1">
      <alignment horizontal="center" vertical="center" wrapText="1"/>
    </xf>
    <xf numFmtId="0" fontId="79" fillId="42" borderId="59" xfId="0" applyFont="1" applyFill="1" applyBorder="1" applyAlignment="1">
      <alignment horizontal="center" vertical="center" wrapText="1"/>
    </xf>
    <xf numFmtId="0" fontId="79" fillId="42" borderId="60" xfId="0" applyFont="1" applyFill="1" applyBorder="1" applyAlignment="1">
      <alignment horizontal="center" vertical="center" wrapText="1"/>
    </xf>
    <xf numFmtId="0" fontId="79" fillId="42" borderId="61" xfId="0" applyFont="1" applyFill="1" applyBorder="1" applyAlignment="1">
      <alignment horizontal="center" vertical="center" wrapText="1"/>
    </xf>
    <xf numFmtId="0" fontId="82" fillId="0" borderId="62" xfId="0" applyFont="1" applyBorder="1" applyAlignment="1">
      <alignment horizontal="center" vertical="center" wrapText="1"/>
    </xf>
    <xf numFmtId="0" fontId="82" fillId="0" borderId="63" xfId="0" applyFont="1" applyBorder="1" applyAlignment="1">
      <alignment horizontal="center" vertical="center" wrapText="1"/>
    </xf>
    <xf numFmtId="0" fontId="82" fillId="0" borderId="64" xfId="0" applyFont="1" applyBorder="1" applyAlignment="1">
      <alignment horizontal="center" vertical="center" wrapText="1"/>
    </xf>
    <xf numFmtId="0" fontId="4" fillId="2" borderId="73" xfId="0" applyFont="1" applyFill="1" applyBorder="1" applyAlignment="1">
      <alignment horizontal="center"/>
    </xf>
    <xf numFmtId="0" fontId="80" fillId="3" borderId="62" xfId="0" applyFont="1" applyFill="1" applyBorder="1" applyAlignment="1">
      <alignment horizontal="center" vertical="center" wrapText="1"/>
    </xf>
    <xf numFmtId="0" fontId="80" fillId="3" borderId="63" xfId="0" applyFont="1" applyFill="1" applyBorder="1" applyAlignment="1">
      <alignment horizontal="center" vertical="center" wrapText="1"/>
    </xf>
    <xf numFmtId="0" fontId="15" fillId="19" borderId="18" xfId="0" applyFont="1" applyFill="1" applyBorder="1" applyAlignment="1">
      <alignment horizontal="center"/>
    </xf>
    <xf numFmtId="0" fontId="0" fillId="19" borderId="18" xfId="0" applyFill="1" applyBorder="1" applyAlignment="1">
      <alignment horizontal="center"/>
    </xf>
    <xf numFmtId="0" fontId="4" fillId="2" borderId="18" xfId="0" applyFont="1" applyFill="1" applyBorder="1" applyAlignment="1">
      <alignment horizontal="center"/>
    </xf>
    <xf numFmtId="0" fontId="28" fillId="2" borderId="1" xfId="4" applyFont="1" applyFill="1" applyAlignment="1">
      <alignment horizontal="center"/>
    </xf>
    <xf numFmtId="0" fontId="28" fillId="2" borderId="18" xfId="4" applyFont="1" applyFill="1" applyBorder="1" applyAlignment="1">
      <alignment horizontal="center"/>
    </xf>
    <xf numFmtId="0" fontId="4" fillId="2" borderId="1" xfId="0" applyFont="1" applyFill="1" applyBorder="1" applyAlignment="1">
      <alignment horizontal="center"/>
    </xf>
    <xf numFmtId="0" fontId="4" fillId="0" borderId="13" xfId="0" applyFont="1" applyBorder="1" applyAlignment="1">
      <alignment horizontal="center"/>
    </xf>
    <xf numFmtId="0" fontId="4" fillId="0" borderId="2" xfId="0" applyFont="1" applyBorder="1" applyAlignment="1">
      <alignment horizontal="center"/>
    </xf>
    <xf numFmtId="0" fontId="4" fillId="0" borderId="14" xfId="0" applyFont="1" applyBorder="1" applyAlignment="1">
      <alignment horizontal="center"/>
    </xf>
    <xf numFmtId="0" fontId="28" fillId="2" borderId="1" xfId="0" applyFont="1" applyFill="1" applyBorder="1" applyAlignment="1">
      <alignment horizontal="center"/>
    </xf>
    <xf numFmtId="0" fontId="28" fillId="2" borderId="18" xfId="0" applyFont="1" applyFill="1" applyBorder="1" applyAlignment="1">
      <alignment horizontal="center"/>
    </xf>
    <xf numFmtId="0" fontId="89" fillId="4" borderId="0" xfId="0" applyFont="1" applyFill="1" applyAlignment="1">
      <alignment horizontal="center"/>
    </xf>
    <xf numFmtId="0" fontId="59" fillId="0" borderId="14" xfId="0" applyFont="1" applyBorder="1" applyAlignment="1">
      <alignment horizontal="center" vertical="top"/>
    </xf>
    <xf numFmtId="0" fontId="59" fillId="0" borderId="16" xfId="0" applyFont="1" applyBorder="1" applyAlignment="1">
      <alignment horizontal="center" vertical="top"/>
    </xf>
    <xf numFmtId="0" fontId="8" fillId="19" borderId="0" xfId="0" applyFont="1" applyFill="1" applyAlignment="1">
      <alignment horizontal="center"/>
    </xf>
    <xf numFmtId="0" fontId="8" fillId="20" borderId="1" xfId="0" applyFont="1" applyFill="1" applyBorder="1" applyAlignment="1">
      <alignment horizontal="center"/>
    </xf>
    <xf numFmtId="0" fontId="67" fillId="0" borderId="20" xfId="0" applyFont="1" applyBorder="1" applyAlignment="1">
      <alignment horizontal="center" vertical="top"/>
    </xf>
    <xf numFmtId="0" fontId="8" fillId="15" borderId="1" xfId="0" applyFont="1" applyFill="1" applyBorder="1" applyAlignment="1">
      <alignment horizontal="center"/>
    </xf>
    <xf numFmtId="0" fontId="8" fillId="4" borderId="0" xfId="0" applyFont="1" applyFill="1" applyAlignment="1">
      <alignment horizontal="center"/>
    </xf>
    <xf numFmtId="0" fontId="8" fillId="17" borderId="1" xfId="0" applyFont="1" applyFill="1" applyBorder="1" applyAlignment="1">
      <alignment horizontal="center"/>
    </xf>
    <xf numFmtId="0" fontId="4" fillId="4" borderId="18" xfId="0" applyFont="1" applyFill="1" applyBorder="1" applyAlignment="1">
      <alignment horizontal="center"/>
    </xf>
    <xf numFmtId="0" fontId="70" fillId="20" borderId="0" xfId="0" applyFont="1" applyFill="1" applyAlignment="1">
      <alignment horizontal="center"/>
    </xf>
    <xf numFmtId="0" fontId="36" fillId="20" borderId="0" xfId="0" applyFont="1" applyFill="1" applyAlignment="1">
      <alignment horizontal="center"/>
    </xf>
    <xf numFmtId="0" fontId="10" fillId="20" borderId="0" xfId="0" applyFont="1" applyFill="1" applyAlignment="1">
      <alignment horizontal="center"/>
    </xf>
    <xf numFmtId="0" fontId="59" fillId="0" borderId="19" xfId="0" applyFont="1" applyBorder="1" applyAlignment="1">
      <alignment horizontal="center" vertical="top"/>
    </xf>
    <xf numFmtId="0" fontId="9" fillId="0" borderId="1" xfId="3" applyFont="1"/>
    <xf numFmtId="0" fontId="15" fillId="0" borderId="1" xfId="3"/>
    <xf numFmtId="0" fontId="0" fillId="3" borderId="0" xfId="0" applyFill="1" applyAlignment="1">
      <alignment horizontal="center"/>
    </xf>
    <xf numFmtId="0" fontId="0" fillId="7" borderId="0" xfId="0" applyFill="1" applyAlignment="1">
      <alignment horizontal="center"/>
    </xf>
    <xf numFmtId="0" fontId="60" fillId="0" borderId="20" xfId="0" applyFont="1" applyBorder="1" applyAlignment="1">
      <alignment horizontal="left" vertical="top" wrapText="1"/>
    </xf>
    <xf numFmtId="0" fontId="59" fillId="0" borderId="20" xfId="0" applyFont="1" applyBorder="1" applyAlignment="1">
      <alignment horizontal="left" vertical="top" wrapText="1"/>
    </xf>
    <xf numFmtId="0" fontId="59" fillId="0" borderId="14" xfId="0" applyFont="1" applyBorder="1" applyAlignment="1">
      <alignment horizontal="left" vertical="top" wrapText="1"/>
    </xf>
    <xf numFmtId="0" fontId="59" fillId="0" borderId="16" xfId="0" applyFont="1" applyBorder="1" applyAlignment="1">
      <alignment horizontal="left" vertical="top" wrapText="1"/>
    </xf>
    <xf numFmtId="0" fontId="23" fillId="0" borderId="18" xfId="0" applyFont="1" applyBorder="1" applyAlignment="1">
      <alignment horizontal="center"/>
    </xf>
    <xf numFmtId="0" fontId="23" fillId="3" borderId="0" xfId="0" applyFont="1" applyFill="1" applyAlignment="1">
      <alignment horizontal="center"/>
    </xf>
    <xf numFmtId="0" fontId="59" fillId="0" borderId="40" xfId="0" applyFont="1" applyBorder="1" applyAlignment="1">
      <alignment horizontal="center" vertical="top"/>
    </xf>
    <xf numFmtId="0" fontId="0" fillId="0" borderId="41" xfId="0" applyBorder="1"/>
    <xf numFmtId="0" fontId="0" fillId="0" borderId="42" xfId="0" applyBorder="1"/>
    <xf numFmtId="0" fontId="0" fillId="0" borderId="43" xfId="0" applyBorder="1"/>
    <xf numFmtId="0" fontId="23" fillId="2" borderId="5" xfId="0" applyFont="1"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4" fillId="2" borderId="5" xfId="3" applyFont="1" applyFill="1" applyBorder="1" applyAlignment="1">
      <alignment horizontal="center"/>
    </xf>
    <xf numFmtId="0" fontId="4" fillId="2" borderId="6" xfId="3" applyFont="1" applyFill="1" applyBorder="1" applyAlignment="1">
      <alignment horizontal="center"/>
    </xf>
    <xf numFmtId="0" fontId="4" fillId="2" borderId="7" xfId="3" applyFont="1" applyFill="1" applyBorder="1" applyAlignment="1">
      <alignment horizontal="center"/>
    </xf>
    <xf numFmtId="0" fontId="67" fillId="0" borderId="40" xfId="0" applyFont="1" applyBorder="1" applyAlignment="1">
      <alignment horizontal="center" vertical="top"/>
    </xf>
    <xf numFmtId="0" fontId="4" fillId="0" borderId="5" xfId="3" applyFont="1" applyBorder="1" applyAlignment="1">
      <alignment horizontal="center"/>
    </xf>
    <xf numFmtId="0" fontId="4" fillId="0" borderId="6" xfId="3" applyFont="1" applyBorder="1" applyAlignment="1">
      <alignment horizontal="center"/>
    </xf>
    <xf numFmtId="0" fontId="4" fillId="0" borderId="7" xfId="3" applyFont="1" applyBorder="1" applyAlignment="1">
      <alignment horizontal="center"/>
    </xf>
    <xf numFmtId="0" fontId="0" fillId="14" borderId="8" xfId="0" applyFill="1" applyBorder="1" applyAlignment="1">
      <alignment horizontal="center"/>
    </xf>
    <xf numFmtId="0" fontId="0" fillId="14" borderId="1" xfId="0" applyFill="1" applyBorder="1" applyAlignment="1">
      <alignment horizontal="center"/>
    </xf>
    <xf numFmtId="0" fontId="0" fillId="14" borderId="9" xfId="0" applyFill="1" applyBorder="1" applyAlignment="1">
      <alignment horizontal="center"/>
    </xf>
    <xf numFmtId="0" fontId="69" fillId="16" borderId="8" xfId="0" applyFont="1" applyFill="1" applyBorder="1" applyAlignment="1">
      <alignment horizontal="center"/>
    </xf>
    <xf numFmtId="0" fontId="69" fillId="16" borderId="1" xfId="0" applyFont="1" applyFill="1" applyBorder="1" applyAlignment="1">
      <alignment horizontal="center"/>
    </xf>
    <xf numFmtId="0" fontId="69" fillId="16" borderId="9" xfId="0" applyFont="1" applyFill="1" applyBorder="1" applyAlignment="1">
      <alignment horizontal="center"/>
    </xf>
    <xf numFmtId="0" fontId="69" fillId="16" borderId="10" xfId="0" applyFont="1" applyFill="1" applyBorder="1" applyAlignment="1">
      <alignment horizontal="center"/>
    </xf>
    <xf numFmtId="0" fontId="69" fillId="16" borderId="11" xfId="0" applyFont="1" applyFill="1" applyBorder="1" applyAlignment="1">
      <alignment horizontal="center"/>
    </xf>
    <xf numFmtId="0" fontId="69" fillId="16" borderId="12" xfId="0" applyFont="1" applyFill="1" applyBorder="1" applyAlignment="1">
      <alignment horizontal="center"/>
    </xf>
    <xf numFmtId="0" fontId="0" fillId="16" borderId="8" xfId="0" applyFill="1" applyBorder="1" applyAlignment="1">
      <alignment horizontal="center"/>
    </xf>
    <xf numFmtId="0" fontId="0" fillId="16" borderId="1" xfId="0" applyFill="1" applyBorder="1" applyAlignment="1">
      <alignment horizontal="center"/>
    </xf>
    <xf numFmtId="0" fontId="0" fillId="16" borderId="9" xfId="0" applyFill="1" applyBorder="1" applyAlignment="1">
      <alignment horizontal="center"/>
    </xf>
    <xf numFmtId="0" fontId="0" fillId="16" borderId="10" xfId="0" applyFill="1" applyBorder="1" applyAlignment="1">
      <alignment horizontal="center"/>
    </xf>
    <xf numFmtId="0" fontId="0" fillId="16" borderId="11" xfId="0" applyFill="1" applyBorder="1" applyAlignment="1">
      <alignment horizontal="center"/>
    </xf>
    <xf numFmtId="0" fontId="0" fillId="16" borderId="12" xfId="0" applyFill="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69" fillId="0" borderId="5" xfId="0" applyFont="1" applyBorder="1" applyAlignment="1">
      <alignment horizontal="center"/>
    </xf>
    <xf numFmtId="0" fontId="69" fillId="0" borderId="6" xfId="0" applyFont="1" applyBorder="1" applyAlignment="1">
      <alignment horizontal="center"/>
    </xf>
    <xf numFmtId="0" fontId="69" fillId="0" borderId="7" xfId="0" applyFont="1" applyBorder="1" applyAlignment="1">
      <alignment horizontal="center"/>
    </xf>
    <xf numFmtId="0" fontId="0" fillId="0" borderId="0" xfId="0" applyAlignment="1">
      <alignment horizontal="center" vertical="center"/>
    </xf>
    <xf numFmtId="0" fontId="4" fillId="4" borderId="0" xfId="0" applyFont="1" applyFill="1" applyAlignment="1">
      <alignment horizontal="center"/>
    </xf>
    <xf numFmtId="0" fontId="55" fillId="0" borderId="1" xfId="6" applyAlignment="1">
      <alignment horizontal="center" vertical="center" wrapText="1"/>
    </xf>
    <xf numFmtId="0" fontId="0" fillId="0" borderId="0" xfId="0" applyAlignment="1">
      <alignment horizontal="center"/>
    </xf>
    <xf numFmtId="10" fontId="43" fillId="0" borderId="5" xfId="3" applyNumberFormat="1" applyFont="1" applyBorder="1" applyAlignment="1">
      <alignment horizontal="center"/>
    </xf>
    <xf numFmtId="10" fontId="43" fillId="0" borderId="7" xfId="3" applyNumberFormat="1" applyFont="1" applyBorder="1" applyAlignment="1">
      <alignment horizontal="center"/>
    </xf>
    <xf numFmtId="0" fontId="4" fillId="48" borderId="0" xfId="0" applyFont="1" applyFill="1"/>
  </cellXfs>
  <cellStyles count="11">
    <cellStyle name="Hiperlink" xfId="10" builtinId="8"/>
    <cellStyle name="Hyperlink 2" xfId="6" xr:uid="{9CB2D0E2-C433-4877-A691-FC2576BC23D0}"/>
    <cellStyle name="Millares [0] 2" xfId="8" xr:uid="{9583A198-E56A-41BD-B5A7-88D5C3848CD1}"/>
    <cellStyle name="Normal" xfId="0" builtinId="0"/>
    <cellStyle name="Normal 2" xfId="2" xr:uid="{EA9EFD7A-E11B-45AF-8CC2-3DCA332C8FBB}"/>
    <cellStyle name="Normal 3" xfId="3" xr:uid="{A0943507-DDFD-4EF0-88F5-09126A397B71}"/>
    <cellStyle name="Normal 4" xfId="4" xr:uid="{DA1BCF9C-2937-421F-B63E-182ECA36A617}"/>
    <cellStyle name="Normal 5" xfId="5" xr:uid="{0CC5AC86-EC00-414E-8F46-0FBDD33A6916}"/>
    <cellStyle name="Normal 6" xfId="7" xr:uid="{1422DD05-DED4-4EEC-9801-8FF74E9FAA04}"/>
    <cellStyle name="Normal 7" xfId="9" xr:uid="{B1381B33-DB9A-421D-A5F5-0FBD65F853D4}"/>
    <cellStyle name="Separador de milhares [0]" xfId="1" builtinId="6"/>
  </cellStyles>
  <dxfs count="2">
    <dxf>
      <fill>
        <patternFill>
          <bgColor rgb="FFFFCCCC"/>
        </patternFill>
      </fill>
    </dxf>
    <dxf>
      <font>
        <b/>
        <i val="0"/>
      </font>
      <fill>
        <patternFill>
          <bgColor theme="4" tint="0.79998168889431442"/>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fi-FI"/>
              <a:t>Export trend slopes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internationaltrade!$D$111:$AH$111</c:f>
              <c:strCache>
                <c:ptCount val="31"/>
                <c:pt idx="0">
                  <c:v>agriculture</c:v>
                </c:pt>
                <c:pt idx="1">
                  <c:v>forestry</c:v>
                </c:pt>
                <c:pt idx="2">
                  <c:v>fishing</c:v>
                </c:pt>
                <c:pt idx="3">
                  <c:v>mining</c:v>
                </c:pt>
                <c:pt idx="4">
                  <c:v>manu_food</c:v>
                </c:pt>
                <c:pt idx="5">
                  <c:v>manu_clothing</c:v>
                </c:pt>
                <c:pt idx="6">
                  <c:v>manu_forest</c:v>
                </c:pt>
                <c:pt idx="7">
                  <c:v>manu_chemical</c:v>
                </c:pt>
                <c:pt idx="8">
                  <c:v>manu_petroleum</c:v>
                </c:pt>
                <c:pt idx="9">
                  <c:v>manu_mineral</c:v>
                </c:pt>
                <c:pt idx="10">
                  <c:v>manu_metal</c:v>
                </c:pt>
                <c:pt idx="11">
                  <c:v>manu_electrical</c:v>
                </c:pt>
                <c:pt idx="12">
                  <c:v>manu_furniture</c:v>
                </c:pt>
                <c:pt idx="13">
                  <c:v>electricity</c:v>
                </c:pt>
                <c:pt idx="14">
                  <c:v>water</c:v>
                </c:pt>
                <c:pt idx="15">
                  <c:v>construction</c:v>
                </c:pt>
                <c:pt idx="16">
                  <c:v>trade</c:v>
                </c:pt>
                <c:pt idx="17">
                  <c:v>transport</c:v>
                </c:pt>
                <c:pt idx="18">
                  <c:v>accommodation</c:v>
                </c:pt>
                <c:pt idx="19">
                  <c:v>ict</c:v>
                </c:pt>
                <c:pt idx="20">
                  <c:v>finance</c:v>
                </c:pt>
                <c:pt idx="21">
                  <c:v>realestate</c:v>
                </c:pt>
                <c:pt idx="22">
                  <c:v>serv_prof</c:v>
                </c:pt>
                <c:pt idx="23">
                  <c:v>serv_science</c:v>
                </c:pt>
                <c:pt idx="24">
                  <c:v>serv_advertising</c:v>
                </c:pt>
                <c:pt idx="25">
                  <c:v>public</c:v>
                </c:pt>
                <c:pt idx="26">
                  <c:v>education</c:v>
                </c:pt>
                <c:pt idx="27">
                  <c:v>health</c:v>
                </c:pt>
                <c:pt idx="28">
                  <c:v>entertainment</c:v>
                </c:pt>
                <c:pt idx="29">
                  <c:v>serv_repair</c:v>
                </c:pt>
                <c:pt idx="30">
                  <c:v>serv_serv</c:v>
                </c:pt>
              </c:strCache>
            </c:strRef>
          </c:cat>
          <c:val>
            <c:numRef>
              <c:f>internationaltrade!$D$114:$AH$114</c:f>
              <c:numCache>
                <c:formatCode>General</c:formatCode>
                <c:ptCount val="31"/>
                <c:pt idx="0">
                  <c:v>-470250116.37</c:v>
                </c:pt>
                <c:pt idx="1">
                  <c:v>2257654.6</c:v>
                </c:pt>
                <c:pt idx="2">
                  <c:v>-9896974.0700000003</c:v>
                </c:pt>
                <c:pt idx="3">
                  <c:v>688261927.77999997</c:v>
                </c:pt>
                <c:pt idx="4">
                  <c:v>-27641654.859999999</c:v>
                </c:pt>
                <c:pt idx="5">
                  <c:v>-23348939.399999999</c:v>
                </c:pt>
                <c:pt idx="6">
                  <c:v>38821640.560000002</c:v>
                </c:pt>
                <c:pt idx="7">
                  <c:v>183318802.27000001</c:v>
                </c:pt>
                <c:pt idx="8">
                  <c:v>-101742468.45999999</c:v>
                </c:pt>
                <c:pt idx="9">
                  <c:v>-16352548.289999999</c:v>
                </c:pt>
                <c:pt idx="10">
                  <c:v>2461910376.6999998</c:v>
                </c:pt>
                <c:pt idx="11">
                  <c:v>-5199654500.9300003</c:v>
                </c:pt>
                <c:pt idx="12">
                  <c:v>23884376.32</c:v>
                </c:pt>
                <c:pt idx="13">
                  <c:v>-345977279.49000001</c:v>
                </c:pt>
                <c:pt idx="14">
                  <c:v>42530828.119999997</c:v>
                </c:pt>
                <c:pt idx="15">
                  <c:v>9483171.8599999994</c:v>
                </c:pt>
                <c:pt idx="16">
                  <c:v>3044076166.2399998</c:v>
                </c:pt>
                <c:pt idx="17">
                  <c:v>1131342629.6400001</c:v>
                </c:pt>
                <c:pt idx="18">
                  <c:v>-9230322.1699999999</c:v>
                </c:pt>
                <c:pt idx="19">
                  <c:v>7099477124.8400002</c:v>
                </c:pt>
                <c:pt idx="20">
                  <c:v>-327239407.17000002</c:v>
                </c:pt>
                <c:pt idx="21">
                  <c:v>-16349338.199999999</c:v>
                </c:pt>
                <c:pt idx="22">
                  <c:v>74970131.620000005</c:v>
                </c:pt>
                <c:pt idx="23">
                  <c:v>-14847184.539999999</c:v>
                </c:pt>
                <c:pt idx="24">
                  <c:v>208826937.75999999</c:v>
                </c:pt>
                <c:pt idx="25">
                  <c:v>3717496.2</c:v>
                </c:pt>
                <c:pt idx="26">
                  <c:v>18120578.16</c:v>
                </c:pt>
                <c:pt idx="27">
                  <c:v>20614474.460000001</c:v>
                </c:pt>
                <c:pt idx="28">
                  <c:v>45155703.299999997</c:v>
                </c:pt>
                <c:pt idx="29">
                  <c:v>45851226.939999998</c:v>
                </c:pt>
                <c:pt idx="30">
                  <c:v>4216378.62</c:v>
                </c:pt>
              </c:numCache>
            </c:numRef>
          </c:val>
          <c:extLst>
            <c:ext xmlns:c16="http://schemas.microsoft.com/office/drawing/2014/chart" uri="{C3380CC4-5D6E-409C-BE32-E72D297353CC}">
              <c16:uniqueId val="{00000000-0C95-4155-951D-36363010D192}"/>
            </c:ext>
          </c:extLst>
        </c:ser>
        <c:dLbls>
          <c:showLegendKey val="0"/>
          <c:showVal val="0"/>
          <c:showCatName val="0"/>
          <c:showSerName val="0"/>
          <c:showPercent val="0"/>
          <c:showBubbleSize val="0"/>
        </c:dLbls>
        <c:gapWidth val="182"/>
        <c:axId val="386669519"/>
        <c:axId val="386667599"/>
      </c:barChart>
      <c:catAx>
        <c:axId val="38666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lumMod val="75000"/>
                  </a:schemeClr>
                </a:solidFill>
                <a:latin typeface="+mn-lt"/>
                <a:ea typeface="+mn-ea"/>
                <a:cs typeface="+mn-cs"/>
              </a:defRPr>
            </a:pPr>
            <a:endParaRPr lang="en-US"/>
          </a:p>
        </c:txPr>
        <c:crossAx val="386667599"/>
        <c:crosses val="autoZero"/>
        <c:auto val="1"/>
        <c:lblAlgn val="ctr"/>
        <c:lblOffset val="100"/>
        <c:noMultiLvlLbl val="0"/>
      </c:catAx>
      <c:valAx>
        <c:axId val="386667599"/>
        <c:scaling>
          <c:orientation val="minMax"/>
          <c:min val="-800000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866695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b="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internationaltrade!$O$41</c:f>
              <c:strCache>
                <c:ptCount val="1"/>
                <c:pt idx="0">
                  <c:v>EXP</c:v>
                </c:pt>
              </c:strCache>
            </c:strRef>
          </c:tx>
          <c:spPr>
            <a:solidFill>
              <a:schemeClr val="accent1"/>
            </a:solidFill>
            <a:ln>
              <a:noFill/>
            </a:ln>
            <a:effectLst/>
          </c:spPr>
          <c:invertIfNegative val="0"/>
          <c:cat>
            <c:strRef>
              <c:f>internationaltrade!$N$42:$N$72</c:f>
              <c:strCache>
                <c:ptCount val="31"/>
                <c:pt idx="0">
                  <c:v>A1</c:v>
                </c:pt>
                <c:pt idx="1">
                  <c:v>A2</c:v>
                </c:pt>
                <c:pt idx="2">
                  <c:v>A3</c:v>
                </c:pt>
                <c:pt idx="3">
                  <c:v>B</c:v>
                </c:pt>
                <c:pt idx="4">
                  <c:v>C10_12</c:v>
                </c:pt>
                <c:pt idx="5">
                  <c:v>C13_15</c:v>
                </c:pt>
                <c:pt idx="6">
                  <c:v>C16_17</c:v>
                </c:pt>
                <c:pt idx="7">
                  <c:v>C20_22</c:v>
                </c:pt>
                <c:pt idx="8">
                  <c:v>C19</c:v>
                </c:pt>
                <c:pt idx="9">
                  <c:v>C23</c:v>
                </c:pt>
                <c:pt idx="10">
                  <c:v>C24_33 </c:v>
                </c:pt>
                <c:pt idx="11">
                  <c:v>C26_27 </c:v>
                </c:pt>
                <c:pt idx="12">
                  <c:v>C31_32</c:v>
                </c:pt>
                <c:pt idx="13">
                  <c:v>D</c:v>
                </c:pt>
                <c:pt idx="14">
                  <c:v>E</c:v>
                </c:pt>
                <c:pt idx="15">
                  <c:v>F</c:v>
                </c:pt>
                <c:pt idx="16">
                  <c:v>G</c:v>
                </c:pt>
                <c:pt idx="17">
                  <c:v>H</c:v>
                </c:pt>
                <c:pt idx="18">
                  <c:v>I</c:v>
                </c:pt>
                <c:pt idx="19">
                  <c:v>J</c:v>
                </c:pt>
                <c:pt idx="20">
                  <c:v>K</c:v>
                </c:pt>
                <c:pt idx="21">
                  <c:v>L</c:v>
                </c:pt>
                <c:pt idx="22">
                  <c:v>M_N</c:v>
                </c:pt>
                <c:pt idx="23">
                  <c:v>M_N_72</c:v>
                </c:pt>
                <c:pt idx="24">
                  <c:v>M_N_73</c:v>
                </c:pt>
                <c:pt idx="25">
                  <c:v>O</c:v>
                </c:pt>
                <c:pt idx="26">
                  <c:v>P</c:v>
                </c:pt>
                <c:pt idx="27">
                  <c:v>Q</c:v>
                </c:pt>
                <c:pt idx="28">
                  <c:v>R</c:v>
                </c:pt>
                <c:pt idx="29">
                  <c:v>S95</c:v>
                </c:pt>
                <c:pt idx="30">
                  <c:v>ST</c:v>
                </c:pt>
              </c:strCache>
            </c:strRef>
          </c:cat>
          <c:val>
            <c:numRef>
              <c:f>internationaltrade!$O$42:$O$72</c:f>
              <c:numCache>
                <c:formatCode>General</c:formatCode>
                <c:ptCount val="31"/>
                <c:pt idx="0">
                  <c:v>474185999.99999899</c:v>
                </c:pt>
                <c:pt idx="1">
                  <c:v>44825000</c:v>
                </c:pt>
                <c:pt idx="2">
                  <c:v>17440999.999999899</c:v>
                </c:pt>
                <c:pt idx="3">
                  <c:v>383252000</c:v>
                </c:pt>
                <c:pt idx="4">
                  <c:v>1408114000</c:v>
                </c:pt>
                <c:pt idx="5">
                  <c:v>607495000</c:v>
                </c:pt>
                <c:pt idx="6">
                  <c:v>10980171000</c:v>
                </c:pt>
                <c:pt idx="7">
                  <c:v>5747782999.999979</c:v>
                </c:pt>
                <c:pt idx="8">
                  <c:v>3620733000</c:v>
                </c:pt>
                <c:pt idx="9">
                  <c:v>634110999.99999893</c:v>
                </c:pt>
                <c:pt idx="10">
                  <c:v>18500950999.999989</c:v>
                </c:pt>
                <c:pt idx="11">
                  <c:v>14182868000</c:v>
                </c:pt>
                <c:pt idx="12">
                  <c:v>503411000</c:v>
                </c:pt>
                <c:pt idx="13">
                  <c:v>604495000</c:v>
                </c:pt>
                <c:pt idx="14">
                  <c:v>273760999.99999994</c:v>
                </c:pt>
                <c:pt idx="15">
                  <c:v>9332000</c:v>
                </c:pt>
                <c:pt idx="16">
                  <c:v>1293010999.99999</c:v>
                </c:pt>
                <c:pt idx="17">
                  <c:v>3640755999.9999804</c:v>
                </c:pt>
                <c:pt idx="18">
                  <c:v>184691000</c:v>
                </c:pt>
                <c:pt idx="19">
                  <c:v>2715784999.9999905</c:v>
                </c:pt>
                <c:pt idx="20">
                  <c:v>639529999.99999881</c:v>
                </c:pt>
                <c:pt idx="21">
                  <c:v>55793999.999999896</c:v>
                </c:pt>
                <c:pt idx="22">
                  <c:v>1662095999.999999</c:v>
                </c:pt>
                <c:pt idx="23">
                  <c:v>388555999.99999905</c:v>
                </c:pt>
                <c:pt idx="24">
                  <c:v>104808000</c:v>
                </c:pt>
                <c:pt idx="25">
                  <c:v>99863000</c:v>
                </c:pt>
                <c:pt idx="26">
                  <c:v>8384000</c:v>
                </c:pt>
                <c:pt idx="27">
                  <c:v>19631999.999999892</c:v>
                </c:pt>
                <c:pt idx="28">
                  <c:v>27409000</c:v>
                </c:pt>
                <c:pt idx="29">
                  <c:v>15164000</c:v>
                </c:pt>
                <c:pt idx="30">
                  <c:v>1012000</c:v>
                </c:pt>
              </c:numCache>
            </c:numRef>
          </c:val>
          <c:extLst>
            <c:ext xmlns:c16="http://schemas.microsoft.com/office/drawing/2014/chart" uri="{C3380CC4-5D6E-409C-BE32-E72D297353CC}">
              <c16:uniqueId val="{00000000-289D-4138-809E-789C3681E4E6}"/>
            </c:ext>
          </c:extLst>
        </c:ser>
        <c:dLbls>
          <c:showLegendKey val="0"/>
          <c:showVal val="0"/>
          <c:showCatName val="0"/>
          <c:showSerName val="0"/>
          <c:showPercent val="0"/>
          <c:showBubbleSize val="0"/>
        </c:dLbls>
        <c:gapWidth val="219"/>
        <c:overlap val="-27"/>
        <c:axId val="184694879"/>
        <c:axId val="184694399"/>
      </c:barChart>
      <c:catAx>
        <c:axId val="18469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4694399"/>
        <c:crosses val="autoZero"/>
        <c:auto val="1"/>
        <c:lblAlgn val="ctr"/>
        <c:lblOffset val="100"/>
        <c:noMultiLvlLbl val="0"/>
      </c:catAx>
      <c:valAx>
        <c:axId val="18469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46948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b="1"/>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8200437494146703"/>
          <c:y val="1.7299278424848484E-2"/>
        </c:manualLayout>
      </c:layout>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internationaltrade!$J$41</c:f>
              <c:strCache>
                <c:ptCount val="1"/>
                <c:pt idx="0">
                  <c:v>HH IMP</c:v>
                </c:pt>
              </c:strCache>
            </c:strRef>
          </c:tx>
          <c:spPr>
            <a:solidFill>
              <a:schemeClr val="accent1"/>
            </a:solidFill>
            <a:ln>
              <a:noFill/>
            </a:ln>
            <a:effectLst/>
          </c:spPr>
          <c:invertIfNegative val="0"/>
          <c:cat>
            <c:strRef>
              <c:f>internationaltrade!$N$42:$N$72</c:f>
              <c:strCache>
                <c:ptCount val="31"/>
                <c:pt idx="0">
                  <c:v>A1</c:v>
                </c:pt>
                <c:pt idx="1">
                  <c:v>A2</c:v>
                </c:pt>
                <c:pt idx="2">
                  <c:v>A3</c:v>
                </c:pt>
                <c:pt idx="3">
                  <c:v>B</c:v>
                </c:pt>
                <c:pt idx="4">
                  <c:v>C10_12</c:v>
                </c:pt>
                <c:pt idx="5">
                  <c:v>C13_15</c:v>
                </c:pt>
                <c:pt idx="6">
                  <c:v>C16_17</c:v>
                </c:pt>
                <c:pt idx="7">
                  <c:v>C20_22</c:v>
                </c:pt>
                <c:pt idx="8">
                  <c:v>C19</c:v>
                </c:pt>
                <c:pt idx="9">
                  <c:v>C23</c:v>
                </c:pt>
                <c:pt idx="10">
                  <c:v>C24_33 </c:v>
                </c:pt>
                <c:pt idx="11">
                  <c:v>C26_27 </c:v>
                </c:pt>
                <c:pt idx="12">
                  <c:v>C31_32</c:v>
                </c:pt>
                <c:pt idx="13">
                  <c:v>D</c:v>
                </c:pt>
                <c:pt idx="14">
                  <c:v>E</c:v>
                </c:pt>
                <c:pt idx="15">
                  <c:v>F</c:v>
                </c:pt>
                <c:pt idx="16">
                  <c:v>G</c:v>
                </c:pt>
                <c:pt idx="17">
                  <c:v>H</c:v>
                </c:pt>
                <c:pt idx="18">
                  <c:v>I</c:v>
                </c:pt>
                <c:pt idx="19">
                  <c:v>J</c:v>
                </c:pt>
                <c:pt idx="20">
                  <c:v>K</c:v>
                </c:pt>
                <c:pt idx="21">
                  <c:v>L</c:v>
                </c:pt>
                <c:pt idx="22">
                  <c:v>M_N</c:v>
                </c:pt>
                <c:pt idx="23">
                  <c:v>M_N_72</c:v>
                </c:pt>
                <c:pt idx="24">
                  <c:v>M_N_73</c:v>
                </c:pt>
                <c:pt idx="25">
                  <c:v>O</c:v>
                </c:pt>
                <c:pt idx="26">
                  <c:v>P</c:v>
                </c:pt>
                <c:pt idx="27">
                  <c:v>Q</c:v>
                </c:pt>
                <c:pt idx="28">
                  <c:v>R</c:v>
                </c:pt>
                <c:pt idx="29">
                  <c:v>S95</c:v>
                </c:pt>
                <c:pt idx="30">
                  <c:v>ST</c:v>
                </c:pt>
              </c:strCache>
            </c:strRef>
          </c:cat>
          <c:val>
            <c:numRef>
              <c:f>internationaltrade!$J$42:$J$72</c:f>
              <c:numCache>
                <c:formatCode>General</c:formatCode>
                <c:ptCount val="31"/>
                <c:pt idx="0">
                  <c:v>146524000</c:v>
                </c:pt>
                <c:pt idx="1">
                  <c:v>645000</c:v>
                </c:pt>
                <c:pt idx="2" formatCode="0.00E+00">
                  <c:v>419000</c:v>
                </c:pt>
                <c:pt idx="3">
                  <c:v>32000</c:v>
                </c:pt>
                <c:pt idx="4">
                  <c:v>293426000</c:v>
                </c:pt>
                <c:pt idx="5">
                  <c:v>127857000</c:v>
                </c:pt>
                <c:pt idx="6">
                  <c:v>7155000</c:v>
                </c:pt>
                <c:pt idx="7">
                  <c:v>48325000</c:v>
                </c:pt>
                <c:pt idx="8">
                  <c:v>9405000</c:v>
                </c:pt>
                <c:pt idx="9">
                  <c:v>3115000</c:v>
                </c:pt>
                <c:pt idx="10">
                  <c:v>53422000</c:v>
                </c:pt>
                <c:pt idx="11">
                  <c:v>22842000</c:v>
                </c:pt>
                <c:pt idx="12">
                  <c:v>54821000</c:v>
                </c:pt>
                <c:pt idx="13">
                  <c:v>3401000</c:v>
                </c:pt>
                <c:pt idx="14">
                  <c:v>248000</c:v>
                </c:pt>
                <c:pt idx="15">
                  <c:v>513000</c:v>
                </c:pt>
                <c:pt idx="16">
                  <c:v>1998000</c:v>
                </c:pt>
                <c:pt idx="17">
                  <c:v>89234000</c:v>
                </c:pt>
                <c:pt idx="18">
                  <c:v>454023000</c:v>
                </c:pt>
                <c:pt idx="19">
                  <c:v>46161000</c:v>
                </c:pt>
                <c:pt idx="20">
                  <c:v>33108000</c:v>
                </c:pt>
                <c:pt idx="21">
                  <c:v>641000</c:v>
                </c:pt>
                <c:pt idx="22">
                  <c:v>8120000</c:v>
                </c:pt>
                <c:pt idx="23">
                  <c:v>657000</c:v>
                </c:pt>
                <c:pt idx="24">
                  <c:v>53000</c:v>
                </c:pt>
                <c:pt idx="25">
                  <c:v>9820000</c:v>
                </c:pt>
                <c:pt idx="26">
                  <c:v>119872000</c:v>
                </c:pt>
                <c:pt idx="27">
                  <c:v>6258000</c:v>
                </c:pt>
                <c:pt idx="28">
                  <c:v>3797000</c:v>
                </c:pt>
                <c:pt idx="29">
                  <c:v>29000</c:v>
                </c:pt>
                <c:pt idx="30">
                  <c:v>3329000</c:v>
                </c:pt>
              </c:numCache>
            </c:numRef>
          </c:val>
          <c:extLst>
            <c:ext xmlns:c16="http://schemas.microsoft.com/office/drawing/2014/chart" uri="{C3380CC4-5D6E-409C-BE32-E72D297353CC}">
              <c16:uniqueId val="{00000000-146E-4CDF-A269-5619E5A60756}"/>
            </c:ext>
          </c:extLst>
        </c:ser>
        <c:dLbls>
          <c:showLegendKey val="0"/>
          <c:showVal val="0"/>
          <c:showCatName val="0"/>
          <c:showSerName val="0"/>
          <c:showPercent val="0"/>
          <c:showBubbleSize val="0"/>
        </c:dLbls>
        <c:gapWidth val="219"/>
        <c:overlap val="-27"/>
        <c:axId val="184694879"/>
        <c:axId val="184694399"/>
      </c:barChart>
      <c:catAx>
        <c:axId val="18469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4694399"/>
        <c:crosses val="autoZero"/>
        <c:auto val="1"/>
        <c:lblAlgn val="ctr"/>
        <c:lblOffset val="100"/>
        <c:noMultiLvlLbl val="0"/>
      </c:catAx>
      <c:valAx>
        <c:axId val="184694399"/>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46948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b="1"/>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9</xdr:col>
      <xdr:colOff>402906</xdr:colOff>
      <xdr:row>111</xdr:row>
      <xdr:rowOff>197167</xdr:rowOff>
    </xdr:from>
    <xdr:to>
      <xdr:col>19</xdr:col>
      <xdr:colOff>161925</xdr:colOff>
      <xdr:row>148</xdr:row>
      <xdr:rowOff>34290</xdr:rowOff>
    </xdr:to>
    <xdr:graphicFrame macro="">
      <xdr:nvGraphicFramePr>
        <xdr:cNvPr id="5" name="Chart 1">
          <a:extLst>
            <a:ext uri="{FF2B5EF4-FFF2-40B4-BE49-F238E27FC236}">
              <a16:creationId xmlns:a16="http://schemas.microsoft.com/office/drawing/2014/main" id="{A2EE84F2-798E-6F85-DE5C-F10849F40C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112059</xdr:colOff>
      <xdr:row>45</xdr:row>
      <xdr:rowOff>100854</xdr:rowOff>
    </xdr:from>
    <xdr:to>
      <xdr:col>30</xdr:col>
      <xdr:colOff>179294</xdr:colOff>
      <xdr:row>67</xdr:row>
      <xdr:rowOff>56702</xdr:rowOff>
    </xdr:to>
    <xdr:graphicFrame macro="">
      <xdr:nvGraphicFramePr>
        <xdr:cNvPr id="3" name="Chart 2">
          <a:extLst>
            <a:ext uri="{FF2B5EF4-FFF2-40B4-BE49-F238E27FC236}">
              <a16:creationId xmlns:a16="http://schemas.microsoft.com/office/drawing/2014/main" id="{A74FE42A-BDB8-761D-9D1D-7C725156C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0</xdr:colOff>
      <xdr:row>45</xdr:row>
      <xdr:rowOff>0</xdr:rowOff>
    </xdr:from>
    <xdr:to>
      <xdr:col>41</xdr:col>
      <xdr:colOff>453726</xdr:colOff>
      <xdr:row>66</xdr:row>
      <xdr:rowOff>165174</xdr:rowOff>
    </xdr:to>
    <xdr:graphicFrame macro="">
      <xdr:nvGraphicFramePr>
        <xdr:cNvPr id="4" name="Chart 3">
          <a:extLst>
            <a:ext uri="{FF2B5EF4-FFF2-40B4-BE49-F238E27FC236}">
              <a16:creationId xmlns:a16="http://schemas.microsoft.com/office/drawing/2014/main" id="{DBF74427-A67E-4E2F-BDDB-2872CDF39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35</xdr:col>
      <xdr:colOff>20731</xdr:colOff>
      <xdr:row>0</xdr:row>
      <xdr:rowOff>0</xdr:rowOff>
    </xdr:from>
    <xdr:to>
      <xdr:col>37</xdr:col>
      <xdr:colOff>13383</xdr:colOff>
      <xdr:row>4</xdr:row>
      <xdr:rowOff>141277</xdr:rowOff>
    </xdr:to>
    <xdr:pic>
      <xdr:nvPicPr>
        <xdr:cNvPr id="2" name="Picture 1">
          <a:extLst>
            <a:ext uri="{FF2B5EF4-FFF2-40B4-BE49-F238E27FC236}">
              <a16:creationId xmlns:a16="http://schemas.microsoft.com/office/drawing/2014/main" id="{FAC1D39A-C210-184E-501F-6BBCB29E6A42}"/>
            </a:ext>
          </a:extLst>
        </xdr:cNvPr>
        <xdr:cNvPicPr>
          <a:picLocks noChangeAspect="1"/>
        </xdr:cNvPicPr>
      </xdr:nvPicPr>
      <xdr:blipFill>
        <a:blip xmlns:r="http://schemas.openxmlformats.org/officeDocument/2006/relationships" r:embed="rId1"/>
        <a:stretch>
          <a:fillRect/>
        </a:stretch>
      </xdr:blipFill>
      <xdr:spPr>
        <a:xfrm>
          <a:off x="27721672" y="799876"/>
          <a:ext cx="1925395" cy="8946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815340</xdr:colOff>
      <xdr:row>0</xdr:row>
      <xdr:rowOff>87327</xdr:rowOff>
    </xdr:from>
    <xdr:to>
      <xdr:col>8</xdr:col>
      <xdr:colOff>855689</xdr:colOff>
      <xdr:row>4</xdr:row>
      <xdr:rowOff>57279</xdr:rowOff>
    </xdr:to>
    <xdr:pic>
      <xdr:nvPicPr>
        <xdr:cNvPr id="2" name="Picture 1">
          <a:extLst>
            <a:ext uri="{FF2B5EF4-FFF2-40B4-BE49-F238E27FC236}">
              <a16:creationId xmlns:a16="http://schemas.microsoft.com/office/drawing/2014/main" id="{DF70639D-F870-EBD2-39F6-AEE3290E51EF}"/>
            </a:ext>
          </a:extLst>
        </xdr:cNvPr>
        <xdr:cNvPicPr>
          <a:picLocks noChangeAspect="1"/>
        </xdr:cNvPicPr>
      </xdr:nvPicPr>
      <xdr:blipFill>
        <a:blip xmlns:r="http://schemas.openxmlformats.org/officeDocument/2006/relationships" r:embed="rId1"/>
        <a:stretch>
          <a:fillRect/>
        </a:stretch>
      </xdr:blipFill>
      <xdr:spPr>
        <a:xfrm>
          <a:off x="6332220" y="87327"/>
          <a:ext cx="1869149" cy="70147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Teemu Koskimäki" id="{02D9D879-9FBC-48A7-B49E-4F9FCE884588}" userId="2fa51b593c7aa7ff" providerId="Windows Live"/>
  <person displayName="Mihails Cugunovs" id="{4771B224-C984-4608-8C7C-E63B4FAA4913}" userId="S::mihacu@uef.fi::bf922a43-1be2-4703-a334-f7dc9d681a63" providerId="AD"/>
  <person displayName="Gabriele Gervasi" id="{1F1730C7-F938-4341-9027-34C9617BCC83}" userId="S::g.gervasi4@studenti.unipi.it::0ffa0480-9025-4917-beaa-277300f53559" providerId="AD"/>
  <person displayName="MATTHIEU RENÉ GASTON BORDENAVE" id="{E5602F41-A5CC-4DF2-9163-3EAAFE3FA30E}" userId="S::m.bordenave@student.unisi.it::9eeb9c6d-0863-4a63-9920-02e7fe19951e"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 dT="2025-02-14T13:15:35.37" personId="{1F1730C7-F938-4341-9027-34C9617BCC83}" id="{6802E9F9-797F-4C6D-887D-9D3654F6AE12}">
    <text>Change from a_dom to a_dom_elec to avoid doublons</text>
  </threadedComment>
  <threadedComment ref="A16" dT="2024-12-30T18:14:11.95" personId="{E5602F41-A5CC-4DF2-9163-3EAAFE3FA30E}" id="{8607B3B9-7327-4C37-AA94-C670ECD989CF}">
    <text>Appear twice const and constr is the same in original electricity file</text>
  </threadedComment>
  <threadedComment ref="A69" dT="2025-02-14T13:39:17.02" personId="{1F1730C7-F938-4341-9027-34C9617BCC83}" id="{566AB347-9F24-4EBF-9FDA-CF75B2D0F9B8}">
    <text>Couldn’t find the variable.WHY?</text>
  </threadedComment>
  <threadedComment ref="A78" dT="2024-12-30T18:17:54.20" personId="{E5602F41-A5CC-4DF2-9163-3EAAFE3FA30E}" id="{D84CE8D1-B5F7-4CBD-961E-26EC0BC5ED73}">
    <text xml:space="preserve">Difference with the one before ? </text>
  </threadedComment>
  <threadedComment ref="A86" dT="2025-03-11T19:08:47.21" personId="{1F1730C7-F938-4341-9027-34C9617BCC83}" id="{A3AF629B-8C92-4EDB-89FC-2C72C4787373}">
    <text>There are two identity matrixes, we have to  delete one</text>
  </threadedComment>
  <threadedComment ref="A87" dT="2025-03-11T19:10:43.59" personId="{1F1730C7-F938-4341-9027-34C9617BCC83}" id="{4A67B7E6-F5E2-4A76-8F4B-7A2468826A84}">
    <text xml:space="preserve">There are two, we have to delete one
</text>
  </threadedComment>
  <threadedComment ref="A91" dT="2025-02-17T11:38:15.86" personId="{E5602F41-A5CC-4DF2-9163-3EAAFE3FA30E}" id="{E7DF0160-25CF-498A-B9F6-78250F98C33F}">
    <text>One missing name ALPHA</text>
  </threadedComment>
  <threadedComment ref="A91" dT="2025-03-11T19:27:02.17" personId="{1F1730C7-F938-4341-9027-34C9617BCC83}" id="{D750D6D5-2F3E-413E-811B-D867D67262F6}" parentId="{E7DF0160-25CF-498A-B9F6-78250F98C33F}">
    <text>Variables are defined lines by lines, we have to add them</text>
  </threadedComment>
  <threadedComment ref="A108" dT="2025-02-13T10:41:48.41" personId="{E5602F41-A5CC-4DF2-9163-3EAAFE3FA30E}" id="{1E4279D3-8FEC-412B-9BFE-167377FCAAB9}">
    <text xml:space="preserve">Not properly named in the file
</text>
  </threadedComment>
  <threadedComment ref="A109" dT="2025-02-14T13:52:43.38" personId="{1F1730C7-F938-4341-9027-34C9617BCC83}" id="{53CBA972-DFC3-45B3-B8AC-A5F4E3DEA711}">
    <text>the name doesn’t match</text>
  </threadedComment>
  <threadedComment ref="A110" dT="2025-02-14T13:53:17.03" personId="{1F1730C7-F938-4341-9027-34C9617BCC83}" id="{675CADD5-4E9A-40A9-8D52-495DFB8061C8}">
    <text>The name doesn’t match</text>
  </threadedComment>
  <threadedComment ref="A143" dT="2025-02-17T11:51:14.39" personId="{E5602F41-A5CC-4DF2-9163-3EAAFE3FA30E}" id="{F444EB0B-FC9C-4822-970B-34EAF9CE553E}">
    <text xml:space="preserve">Same for cat share NO range names
</text>
  </threadedComment>
  <threadedComment ref="A147" dT="2025-02-14T13:47:05.88" personId="{1F1730C7-F938-4341-9027-34C9617BCC83}" id="{A4E3A391-E5D3-41AF-98DD-B260845894F4}">
    <text>I_MATR is the same as I MAT&gt;&gt;delete one</text>
  </threadedComment>
  <threadedComment ref="A165" dT="2025-02-12T14:30:34.47" personId="{E5602F41-A5CC-4DF2-9163-3EAAFE3FA30E}" id="{71A65E94-FF15-42AA-80DA-4DFE0E7986C3}">
    <text xml:space="preserve">One not named in the sheet Energy
</text>
  </threadedComment>
  <threadedComment ref="A196" dT="2025-02-14T13:56:12.52" personId="{1F1730C7-F938-4341-9027-34C9617BCC83}" id="{EA93AEF5-1DE7-4DE4-9A3B-4B277FC89A59}">
    <text>Ask till if these is used in the model</text>
  </threadedComment>
  <threadedComment ref="A198" dT="2025-02-14T13:57:19.17" personId="{1F1730C7-F938-4341-9027-34C9617BCC83}" id="{1C3135D3-8CAC-43D9-8F58-95F59D76586E}">
    <text>Ask ill if  these is used in the model</text>
  </threadedComment>
  <threadedComment ref="A213" dT="2025-02-14T13:59:36.00" personId="{1F1730C7-F938-4341-9027-34C9617BCC83}" id="{E673E20C-9512-4C86-A4FF-AD0EF6A3148F}">
    <text>There are teo _ u mean pos norm and u mean neg norm. Which one?</text>
  </threadedComment>
  <threadedComment ref="A214" dT="2025-02-12T15:40:14.23" personId="{E5602F41-A5CC-4DF2-9163-3EAAFE3FA30E}" id="{5409EE68-112A-49BA-B148-1C72AAAFC06F}">
    <text xml:space="preserve">3 column D for many of the following
</text>
  </threadedComment>
  <threadedComment ref="A216" dT="2025-02-14T13:59:56.69" personId="{1F1730C7-F938-4341-9027-34C9617BCC83}" id="{B87FD40D-F41E-4F0A-981D-90FA40DC59F0}">
    <text>Same as the previous vaeriable</text>
  </threadedComment>
  <threadedComment ref="A219" dT="2025-02-14T14:00:17.60" personId="{1F1730C7-F938-4341-9027-34C9617BCC83}" id="{44F7D79D-ED01-4636-9EC2-66A6F2F9B5A8}">
    <text>Same as before</text>
  </threadedComment>
  <threadedComment ref="A235" dT="2025-03-11T19:11:12.95" personId="{1F1730C7-F938-4341-9027-34C9617BCC83}" id="{38D27BB7-73F2-476B-8750-4B7B7EC8C03F}">
    <text>There are two, we have to delete one</text>
  </threadedComment>
</ThreadedComments>
</file>

<file path=xl/threadedComments/threadedComment2.xml><?xml version="1.0" encoding="utf-8"?>
<ThreadedComments xmlns="http://schemas.microsoft.com/office/spreadsheetml/2018/threadedcomments" xmlns:x="http://schemas.openxmlformats.org/spreadsheetml/2006/main">
  <threadedComment ref="F3" dT="2024-12-27T18:16:48.10" personId="{1F1730C7-F938-4341-9027-34C9617BCC83}" id="{56B885C1-CC2E-48DE-94CE-5567F061E255}">
    <text>No name in the original file</text>
  </threadedComment>
  <threadedComment ref="E24" dT="2024-12-27T18:13:49.09" personId="{1F1730C7-F938-4341-9027-34C9617BCC83}" id="{79031966-C440-4631-AC93-46628BC7E84C}">
    <text xml:space="preserve">No name in the original file
</text>
  </threadedComment>
  <threadedComment ref="F24" dT="2024-12-27T18:14:09.40" personId="{1F1730C7-F938-4341-9027-34C9617BCC83}" id="{B255E062-137D-4609-9DB1-8A428A228BCB}">
    <text>No name in the original file</text>
  </threadedComment>
  <threadedComment ref="D45" dT="2024-12-27T18:14:27.46" personId="{1F1730C7-F938-4341-9027-34C9617BCC83}" id="{908D53F3-4E35-4A0B-9197-69FCEFA78013}">
    <text>No name in the original file</text>
  </threadedComment>
  <threadedComment ref="E45" dT="2024-12-27T18:14:42.28" personId="{1F1730C7-F938-4341-9027-34C9617BCC83}" id="{B8883210-98F1-425A-89C9-DF106DF60336}">
    <text>No name in the original file</text>
  </threadedComment>
  <threadedComment ref="F45" dT="2024-12-27T18:14:58.05" personId="{1F1730C7-F938-4341-9027-34C9617BCC83}" id="{C7E9B321-3B17-44FD-8D2C-DC1B7E203AED}">
    <text>No name in the original file</text>
  </threadedComment>
</ThreadedComments>
</file>

<file path=xl/threadedComments/threadedComment3.xml><?xml version="1.0" encoding="utf-8"?>
<ThreadedComments xmlns="http://schemas.microsoft.com/office/spreadsheetml/2018/threadedcomments" xmlns:x="http://schemas.openxmlformats.org/spreadsheetml/2006/main">
  <threadedComment ref="A110" dT="2024-10-21T13:44:40.96" personId="{02D9D879-9FBC-48A7-B49E-4F9FCE884588}" id="{5F99BF05-D821-4BC6-85DD-241BA319F2F9}">
    <text>Remove covid years?</text>
  </threadedComment>
</ThreadedComments>
</file>

<file path=xl/threadedComments/threadedComment4.xml><?xml version="1.0" encoding="utf-8"?>
<ThreadedComments xmlns="http://schemas.microsoft.com/office/spreadsheetml/2018/threadedcomments" xmlns:x="http://schemas.openxmlformats.org/spreadsheetml/2006/main">
  <threadedComment ref="E8" dT="2025-02-13T10:04:50.71" personId="{E5602F41-A5CC-4DF2-9163-3EAAFE3FA30E}" id="{2E8293AE-9D08-439C-95FC-9C592FB7E170}">
    <text xml:space="preserve">Distribution of trade and transport </text>
  </threadedComment>
  <threadedComment ref="D9" dT="2025-02-13T10:03:52.09" personId="{E5602F41-A5CC-4DF2-9163-3EAAFE3FA30E}" id="{1FEE1D89-2052-4090-8A17-D61AF206DD10}">
    <text xml:space="preserve">Trade and transport margin paid by consumer </text>
  </threadedComment>
  <threadedComment ref="F9" dT="2025-02-13T10:02:16.35" personId="{E5602F41-A5CC-4DF2-9163-3EAAFE3FA30E}" id="{469A1EF7-E2B3-4DB3-A371-5F925E9C2857}">
    <text xml:space="preserve">Tax rate less subsidy on products </text>
  </threadedComment>
</ThreadedComments>
</file>

<file path=xl/threadedComments/threadedComment5.xml><?xml version="1.0" encoding="utf-8"?>
<ThreadedComments xmlns="http://schemas.microsoft.com/office/spreadsheetml/2018/threadedcomments" xmlns:x="http://schemas.openxmlformats.org/spreadsheetml/2006/main">
  <threadedComment ref="D128" dT="2025-02-17T11:27:49.26" personId="{E5602F41-A5CC-4DF2-9163-3EAAFE3FA30E}" id="{05A31AF7-4D1D-4AA2-B650-F0AC671EB2D5}">
    <text xml:space="preserve">No range name in original file
</text>
  </threadedComment>
</ThreadedComments>
</file>

<file path=xl/threadedComments/threadedComment6.xml><?xml version="1.0" encoding="utf-8"?>
<ThreadedComments xmlns="http://schemas.microsoft.com/office/spreadsheetml/2018/threadedcomments" xmlns:x="http://schemas.openxmlformats.org/spreadsheetml/2006/main">
  <threadedComment ref="B3" dT="2024-10-07T19:11:58.50" personId="{02D9D879-9FBC-48A7-B49E-4F9FCE884588}" id="{C7E39FDA-499E-4EB5-B251-DCC77AC96D5F}">
    <text>I changed this to 2010 prices</text>
  </threadedComment>
</ThreadedComments>
</file>

<file path=xl/threadedComments/threadedComment7.xml><?xml version="1.0" encoding="utf-8"?>
<ThreadedComments xmlns="http://schemas.microsoft.com/office/spreadsheetml/2018/threadedcomments" xmlns:x="http://schemas.openxmlformats.org/spreadsheetml/2006/main">
  <threadedComment ref="F8" dT="2024-10-14T07:49:54.67" personId="{02D9D879-9FBC-48A7-B49E-4F9FCE884588}" id="{C5718121-944D-491D-B5B0-163DDB037711}">
    <text>Number of people receiving benefits. 2145e is a rough estimate, check later</text>
  </threadedComment>
  <threadedComment ref="D15" dT="2024-10-08T11:46:13.21" personId="{02D9D879-9FBC-48A7-B49E-4F9FCE884588}" id="{F3F46B87-C80A-4304-81BC-6EB4C3E8F4EA}">
    <text>Yellow missing values for GOV were estimated assuming same fraction of total as HH</text>
  </threadedComment>
  <threadedComment ref="G33" dT="2024-10-18T15:37:22.74" personId="{4771B224-C984-4608-8C7C-E63B4FAA4913}" id="{559F93D4-467B-4F52-BB65-AFE117506F7C}">
    <text>Raw data, thresholds and %</text>
  </threadedComment>
  <threadedComment ref="C56" dT="2024-10-18T15:55:08.10" personId="{4771B224-C984-4608-8C7C-E63B4FAA4913}" id="{E1531D21-32CC-4CB9-B37F-96F86531D983}">
    <text>Archive data, no data after 2016</text>
  </threadedComment>
</ThreadedComments>
</file>

<file path=xl/threadedComments/threadedComment8.xml><?xml version="1.0" encoding="utf-8"?>
<ThreadedComments xmlns="http://schemas.microsoft.com/office/spreadsheetml/2018/threadedcomments" xmlns:x="http://schemas.openxmlformats.org/spreadsheetml/2006/main">
  <threadedComment ref="AC89" dT="2025-02-13T12:10:53.26" personId="{1F1730C7-F938-4341-9027-34C9617BCC83}" id="{0E6F782F-ACF0-42F2-80F0-351DD2ED9E80}">
    <text>No specific names</text>
  </threadedComment>
  <threadedComment ref="AC144" dT="2025-02-13T12:13:58.54" personId="{1F1730C7-F938-4341-9027-34C9617BCC83}" id="{7A5A796D-1143-4D78-A92B-1E2EA5B1282A}">
    <text>No specific names</text>
  </threadedComment>
  <threadedComment ref="B148" dT="2025-02-12T15:41:57.01" personId="{E5602F41-A5CC-4DF2-9163-3EAAFE3FA30E}" id="{33D17538-6BC5-414E-BD7D-D6592A91E530}">
    <text xml:space="preserve">NO RANGE NAME FOR THOSE
</text>
  </threadedComment>
</ThreadedComments>
</file>

<file path=xl/threadedComments/threadedComment9.xml><?xml version="1.0" encoding="utf-8"?>
<ThreadedComments xmlns="http://schemas.microsoft.com/office/spreadsheetml/2018/threadedcomments" xmlns:x="http://schemas.openxmlformats.org/spreadsheetml/2006/main">
  <threadedComment ref="C3" dT="2024-12-27T19:03:39.96" personId="{1F1730C7-F938-4341-9027-34C9617BCC83}" id="{8DEB6110-1528-4F36-AA9C-CC19ADFBAF65}">
    <text>No specific names for migration</text>
  </threadedComment>
</ThreadedComments>
</file>

<file path=xl/threadedComments/threadedComment10.xml><?xml version="1.0" encoding="utf-8"?>
<ThreadedComments xmlns="http://schemas.microsoft.com/office/spreadsheetml/2018/threadedcomments" xmlns:x="http://schemas.openxmlformats.org/spreadsheetml/2006/main">
  <threadedComment ref="C219" dT="2024-12-30T17:05:27.24" personId="{E5602F41-A5CC-4DF2-9163-3EAAFE3FA30E}" id="{B324597F-B513-4EA7-80C3-D7FAEAD60A82}">
    <text>No name in original file</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8" Type="http://schemas.openxmlformats.org/officeDocument/2006/relationships/hyperlink" Target="http://localhost/OECDStat_Metadata/ShowMetadata.ashx?Dataset=SNA_TABLE6A&amp;Coords=%5bLOCATION%5d.%5bITA%5d,%5bTRANSACT%5d.%5bB2N_B3NA%5d,%5bMEASURE%5d.%5bC%5d&amp;ShowOnWeb=true&amp;Lang=en" TargetMode="External"/><Relationship Id="rId13" Type="http://schemas.openxmlformats.org/officeDocument/2006/relationships/vmlDrawing" Target="../drawings/vmlDrawing4.vml"/><Relationship Id="rId3" Type="http://schemas.openxmlformats.org/officeDocument/2006/relationships/hyperlink" Target="http://localhost/OECDStat_Metadata/ShowMetadata.ashx?Dataset=SNA_TABLE6A&amp;Coords=%5bLOCATION%5d.%5bITA%5d,%5bTRANSACT%5d.%5bB2N_B3NA%5d,%5bMEASURE%5d.%5bC%5d&amp;ShowOnWeb=true&amp;Lang=en" TargetMode="External"/><Relationship Id="rId7" Type="http://schemas.openxmlformats.org/officeDocument/2006/relationships/hyperlink" Target="https://stats-1.oecd.org/index.aspx?DatasetCode=SNA_TABLE6A" TargetMode="External"/><Relationship Id="rId12" Type="http://schemas.openxmlformats.org/officeDocument/2006/relationships/hyperlink" Target="https://stats-1.oecd.org/index.aspx?DatasetCode=SNA_TABLE6A" TargetMode="External"/><Relationship Id="rId2" Type="http://schemas.openxmlformats.org/officeDocument/2006/relationships/hyperlink" Target="http://localhost/OECDStat_Metadata/ShowMetadata.ashx?Dataset=SNA_TABLE6A&amp;Coords=%5bLOCATION%5d.%5bITA%5d&amp;ShowOnWeb=true&amp;Lang=en" TargetMode="External"/><Relationship Id="rId1" Type="http://schemas.openxmlformats.org/officeDocument/2006/relationships/hyperlink" Target="http://localhost/OECDStat_Metadata/ShowMetadata.ashx?Dataset=SNA_TABLE6A&amp;ShowOnWeb=true&amp;Lang=en" TargetMode="External"/><Relationship Id="rId6" Type="http://schemas.openxmlformats.org/officeDocument/2006/relationships/hyperlink" Target="http://stats.oecd.org/OECDStat_Metadata/ShowMetadata.ashx?Dataset=SNA_TABLE6A&amp;Coords=%5bLOCATION%5d.%5bITA%5d&amp;ShowOnWeb=true&amp;Lang=en" TargetMode="External"/><Relationship Id="rId11" Type="http://schemas.openxmlformats.org/officeDocument/2006/relationships/hyperlink" Target="http://stats.oecd.org/OECDStat_Metadata/ShowMetadata.ashx?Dataset=SNA_TABLE6A&amp;Coords=%5bLOCATION%5d.%5bITA%5d,%5bTRANSACT%5d.%5bK1A%5d,%5bMEASURE%5d.%5bC%5d&amp;ShowOnWeb=true&amp;Lang=en" TargetMode="External"/><Relationship Id="rId5" Type="http://schemas.openxmlformats.org/officeDocument/2006/relationships/hyperlink" Target="http://stats.oecd.org/OECDStat_Metadata/ShowMetadata.ashx?Dataset=SNA_TABLE6A&amp;ShowOnWeb=true&amp;Lang=en" TargetMode="External"/><Relationship Id="rId15" Type="http://schemas.microsoft.com/office/2017/10/relationships/threadedComment" Target="../threadedComments/threadedComment4.xml"/><Relationship Id="rId10" Type="http://schemas.openxmlformats.org/officeDocument/2006/relationships/hyperlink" Target="http://stats.oecd.org/OECDStat_Metadata/ShowMetadata.ashx?Dataset=SNA_TABLE6A&amp;Coords=%5bLOCATION%5d.%5bITA%5d&amp;ShowOnWeb=true&amp;Lang=en" TargetMode="External"/><Relationship Id="rId4" Type="http://schemas.openxmlformats.org/officeDocument/2006/relationships/hyperlink" Target="https://stats-3.oecd.org/index.aspx?DatasetCode=SNA_TABLE6A" TargetMode="External"/><Relationship Id="rId9" Type="http://schemas.openxmlformats.org/officeDocument/2006/relationships/hyperlink" Target="http://stats.oecd.org/OECDStat_Metadata/ShowMetadata.ashx?Dataset=SNA_TABLE6A&amp;ShowOnWeb=true&amp;Lang=en" TargetMode="External"/><Relationship Id="rId1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3.xml"/><Relationship Id="rId4" Type="http://schemas.microsoft.com/office/2017/10/relationships/threadedComment" Target="../threadedComments/threadedComment7.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4.bin"/><Relationship Id="rId4" Type="http://schemas.microsoft.com/office/2017/10/relationships/threadedComment" Target="../threadedComments/threadedComment8.x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5.bin"/><Relationship Id="rId4" Type="http://schemas.microsoft.com/office/2017/10/relationships/threadedComment" Target="../threadedComments/threadedComment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sheetPr>
  <dimension ref="B1:AC1013"/>
  <sheetViews>
    <sheetView topLeftCell="A34" zoomScale="115" zoomScaleNormal="115" workbookViewId="0">
      <selection activeCell="C11" sqref="C11:F36"/>
    </sheetView>
  </sheetViews>
  <sheetFormatPr defaultColWidth="12.58203125" defaultRowHeight="15" customHeight="1"/>
  <cols>
    <col min="1" max="1" width="3.75" style="81" customWidth="1"/>
    <col min="2" max="2" width="5.25" style="81" customWidth="1"/>
    <col min="3" max="3" width="15.25" style="81" customWidth="1"/>
    <col min="4" max="4" width="14.58203125" style="81" customWidth="1"/>
    <col min="5" max="5" width="17.08203125" style="81" customWidth="1"/>
    <col min="6" max="6" width="46.75" style="81" customWidth="1"/>
    <col min="7" max="7" width="5.08203125" style="81" customWidth="1"/>
    <col min="8" max="8" width="8.33203125" style="81" customWidth="1"/>
    <col min="9" max="9" width="3.33203125" style="81" customWidth="1"/>
    <col min="10" max="10" width="3.83203125" style="81" customWidth="1"/>
    <col min="11" max="11" width="17.5" style="81" customWidth="1"/>
    <col min="12" max="12" width="25.5" style="81" customWidth="1"/>
    <col min="13" max="13" width="14" style="81" customWidth="1"/>
    <col min="14" max="14" width="50.25" style="81" customWidth="1"/>
    <col min="15" max="15" width="3.5" style="81" customWidth="1"/>
    <col min="16" max="29" width="6.58203125" style="81" customWidth="1"/>
    <col min="30" max="16384" width="12.58203125" style="81"/>
  </cols>
  <sheetData>
    <row r="1" spans="3:29" ht="15" customHeight="1" thickBot="1"/>
    <row r="2" spans="3:29" ht="15" customHeight="1">
      <c r="C2" s="82"/>
      <c r="D2" s="83"/>
      <c r="E2" s="83"/>
      <c r="F2" s="83"/>
      <c r="G2" s="84"/>
    </row>
    <row r="3" spans="3:29" ht="44.15" customHeight="1">
      <c r="C3" s="85"/>
      <c r="D3" s="110"/>
      <c r="E3" s="107"/>
      <c r="F3" s="106"/>
      <c r="G3" s="88"/>
    </row>
    <row r="4" spans="3:29" ht="14">
      <c r="C4" s="85"/>
      <c r="D4" s="100"/>
      <c r="E4" s="86"/>
      <c r="F4" s="443" t="s">
        <v>1284</v>
      </c>
      <c r="G4" s="88"/>
    </row>
    <row r="5" spans="3:29" ht="14.5">
      <c r="C5" s="85"/>
      <c r="D5" s="101"/>
      <c r="E5" s="87"/>
      <c r="F5" s="443"/>
      <c r="G5" s="88"/>
    </row>
    <row r="6" spans="3:29" ht="13.5" customHeight="1">
      <c r="C6" s="85"/>
      <c r="D6" s="87"/>
      <c r="E6" s="87"/>
      <c r="F6" s="443"/>
      <c r="G6" s="88"/>
    </row>
    <row r="7" spans="3:29" ht="13.5" customHeight="1">
      <c r="C7" s="85"/>
      <c r="D7" s="86"/>
      <c r="E7" s="87"/>
      <c r="F7" s="87"/>
      <c r="G7" s="88"/>
    </row>
    <row r="8" spans="3:29" ht="15" customHeight="1">
      <c r="C8" s="85"/>
      <c r="F8" s="87"/>
      <c r="G8" s="88"/>
    </row>
    <row r="9" spans="3:29" ht="15" customHeight="1">
      <c r="C9" s="85"/>
      <c r="D9" s="89" t="s">
        <v>0</v>
      </c>
      <c r="E9" s="86" t="s">
        <v>865</v>
      </c>
      <c r="F9" s="86"/>
      <c r="G9" s="88"/>
    </row>
    <row r="10" spans="3:29" ht="15" customHeight="1">
      <c r="C10" s="85"/>
      <c r="D10" s="86"/>
      <c r="E10" s="86"/>
      <c r="F10" s="86"/>
      <c r="G10" s="88"/>
    </row>
    <row r="11" spans="3:29" ht="26.5" customHeight="1">
      <c r="C11" s="366"/>
      <c r="D11" s="367" t="s">
        <v>1</v>
      </c>
      <c r="E11" s="368"/>
      <c r="F11" s="368"/>
      <c r="G11" s="91"/>
      <c r="H11" s="92"/>
      <c r="K11" s="108"/>
    </row>
    <row r="12" spans="3:29" ht="9" customHeight="1">
      <c r="C12" s="366"/>
      <c r="D12" s="367"/>
      <c r="E12" s="368"/>
      <c r="F12" s="368"/>
      <c r="G12" s="91"/>
      <c r="H12" s="92"/>
      <c r="K12" s="108"/>
    </row>
    <row r="13" spans="3:29" ht="13.5" customHeight="1">
      <c r="C13" s="366"/>
      <c r="D13" s="369" t="s">
        <v>2</v>
      </c>
      <c r="E13" s="370" t="s">
        <v>3</v>
      </c>
      <c r="F13" s="369" t="s">
        <v>4</v>
      </c>
      <c r="G13" s="88"/>
      <c r="H13" s="93" t="s">
        <v>1407</v>
      </c>
      <c r="K13" s="108"/>
      <c r="L13" s="99"/>
      <c r="P13" s="93"/>
      <c r="Q13" s="93"/>
      <c r="R13" s="93"/>
      <c r="S13" s="93"/>
      <c r="T13" s="93"/>
      <c r="U13" s="93"/>
      <c r="V13" s="93"/>
      <c r="W13" s="93"/>
      <c r="X13" s="93"/>
      <c r="Y13" s="93"/>
      <c r="Z13" s="93"/>
      <c r="AA13" s="93"/>
      <c r="AB13" s="93"/>
      <c r="AC13" s="93"/>
    </row>
    <row r="14" spans="3:29" ht="23">
      <c r="C14" s="366"/>
      <c r="D14" s="371" t="s">
        <v>5</v>
      </c>
      <c r="E14" s="372" t="str">
        <f>HYPERLINK("#'inputoutput'!A1", "inputoutput")</f>
        <v>inputoutput</v>
      </c>
      <c r="F14" s="373" t="s">
        <v>6</v>
      </c>
      <c r="G14" s="94"/>
      <c r="H14" s="95"/>
      <c r="K14" s="108"/>
      <c r="L14" s="99"/>
    </row>
    <row r="15" spans="3:29" ht="23">
      <c r="C15" s="366"/>
      <c r="D15" s="371" t="s">
        <v>5</v>
      </c>
      <c r="E15" s="372" t="str">
        <f>HYPERLINK("#'internationaltrade'!A1", "internationaltrade")</f>
        <v>internationaltrade</v>
      </c>
      <c r="F15" s="373" t="s">
        <v>7</v>
      </c>
      <c r="G15" s="94"/>
      <c r="H15" s="95"/>
      <c r="K15" s="108"/>
      <c r="L15" s="99"/>
    </row>
    <row r="16" spans="3:29" ht="23">
      <c r="C16" s="366"/>
      <c r="D16" s="371" t="s">
        <v>5</v>
      </c>
      <c r="E16" s="372" t="str">
        <f>HYPERLINK("#'prices'!A1", "prices")</f>
        <v>prices</v>
      </c>
      <c r="F16" s="373" t="s">
        <v>8</v>
      </c>
      <c r="G16" s="94"/>
      <c r="H16" s="95"/>
      <c r="K16" s="108"/>
      <c r="L16" s="99"/>
    </row>
    <row r="17" spans="3:12" ht="23">
      <c r="C17" s="366"/>
      <c r="D17" s="371" t="s">
        <v>5</v>
      </c>
      <c r="E17" s="372" t="str">
        <f>HYPERLINK("#'consumption'!A1", "consumption")</f>
        <v>consumption</v>
      </c>
      <c r="F17" s="373" t="s">
        <v>9</v>
      </c>
      <c r="G17" s="94"/>
      <c r="H17" s="95"/>
      <c r="K17" s="108"/>
      <c r="L17" s="99"/>
    </row>
    <row r="18" spans="3:12" ht="23">
      <c r="C18" s="366"/>
      <c r="D18" s="371" t="s">
        <v>5</v>
      </c>
      <c r="E18" s="372" t="str">
        <f>HYPERLINK("#'beta_elasticities'!A1", "beta_elasticities")</f>
        <v>beta_elasticities</v>
      </c>
      <c r="F18" s="373" t="s">
        <v>10</v>
      </c>
      <c r="G18" s="94"/>
      <c r="H18" s="95"/>
      <c r="K18" s="108"/>
    </row>
    <row r="19" spans="3:12" ht="23">
      <c r="C19" s="366"/>
      <c r="D19" s="371" t="s">
        <v>5</v>
      </c>
      <c r="E19" s="372" t="str">
        <f>HYPERLINK("#'investments'!A1", "investments")</f>
        <v>investments</v>
      </c>
      <c r="F19" s="373" t="s">
        <v>11</v>
      </c>
      <c r="G19" s="94"/>
      <c r="H19" s="95"/>
      <c r="K19" s="108"/>
    </row>
    <row r="20" spans="3:12" ht="23">
      <c r="C20" s="366"/>
      <c r="D20" s="371" t="s">
        <v>5</v>
      </c>
      <c r="E20" s="374" t="s">
        <v>1196</v>
      </c>
      <c r="F20" s="373" t="s">
        <v>1283</v>
      </c>
      <c r="G20" s="94"/>
      <c r="H20" s="95"/>
      <c r="K20" s="108"/>
    </row>
    <row r="21" spans="3:12" ht="14.5">
      <c r="C21" s="366"/>
      <c r="D21" s="371" t="s">
        <v>5</v>
      </c>
      <c r="E21" s="372" t="str">
        <f>HYPERLINK("#'finance'!A1", "finance")</f>
        <v>finance</v>
      </c>
      <c r="F21" s="373" t="s">
        <v>12</v>
      </c>
      <c r="G21" s="94"/>
      <c r="H21" s="95"/>
    </row>
    <row r="22" spans="3:12" ht="14.5">
      <c r="C22" s="366"/>
      <c r="D22" s="371" t="s">
        <v>5</v>
      </c>
      <c r="E22" s="372" t="str">
        <f>HYPERLINK("#'labour'!A1", "labour")</f>
        <v>labour</v>
      </c>
      <c r="F22" s="373" t="s">
        <v>13</v>
      </c>
      <c r="G22" s="94"/>
      <c r="H22" s="95"/>
    </row>
    <row r="23" spans="3:12" ht="14.5">
      <c r="C23" s="366"/>
      <c r="D23" s="371" t="s">
        <v>5</v>
      </c>
      <c r="E23" s="372" t="str">
        <f>HYPERLINK("#'government'!A1", "government")</f>
        <v>government</v>
      </c>
      <c r="F23" s="373" t="s">
        <v>14</v>
      </c>
      <c r="G23" s="94"/>
      <c r="H23" s="95"/>
      <c r="K23" s="93" t="s">
        <v>597</v>
      </c>
    </row>
    <row r="24" spans="3:12" ht="14.5">
      <c r="C24" s="366"/>
      <c r="D24" s="371" t="s">
        <v>5</v>
      </c>
      <c r="E24" s="372" t="str">
        <f>HYPERLINK("#'technology'!A1", "technology")</f>
        <v>technology</v>
      </c>
      <c r="F24" s="373" t="s">
        <v>15</v>
      </c>
      <c r="G24" s="94"/>
      <c r="H24" s="95"/>
      <c r="K24" s="174" t="s">
        <v>598</v>
      </c>
    </row>
    <row r="25" spans="3:12" ht="14.5" customHeight="1">
      <c r="C25" s="366"/>
      <c r="D25" s="371" t="s">
        <v>16</v>
      </c>
      <c r="E25" s="372" t="str">
        <f>HYPERLINK("#'timeuse'!A1", "timeuse")</f>
        <v>timeuse</v>
      </c>
      <c r="F25" s="373" t="s">
        <v>17</v>
      </c>
      <c r="G25" s="94"/>
      <c r="H25" s="95"/>
      <c r="K25" s="174" t="s">
        <v>599</v>
      </c>
    </row>
    <row r="26" spans="3:12" ht="14.5">
      <c r="C26" s="366"/>
      <c r="D26" s="371" t="s">
        <v>16</v>
      </c>
      <c r="E26" s="372" t="str">
        <f>HYPERLINK("#'demography'!A1", "demography")</f>
        <v>demography</v>
      </c>
      <c r="F26" s="373" t="s">
        <v>18</v>
      </c>
      <c r="G26" s="94"/>
      <c r="H26" s="95"/>
    </row>
    <row r="27" spans="3:12" ht="14.5">
      <c r="C27" s="366"/>
      <c r="D27" s="371" t="s">
        <v>16</v>
      </c>
      <c r="E27" s="372" t="str">
        <f>HYPERLINK("#'migration'!A1", "migration")</f>
        <v>migration</v>
      </c>
      <c r="F27" s="373" t="s">
        <v>19</v>
      </c>
      <c r="G27" s="94"/>
      <c r="H27" s="95"/>
    </row>
    <row r="28" spans="3:12" ht="14.5">
      <c r="C28" s="366"/>
      <c r="D28" s="371" t="s">
        <v>20</v>
      </c>
      <c r="E28" s="372" t="str">
        <f>HYPERLINK("#'energy'!A1", "energy")</f>
        <v>energy</v>
      </c>
      <c r="F28" s="373" t="s">
        <v>21</v>
      </c>
      <c r="G28" s="94"/>
      <c r="H28" s="95"/>
    </row>
    <row r="29" spans="3:12" ht="14.5">
      <c r="C29" s="366"/>
      <c r="D29" s="371" t="s">
        <v>20</v>
      </c>
      <c r="E29" s="372" t="str">
        <f>HYPERLINK("#'electricity'!A1", "electricity")</f>
        <v>electricity</v>
      </c>
      <c r="F29" s="373" t="s">
        <v>22</v>
      </c>
      <c r="G29" s="94"/>
      <c r="H29" s="95"/>
    </row>
    <row r="30" spans="3:12" ht="14.5">
      <c r="C30" s="366"/>
      <c r="D30" s="371" t="s">
        <v>20</v>
      </c>
      <c r="E30" s="372" t="str">
        <f>HYPERLINK("#'emissions'!A1", "emissions")</f>
        <v>emissions</v>
      </c>
      <c r="F30" s="373" t="s">
        <v>23</v>
      </c>
      <c r="G30" s="94"/>
      <c r="H30" s="95"/>
    </row>
    <row r="31" spans="3:12" ht="14.5">
      <c r="C31" s="366"/>
      <c r="D31" s="371" t="s">
        <v>20</v>
      </c>
      <c r="E31" s="372" t="str">
        <f>HYPERLINK("#'emissionstrading'!A1", "emissionstrading")</f>
        <v>emissionstrading</v>
      </c>
      <c r="F31" s="373" t="s">
        <v>24</v>
      </c>
      <c r="G31" s="94"/>
      <c r="H31" s="95"/>
    </row>
    <row r="32" spans="3:12" ht="13.5" customHeight="1">
      <c r="C32" s="366"/>
      <c r="D32" s="371" t="s">
        <v>20</v>
      </c>
      <c r="E32" s="372" t="str">
        <f>HYPERLINK("#'temperature'!A1", "temperature")</f>
        <v>temperature</v>
      </c>
      <c r="F32" s="373" t="s">
        <v>25</v>
      </c>
      <c r="G32" s="94"/>
      <c r="H32" s="95"/>
    </row>
    <row r="33" spans="2:10" ht="13.5" customHeight="1">
      <c r="C33" s="366"/>
      <c r="D33" s="371" t="s">
        <v>20</v>
      </c>
      <c r="E33" s="372" t="str">
        <f>HYPERLINK("#'speciesrichness'!A1", "speciesrichness")</f>
        <v>speciesrichness</v>
      </c>
      <c r="F33" s="373" t="s">
        <v>26</v>
      </c>
      <c r="G33" s="94"/>
      <c r="H33" s="95"/>
    </row>
    <row r="34" spans="2:10" ht="13.5" customHeight="1">
      <c r="C34" s="366"/>
      <c r="D34" s="371" t="s">
        <v>20</v>
      </c>
      <c r="E34" s="372" t="str">
        <f>HYPERLINK("#'ecosystemservices'!A1", "ecosystemservices")</f>
        <v>ecosystemservices</v>
      </c>
      <c r="F34" s="373" t="s">
        <v>27</v>
      </c>
      <c r="G34" s="94"/>
      <c r="H34" s="95"/>
    </row>
    <row r="35" spans="2:10" ht="13.5" customHeight="1">
      <c r="C35" s="366"/>
      <c r="D35" s="371" t="s">
        <v>20</v>
      </c>
      <c r="E35" s="372" t="str">
        <f>HYPERLINK("#'ecostressors'!A1", "ecostressors")</f>
        <v>ecostressors</v>
      </c>
      <c r="F35" s="373" t="s">
        <v>28</v>
      </c>
      <c r="G35" s="94"/>
      <c r="H35" s="95"/>
    </row>
    <row r="36" spans="2:10" ht="13.5" customHeight="1">
      <c r="C36" s="366"/>
      <c r="D36" s="371"/>
      <c r="E36" s="375"/>
      <c r="F36" s="376"/>
      <c r="G36" s="94"/>
      <c r="H36" s="95"/>
    </row>
    <row r="37" spans="2:10" ht="13.5" customHeight="1" thickBot="1">
      <c r="C37" s="96"/>
      <c r="D37" s="97"/>
      <c r="E37" s="97"/>
      <c r="F37" s="97"/>
      <c r="G37" s="98"/>
      <c r="H37" s="95"/>
    </row>
    <row r="38" spans="2:10" ht="13.5" customHeight="1">
      <c r="G38" s="95"/>
      <c r="H38" s="95"/>
    </row>
    <row r="39" spans="2:10" ht="13.5" customHeight="1">
      <c r="G39" s="95"/>
      <c r="H39" s="95"/>
    </row>
    <row r="40" spans="2:10" ht="13.5" customHeight="1">
      <c r="J40" s="99" t="s">
        <v>29</v>
      </c>
    </row>
    <row r="41" spans="2:10" ht="27" customHeight="1">
      <c r="B41" s="90"/>
      <c r="J41" s="99"/>
    </row>
    <row r="42" spans="2:10" ht="27" customHeight="1">
      <c r="B42" s="109"/>
      <c r="J42" s="99"/>
    </row>
    <row r="43" spans="2:10" ht="9" customHeight="1">
      <c r="J43" s="99"/>
    </row>
    <row r="44" spans="2:10" ht="27" customHeight="1">
      <c r="B44" s="90"/>
      <c r="J44" s="99"/>
    </row>
    <row r="45" spans="2:10" ht="9" customHeight="1">
      <c r="J45" s="99"/>
    </row>
    <row r="46" spans="2:10" ht="13.5" customHeight="1">
      <c r="B46" s="104"/>
      <c r="C46" s="93"/>
      <c r="D46" s="93"/>
      <c r="F46" s="93"/>
      <c r="G46" s="99"/>
      <c r="H46" s="93"/>
      <c r="J46" s="99"/>
    </row>
    <row r="47" spans="2:10" ht="13.5" customHeight="1">
      <c r="B47" s="105"/>
      <c r="G47" s="99"/>
      <c r="J47" s="99"/>
    </row>
    <row r="48" spans="2:10" ht="13.5" customHeight="1">
      <c r="B48" s="105"/>
      <c r="G48" s="99"/>
      <c r="J48" s="99"/>
    </row>
    <row r="49" spans="2:10" ht="13.5" customHeight="1">
      <c r="B49" s="105"/>
      <c r="G49" s="99"/>
      <c r="J49" s="99"/>
    </row>
    <row r="50" spans="2:10" ht="13.5" customHeight="1">
      <c r="B50" s="105"/>
      <c r="G50" s="99"/>
      <c r="J50" s="99"/>
    </row>
    <row r="51" spans="2:10" ht="13.5" customHeight="1">
      <c r="B51" s="105"/>
      <c r="G51" s="99"/>
      <c r="J51" s="99"/>
    </row>
    <row r="52" spans="2:10" ht="13.5" customHeight="1">
      <c r="B52" s="105"/>
      <c r="G52" s="99"/>
      <c r="J52" s="99"/>
    </row>
    <row r="53" spans="2:10" ht="13.5" customHeight="1">
      <c r="B53" s="105"/>
      <c r="G53" s="99"/>
      <c r="J53" s="99"/>
    </row>
    <row r="54" spans="2:10" ht="13.5" customHeight="1">
      <c r="B54" s="105"/>
      <c r="G54" s="99"/>
      <c r="J54" s="99"/>
    </row>
    <row r="55" spans="2:10" ht="13.5" customHeight="1">
      <c r="B55" s="105"/>
      <c r="G55" s="99"/>
      <c r="J55" s="99"/>
    </row>
    <row r="56" spans="2:10" ht="13.5" customHeight="1">
      <c r="B56" s="105"/>
      <c r="G56" s="99"/>
      <c r="J56" s="99"/>
    </row>
    <row r="57" spans="2:10" ht="13.5" customHeight="1">
      <c r="B57" s="105"/>
      <c r="G57" s="99"/>
      <c r="J57" s="99"/>
    </row>
    <row r="58" spans="2:10" ht="13.5" customHeight="1">
      <c r="B58" s="105"/>
      <c r="G58" s="99"/>
      <c r="J58" s="99"/>
    </row>
    <row r="59" spans="2:10" ht="13.5" customHeight="1">
      <c r="B59" s="105"/>
      <c r="G59" s="99"/>
      <c r="J59" s="99"/>
    </row>
    <row r="60" spans="2:10" ht="13.5" customHeight="1">
      <c r="B60" s="105"/>
      <c r="G60" s="99"/>
      <c r="J60" s="99"/>
    </row>
    <row r="61" spans="2:10" ht="13.5" customHeight="1">
      <c r="B61" s="105"/>
      <c r="G61" s="99"/>
      <c r="J61" s="99"/>
    </row>
    <row r="62" spans="2:10" ht="13.5" customHeight="1">
      <c r="B62" s="105"/>
      <c r="G62" s="99"/>
      <c r="J62" s="99"/>
    </row>
    <row r="63" spans="2:10" ht="13.5" customHeight="1">
      <c r="B63" s="105"/>
      <c r="G63" s="99"/>
      <c r="J63" s="99"/>
    </row>
    <row r="64" spans="2:10" ht="13.5" customHeight="1">
      <c r="B64" s="105"/>
      <c r="G64" s="99"/>
      <c r="J64" s="99"/>
    </row>
    <row r="65" spans="2:10" ht="13.5" customHeight="1">
      <c r="B65" s="105"/>
      <c r="G65" s="99"/>
      <c r="J65" s="99"/>
    </row>
    <row r="66" spans="2:10" ht="13.5" customHeight="1">
      <c r="B66" s="105"/>
      <c r="G66" s="99"/>
      <c r="J66" s="99"/>
    </row>
    <row r="67" spans="2:10" ht="13.5" customHeight="1">
      <c r="B67" s="105"/>
      <c r="G67" s="99"/>
      <c r="J67" s="99"/>
    </row>
    <row r="68" spans="2:10" ht="13.5" customHeight="1">
      <c r="B68" s="105"/>
      <c r="G68" s="99"/>
      <c r="J68" s="99"/>
    </row>
    <row r="69" spans="2:10" ht="13.5" customHeight="1">
      <c r="B69" s="105"/>
      <c r="G69" s="99"/>
      <c r="J69" s="99"/>
    </row>
    <row r="70" spans="2:10" ht="13.5" customHeight="1">
      <c r="B70" s="105"/>
      <c r="G70" s="99"/>
      <c r="J70" s="99"/>
    </row>
    <row r="71" spans="2:10" ht="13.5" customHeight="1">
      <c r="B71" s="105"/>
      <c r="G71" s="99"/>
    </row>
    <row r="72" spans="2:10" ht="13.5" customHeight="1">
      <c r="B72" s="105"/>
      <c r="G72" s="99"/>
    </row>
    <row r="73" spans="2:10" ht="13.5" customHeight="1">
      <c r="B73" s="105"/>
      <c r="G73" s="99"/>
    </row>
    <row r="74" spans="2:10" ht="13.5" customHeight="1">
      <c r="B74" s="105"/>
      <c r="G74" s="99"/>
    </row>
    <row r="75" spans="2:10" ht="13.5" customHeight="1">
      <c r="B75" s="105"/>
      <c r="G75" s="99"/>
    </row>
    <row r="76" spans="2:10" ht="13.5" customHeight="1">
      <c r="B76" s="105"/>
      <c r="G76" s="99"/>
    </row>
    <row r="77" spans="2:10" ht="13.5" customHeight="1">
      <c r="B77" s="105"/>
      <c r="G77" s="99"/>
    </row>
    <row r="78" spans="2:10" ht="13.5" customHeight="1">
      <c r="B78" s="105"/>
      <c r="G78" s="99"/>
    </row>
    <row r="79" spans="2:10" ht="13.5" customHeight="1"/>
    <row r="80" spans="2:10" ht="13.5" customHeight="1"/>
    <row r="81" spans="2:10" ht="13.5" customHeight="1"/>
    <row r="82" spans="2:10" ht="27" customHeight="1">
      <c r="B82" s="90" t="s">
        <v>96</v>
      </c>
      <c r="J82" s="99" t="s">
        <v>29</v>
      </c>
    </row>
    <row r="83" spans="2:10" ht="9" customHeight="1">
      <c r="J83" s="99" t="s">
        <v>29</v>
      </c>
    </row>
    <row r="84" spans="2:10" ht="13.5" customHeight="1">
      <c r="C84" s="93" t="s">
        <v>97</v>
      </c>
      <c r="D84" s="93" t="s">
        <v>2</v>
      </c>
      <c r="F84" s="93" t="s">
        <v>98</v>
      </c>
      <c r="H84" s="93" t="s">
        <v>30</v>
      </c>
    </row>
    <row r="85" spans="2:10" ht="13.5" customHeight="1">
      <c r="B85" s="81">
        <v>1</v>
      </c>
      <c r="C85" s="81" t="s">
        <v>99</v>
      </c>
      <c r="D85" s="81" t="s">
        <v>100</v>
      </c>
      <c r="F85" s="81" t="s">
        <v>101</v>
      </c>
    </row>
    <row r="86" spans="2:10" ht="13.5" customHeight="1">
      <c r="B86" s="81">
        <v>2</v>
      </c>
      <c r="C86" s="81" t="s">
        <v>102</v>
      </c>
      <c r="D86" s="81" t="s">
        <v>103</v>
      </c>
      <c r="F86" s="81" t="s">
        <v>104</v>
      </c>
    </row>
    <row r="87" spans="2:10" ht="13.5" customHeight="1">
      <c r="B87" s="81">
        <v>3</v>
      </c>
      <c r="C87" s="81" t="s">
        <v>105</v>
      </c>
      <c r="D87" s="81" t="s">
        <v>106</v>
      </c>
      <c r="F87" s="81" t="s">
        <v>107</v>
      </c>
    </row>
    <row r="88" spans="2:10" ht="13.5" customHeight="1">
      <c r="B88" s="81">
        <v>4</v>
      </c>
      <c r="C88" s="81" t="s">
        <v>108</v>
      </c>
      <c r="D88" s="81" t="s">
        <v>1526</v>
      </c>
      <c r="F88" s="81" t="s">
        <v>109</v>
      </c>
    </row>
    <row r="89" spans="2:10" ht="13.5" customHeight="1">
      <c r="B89" s="81">
        <v>5</v>
      </c>
      <c r="C89" s="81" t="s">
        <v>110</v>
      </c>
      <c r="D89" s="81" t="s">
        <v>111</v>
      </c>
      <c r="F89" s="81" t="s">
        <v>110</v>
      </c>
    </row>
    <row r="90" spans="2:10" ht="13.5" customHeight="1">
      <c r="B90" s="81">
        <v>6</v>
      </c>
      <c r="C90" s="81" t="s">
        <v>112</v>
      </c>
      <c r="D90" s="81" t="s">
        <v>113</v>
      </c>
      <c r="F90" s="81" t="s">
        <v>112</v>
      </c>
    </row>
    <row r="91" spans="2:10" ht="13.5" customHeight="1">
      <c r="B91" s="81">
        <v>7</v>
      </c>
      <c r="C91" s="81" t="s">
        <v>114</v>
      </c>
      <c r="D91" s="81" t="s">
        <v>115</v>
      </c>
      <c r="F91" s="81" t="s">
        <v>1524</v>
      </c>
    </row>
    <row r="92" spans="2:10" ht="13.5" customHeight="1">
      <c r="B92" s="81">
        <v>8</v>
      </c>
      <c r="C92" s="81" t="s">
        <v>116</v>
      </c>
      <c r="D92" s="81" t="s">
        <v>89</v>
      </c>
      <c r="F92" s="81" t="s">
        <v>117</v>
      </c>
    </row>
    <row r="93" spans="2:10" ht="13.5" customHeight="1">
      <c r="B93" s="81">
        <v>9</v>
      </c>
      <c r="C93" s="81" t="s">
        <v>118</v>
      </c>
      <c r="D93" s="81" t="s">
        <v>119</v>
      </c>
      <c r="F93" s="81" t="s">
        <v>120</v>
      </c>
    </row>
    <row r="94" spans="2:10" ht="13.5" customHeight="1">
      <c r="B94" s="81">
        <v>10</v>
      </c>
      <c r="C94" s="81" t="s">
        <v>121</v>
      </c>
      <c r="D94" s="81" t="s">
        <v>122</v>
      </c>
      <c r="F94" s="81" t="s">
        <v>121</v>
      </c>
    </row>
    <row r="95" spans="2:10" ht="13.5" customHeight="1">
      <c r="B95" s="81">
        <v>11</v>
      </c>
      <c r="C95" s="81" t="s">
        <v>123</v>
      </c>
      <c r="D95" s="81" t="s">
        <v>124</v>
      </c>
      <c r="F95" s="81" t="s">
        <v>125</v>
      </c>
    </row>
    <row r="96" spans="2:10" ht="13.5" customHeight="1">
      <c r="B96" s="81">
        <v>12</v>
      </c>
      <c r="C96" s="81" t="s">
        <v>126</v>
      </c>
      <c r="D96" s="81" t="s">
        <v>127</v>
      </c>
      <c r="F96" s="81" t="s">
        <v>128</v>
      </c>
    </row>
    <row r="97" spans="2:6" ht="13.5" customHeight="1">
      <c r="B97" s="81">
        <v>13</v>
      </c>
      <c r="C97" s="81" t="s">
        <v>129</v>
      </c>
      <c r="D97" s="81" t="s">
        <v>86</v>
      </c>
      <c r="F97" s="81" t="s">
        <v>130</v>
      </c>
    </row>
    <row r="98" spans="2:6" ht="13.5" customHeight="1">
      <c r="B98" s="81">
        <v>14</v>
      </c>
      <c r="C98" s="81" t="s">
        <v>131</v>
      </c>
      <c r="D98" s="81" t="s">
        <v>132</v>
      </c>
      <c r="F98" s="81" t="s">
        <v>133</v>
      </c>
    </row>
    <row r="99" spans="2:6" ht="13.5" customHeight="1">
      <c r="B99" s="81">
        <v>15</v>
      </c>
      <c r="C99" s="81" t="s">
        <v>1522</v>
      </c>
      <c r="D99" s="81" t="s">
        <v>1525</v>
      </c>
      <c r="F99" s="81" t="s">
        <v>1523</v>
      </c>
    </row>
    <row r="100" spans="2:6" ht="13.5" customHeight="1">
      <c r="B100" s="81">
        <v>16</v>
      </c>
      <c r="C100" s="81" t="s">
        <v>135</v>
      </c>
      <c r="D100" s="81" t="s">
        <v>136</v>
      </c>
      <c r="F100" s="81" t="s">
        <v>137</v>
      </c>
    </row>
    <row r="101" spans="2:6" ht="13.5" customHeight="1"/>
    <row r="102" spans="2:6" ht="13.5" customHeight="1"/>
    <row r="103" spans="2:6" ht="13.5" customHeight="1"/>
    <row r="104" spans="2:6" ht="13.5" customHeight="1"/>
    <row r="105" spans="2:6" ht="13.5" customHeight="1"/>
    <row r="106" spans="2:6" ht="13.5" customHeight="1"/>
    <row r="107" spans="2:6" ht="13.5" customHeight="1"/>
    <row r="108" spans="2:6" ht="13.5" customHeight="1"/>
    <row r="109" spans="2:6" ht="13.5" customHeight="1"/>
    <row r="110" spans="2:6" ht="13.5" customHeight="1"/>
    <row r="111" spans="2:6" ht="13.5" customHeight="1"/>
    <row r="112" spans="2:6"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row r="1009" ht="13.5" customHeight="1"/>
    <row r="1010" ht="13.5" customHeight="1"/>
    <row r="1011" ht="13.5" customHeight="1"/>
    <row r="1012" ht="13.5" customHeight="1"/>
    <row r="1013" ht="13.5" customHeight="1"/>
  </sheetData>
  <mergeCells count="1">
    <mergeCell ref="F4:F6"/>
  </mergeCells>
  <hyperlinks>
    <hyperlink ref="E20" location="regions!A1" display="regions" xr:uid="{54EB75D5-3CC9-4AB2-BA81-99C85C21A24C}"/>
    <hyperlink ref="F4:F6" location="Indexes!A1" display="INDEX OF DATA HERE" xr:uid="{F13D55B0-CB42-4FCE-810A-2A7D4A3D85C6}"/>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11E02-9A2B-4308-A21B-08AFA5864DAF}">
  <sheetPr codeName="Sheet2"/>
  <dimension ref="A1:I258"/>
  <sheetViews>
    <sheetView zoomScaleNormal="100" workbookViewId="0">
      <pane ySplit="1" topLeftCell="A234" activePane="bottomLeft" state="frozen"/>
      <selection pane="bottomLeft" activeCell="D248" sqref="D248"/>
    </sheetView>
  </sheetViews>
  <sheetFormatPr defaultColWidth="11" defaultRowHeight="14"/>
  <cols>
    <col min="1" max="1" width="34.33203125" customWidth="1"/>
    <col min="2" max="2" width="82.33203125" bestFit="1" customWidth="1"/>
    <col min="3" max="3" width="14.33203125" bestFit="1" customWidth="1"/>
    <col min="4" max="4" width="20.58203125" bestFit="1" customWidth="1"/>
    <col min="6" max="6" width="23.08203125" customWidth="1"/>
    <col min="7" max="7" width="18.58203125" customWidth="1"/>
    <col min="8" max="8" width="16.5" customWidth="1"/>
    <col min="9" max="9" width="19.08203125" customWidth="1"/>
  </cols>
  <sheetData>
    <row r="1" spans="1:9">
      <c r="A1" s="350" t="s">
        <v>600</v>
      </c>
      <c r="B1" s="350" t="s">
        <v>4</v>
      </c>
      <c r="C1" s="350" t="s">
        <v>614</v>
      </c>
      <c r="D1" s="351" t="s">
        <v>708</v>
      </c>
      <c r="F1" s="204"/>
      <c r="G1" s="204"/>
      <c r="H1" s="205"/>
      <c r="I1" s="215"/>
    </row>
    <row r="2" spans="1:9">
      <c r="A2" s="226" t="s">
        <v>770</v>
      </c>
      <c r="B2" t="s">
        <v>1242</v>
      </c>
      <c r="C2" s="353" t="s">
        <v>851</v>
      </c>
      <c r="D2" t="s">
        <v>851</v>
      </c>
    </row>
    <row r="3" spans="1:9">
      <c r="A3" s="226" t="s">
        <v>1179</v>
      </c>
      <c r="B3" s="315" t="s">
        <v>564</v>
      </c>
      <c r="C3" s="352" t="s">
        <v>59</v>
      </c>
      <c r="D3" t="s">
        <v>741</v>
      </c>
    </row>
    <row r="4" spans="1:9">
      <c r="A4" s="352" t="s">
        <v>772</v>
      </c>
      <c r="B4" t="s">
        <v>1243</v>
      </c>
      <c r="C4" s="353" t="s">
        <v>851</v>
      </c>
      <c r="D4" t="s">
        <v>851</v>
      </c>
    </row>
    <row r="5" spans="1:9">
      <c r="A5" s="226" t="s">
        <v>1180</v>
      </c>
      <c r="B5" t="s">
        <v>707</v>
      </c>
      <c r="C5" s="352" t="s">
        <v>59</v>
      </c>
      <c r="D5" t="s">
        <v>741</v>
      </c>
    </row>
    <row r="6" spans="1:9">
      <c r="A6" s="226" t="s">
        <v>1317</v>
      </c>
      <c r="B6" t="s">
        <v>1357</v>
      </c>
      <c r="C6" s="226" t="s">
        <v>1196</v>
      </c>
      <c r="D6" s="15" t="s">
        <v>1063</v>
      </c>
    </row>
    <row r="7" spans="1:9">
      <c r="A7" s="226" t="s">
        <v>1297</v>
      </c>
      <c r="B7" s="15" t="s">
        <v>1337</v>
      </c>
      <c r="C7" s="226" t="s">
        <v>1196</v>
      </c>
      <c r="D7" s="15" t="s">
        <v>1063</v>
      </c>
    </row>
    <row r="8" spans="1:9">
      <c r="A8" s="226" t="s">
        <v>1366</v>
      </c>
      <c r="B8" t="s">
        <v>1365</v>
      </c>
      <c r="C8" s="226" t="s">
        <v>1196</v>
      </c>
      <c r="D8" s="15" t="s">
        <v>1063</v>
      </c>
    </row>
    <row r="9" spans="1:9">
      <c r="A9" s="226" t="s">
        <v>1321</v>
      </c>
      <c r="B9" t="s">
        <v>1361</v>
      </c>
      <c r="C9" s="226" t="s">
        <v>1196</v>
      </c>
      <c r="D9" s="15" t="s">
        <v>1063</v>
      </c>
    </row>
    <row r="10" spans="1:9">
      <c r="A10" s="226" t="s">
        <v>1301</v>
      </c>
      <c r="B10" s="15" t="s">
        <v>1341</v>
      </c>
      <c r="C10" s="226" t="s">
        <v>1196</v>
      </c>
      <c r="D10" s="15" t="s">
        <v>1063</v>
      </c>
    </row>
    <row r="11" spans="1:9">
      <c r="A11" s="226" t="s">
        <v>1322</v>
      </c>
      <c r="B11" t="s">
        <v>1362</v>
      </c>
      <c r="C11" s="226" t="s">
        <v>1196</v>
      </c>
      <c r="D11" s="15" t="s">
        <v>1063</v>
      </c>
    </row>
    <row r="12" spans="1:9">
      <c r="A12" s="226" t="s">
        <v>1302</v>
      </c>
      <c r="B12" s="15" t="s">
        <v>1342</v>
      </c>
      <c r="C12" s="226" t="s">
        <v>1196</v>
      </c>
      <c r="D12" s="15" t="s">
        <v>1063</v>
      </c>
    </row>
    <row r="13" spans="1:9">
      <c r="A13" s="226" t="s">
        <v>1319</v>
      </c>
      <c r="B13" t="s">
        <v>1359</v>
      </c>
      <c r="C13" s="226" t="s">
        <v>1196</v>
      </c>
      <c r="D13" s="15" t="s">
        <v>1063</v>
      </c>
    </row>
    <row r="14" spans="1:9">
      <c r="A14" s="226" t="s">
        <v>1299</v>
      </c>
      <c r="B14" s="15" t="s">
        <v>1339</v>
      </c>
      <c r="C14" s="226" t="s">
        <v>1196</v>
      </c>
      <c r="D14" s="15" t="s">
        <v>1063</v>
      </c>
    </row>
    <row r="15" spans="1:9">
      <c r="A15" s="226" t="s">
        <v>683</v>
      </c>
      <c r="B15" t="s">
        <v>514</v>
      </c>
      <c r="C15" s="226" t="s">
        <v>59</v>
      </c>
      <c r="D15" t="s">
        <v>741</v>
      </c>
    </row>
    <row r="16" spans="1:9">
      <c r="A16" s="226" t="s">
        <v>684</v>
      </c>
      <c r="B16" t="s">
        <v>514</v>
      </c>
      <c r="C16" s="226" t="s">
        <v>59</v>
      </c>
      <c r="D16" t="s">
        <v>741</v>
      </c>
    </row>
    <row r="17" spans="1:4">
      <c r="A17" s="226" t="s">
        <v>685</v>
      </c>
      <c r="B17" t="s">
        <v>512</v>
      </c>
      <c r="C17" s="226" t="s">
        <v>59</v>
      </c>
      <c r="D17" t="s">
        <v>741</v>
      </c>
    </row>
    <row r="18" spans="1:4">
      <c r="A18" s="226" t="s">
        <v>1263</v>
      </c>
      <c r="B18" s="15" t="s">
        <v>1273</v>
      </c>
      <c r="C18" s="226" t="s">
        <v>1196</v>
      </c>
    </row>
    <row r="19" spans="1:4">
      <c r="A19" s="226" t="s">
        <v>1264</v>
      </c>
      <c r="B19" s="15" t="s">
        <v>1274</v>
      </c>
      <c r="C19" s="226" t="s">
        <v>1196</v>
      </c>
    </row>
    <row r="20" spans="1:4">
      <c r="A20" s="226" t="s">
        <v>1265</v>
      </c>
      <c r="B20" s="15" t="s">
        <v>1275</v>
      </c>
      <c r="C20" s="226" t="s">
        <v>1196</v>
      </c>
    </row>
    <row r="21" spans="1:4">
      <c r="A21" s="226" t="s">
        <v>1266</v>
      </c>
      <c r="B21" s="15" t="s">
        <v>1276</v>
      </c>
      <c r="C21" s="226" t="s">
        <v>1196</v>
      </c>
    </row>
    <row r="22" spans="1:4">
      <c r="A22" s="226" t="s">
        <v>1267</v>
      </c>
      <c r="B22" s="15" t="s">
        <v>1277</v>
      </c>
      <c r="C22" s="226" t="s">
        <v>1196</v>
      </c>
    </row>
    <row r="23" spans="1:4">
      <c r="A23" s="226" t="s">
        <v>686</v>
      </c>
      <c r="B23" t="s">
        <v>502</v>
      </c>
      <c r="C23" s="226" t="s">
        <v>59</v>
      </c>
      <c r="D23" t="s">
        <v>741</v>
      </c>
    </row>
    <row r="24" spans="1:4">
      <c r="A24" s="226" t="s">
        <v>1268</v>
      </c>
      <c r="B24" s="15" t="s">
        <v>1278</v>
      </c>
      <c r="C24" s="226" t="s">
        <v>1196</v>
      </c>
    </row>
    <row r="25" spans="1:4">
      <c r="A25" s="226" t="s">
        <v>1269</v>
      </c>
      <c r="B25" s="15" t="s">
        <v>1279</v>
      </c>
      <c r="C25" s="226" t="s">
        <v>1196</v>
      </c>
    </row>
    <row r="26" spans="1:4">
      <c r="A26" s="226" t="s">
        <v>1270</v>
      </c>
      <c r="B26" s="15" t="s">
        <v>1280</v>
      </c>
      <c r="C26" s="226" t="s">
        <v>1196</v>
      </c>
    </row>
    <row r="27" spans="1:4">
      <c r="A27" s="226" t="s">
        <v>1271</v>
      </c>
      <c r="B27" s="15" t="s">
        <v>1281</v>
      </c>
      <c r="C27" s="226" t="s">
        <v>1196</v>
      </c>
    </row>
    <row r="28" spans="1:4">
      <c r="A28" s="226" t="s">
        <v>1272</v>
      </c>
      <c r="B28" s="15" t="s">
        <v>1282</v>
      </c>
      <c r="C28" s="226" t="s">
        <v>1196</v>
      </c>
    </row>
    <row r="29" spans="1:4">
      <c r="A29" s="226" t="s">
        <v>1413</v>
      </c>
      <c r="B29" t="s">
        <v>1414</v>
      </c>
      <c r="C29" s="226" t="s">
        <v>846</v>
      </c>
      <c r="D29" s="15" t="s">
        <v>1411</v>
      </c>
    </row>
    <row r="30" spans="1:4">
      <c r="A30" s="226" t="s">
        <v>1412</v>
      </c>
      <c r="B30" s="15" t="s">
        <v>1489</v>
      </c>
      <c r="C30" s="226" t="s">
        <v>846</v>
      </c>
      <c r="D30" s="15" t="s">
        <v>1411</v>
      </c>
    </row>
    <row r="31" spans="1:4">
      <c r="A31" s="226" t="s">
        <v>1237</v>
      </c>
      <c r="B31" t="s">
        <v>199</v>
      </c>
      <c r="C31" s="226" t="s">
        <v>1235</v>
      </c>
      <c r="D31" s="15" t="s">
        <v>1236</v>
      </c>
    </row>
    <row r="32" spans="1:4">
      <c r="A32" s="226" t="s">
        <v>1238</v>
      </c>
      <c r="B32" t="s">
        <v>200</v>
      </c>
      <c r="C32" s="226" t="s">
        <v>1235</v>
      </c>
      <c r="D32" s="15" t="s">
        <v>1236</v>
      </c>
    </row>
    <row r="33" spans="1:4">
      <c r="A33" s="226" t="s">
        <v>1372</v>
      </c>
      <c r="B33" t="s">
        <v>1376</v>
      </c>
      <c r="C33" s="226" t="s">
        <v>1062</v>
      </c>
      <c r="D33" s="15" t="s">
        <v>1063</v>
      </c>
    </row>
    <row r="34" spans="1:4">
      <c r="A34" s="226" t="s">
        <v>1409</v>
      </c>
      <c r="B34" t="s">
        <v>1415</v>
      </c>
      <c r="C34" s="226" t="s">
        <v>846</v>
      </c>
      <c r="D34" s="15" t="s">
        <v>1411</v>
      </c>
    </row>
    <row r="35" spans="1:4">
      <c r="A35" s="226" t="s">
        <v>1480</v>
      </c>
      <c r="B35" s="15" t="s">
        <v>1481</v>
      </c>
      <c r="C35" s="226" t="s">
        <v>59</v>
      </c>
      <c r="D35" t="s">
        <v>741</v>
      </c>
    </row>
    <row r="36" spans="1:4">
      <c r="A36" s="226" t="s">
        <v>1064</v>
      </c>
      <c r="B36" s="15" t="s">
        <v>1067</v>
      </c>
      <c r="C36" s="226" t="s">
        <v>1062</v>
      </c>
      <c r="D36" s="15" t="s">
        <v>1063</v>
      </c>
    </row>
    <row r="37" spans="1:4">
      <c r="A37" s="226" t="s">
        <v>1065</v>
      </c>
      <c r="B37" s="15" t="s">
        <v>1068</v>
      </c>
      <c r="C37" s="226" t="s">
        <v>1062</v>
      </c>
      <c r="D37" s="15" t="s">
        <v>1063</v>
      </c>
    </row>
    <row r="38" spans="1:4">
      <c r="A38" s="226" t="s">
        <v>1066</v>
      </c>
      <c r="B38" s="15" t="s">
        <v>1069</v>
      </c>
      <c r="C38" s="226" t="s">
        <v>1062</v>
      </c>
      <c r="D38" s="15" t="s">
        <v>1063</v>
      </c>
    </row>
    <row r="39" spans="1:4">
      <c r="A39" s="226" t="s">
        <v>1076</v>
      </c>
      <c r="B39" s="15" t="s">
        <v>1079</v>
      </c>
      <c r="C39" s="226" t="s">
        <v>1062</v>
      </c>
      <c r="D39" s="15" t="s">
        <v>1063</v>
      </c>
    </row>
    <row r="40" spans="1:4">
      <c r="A40" s="226" t="s">
        <v>1077</v>
      </c>
      <c r="B40" s="15" t="s">
        <v>1080</v>
      </c>
      <c r="C40" s="226" t="s">
        <v>1062</v>
      </c>
      <c r="D40" s="15" t="s">
        <v>1063</v>
      </c>
    </row>
    <row r="41" spans="1:4">
      <c r="A41" s="226" t="s">
        <v>1078</v>
      </c>
      <c r="B41" s="15" t="s">
        <v>1081</v>
      </c>
      <c r="C41" s="226" t="s">
        <v>1062</v>
      </c>
      <c r="D41" s="15" t="s">
        <v>1063</v>
      </c>
    </row>
    <row r="42" spans="1:4">
      <c r="A42" s="226" t="s">
        <v>1070</v>
      </c>
      <c r="B42" s="15" t="s">
        <v>1073</v>
      </c>
      <c r="C42" s="226" t="s">
        <v>1062</v>
      </c>
      <c r="D42" s="15" t="s">
        <v>1063</v>
      </c>
    </row>
    <row r="43" spans="1:4">
      <c r="A43" s="226" t="s">
        <v>1071</v>
      </c>
      <c r="B43" s="15" t="s">
        <v>1074</v>
      </c>
      <c r="C43" s="226" t="s">
        <v>1062</v>
      </c>
      <c r="D43" s="15" t="s">
        <v>1063</v>
      </c>
    </row>
    <row r="44" spans="1:4">
      <c r="A44" s="226" t="s">
        <v>1072</v>
      </c>
      <c r="B44" s="15" t="s">
        <v>1075</v>
      </c>
      <c r="C44" s="226" t="s">
        <v>1062</v>
      </c>
      <c r="D44" s="15" t="s">
        <v>1063</v>
      </c>
    </row>
    <row r="45" spans="1:4">
      <c r="A45" s="226" t="s">
        <v>1082</v>
      </c>
      <c r="B45" s="15" t="s">
        <v>1085</v>
      </c>
      <c r="C45" s="226" t="s">
        <v>1062</v>
      </c>
      <c r="D45" s="15" t="s">
        <v>1063</v>
      </c>
    </row>
    <row r="46" spans="1:4">
      <c r="A46" s="226" t="s">
        <v>1083</v>
      </c>
      <c r="B46" s="15" t="s">
        <v>1086</v>
      </c>
      <c r="C46" s="226" t="s">
        <v>1062</v>
      </c>
      <c r="D46" s="15" t="s">
        <v>1063</v>
      </c>
    </row>
    <row r="47" spans="1:4">
      <c r="A47" s="226" t="s">
        <v>1084</v>
      </c>
      <c r="B47" s="15" t="s">
        <v>1087</v>
      </c>
      <c r="C47" s="226" t="s">
        <v>1062</v>
      </c>
      <c r="D47" s="15" t="s">
        <v>1063</v>
      </c>
    </row>
    <row r="48" spans="1:4">
      <c r="A48" s="226" t="s">
        <v>1056</v>
      </c>
      <c r="B48" s="15" t="s">
        <v>1057</v>
      </c>
      <c r="C48" s="226" t="s">
        <v>1062</v>
      </c>
      <c r="D48" s="15" t="s">
        <v>1063</v>
      </c>
    </row>
    <row r="49" spans="1:4">
      <c r="A49" s="226" t="s">
        <v>1060</v>
      </c>
      <c r="B49" s="15" t="s">
        <v>1058</v>
      </c>
      <c r="C49" s="226" t="s">
        <v>1062</v>
      </c>
      <c r="D49" s="15" t="s">
        <v>1063</v>
      </c>
    </row>
    <row r="50" spans="1:4">
      <c r="A50" s="226" t="s">
        <v>1061</v>
      </c>
      <c r="B50" s="15" t="s">
        <v>1059</v>
      </c>
      <c r="C50" s="226" t="s">
        <v>1062</v>
      </c>
      <c r="D50" s="15" t="s">
        <v>1063</v>
      </c>
    </row>
    <row r="51" spans="1:4">
      <c r="A51" s="226" t="s">
        <v>1416</v>
      </c>
      <c r="B51" s="15" t="s">
        <v>1417</v>
      </c>
      <c r="C51" s="226" t="s">
        <v>1196</v>
      </c>
      <c r="D51" s="15" t="s">
        <v>1063</v>
      </c>
    </row>
    <row r="52" spans="1:4">
      <c r="A52" s="226" t="s">
        <v>1189</v>
      </c>
      <c r="B52" s="15" t="s">
        <v>1225</v>
      </c>
      <c r="C52" s="226" t="s">
        <v>1196</v>
      </c>
      <c r="D52" s="15" t="s">
        <v>1063</v>
      </c>
    </row>
    <row r="53" spans="1:4">
      <c r="A53" s="226" t="s">
        <v>1190</v>
      </c>
      <c r="B53" s="15" t="s">
        <v>1226</v>
      </c>
      <c r="C53" s="226" t="s">
        <v>1196</v>
      </c>
      <c r="D53" s="15" t="s">
        <v>1063</v>
      </c>
    </row>
    <row r="54" spans="1:4">
      <c r="A54" s="226" t="s">
        <v>1191</v>
      </c>
      <c r="B54" s="15" t="s">
        <v>1227</v>
      </c>
      <c r="C54" s="226" t="s">
        <v>1196</v>
      </c>
      <c r="D54" s="15" t="s">
        <v>1063</v>
      </c>
    </row>
    <row r="55" spans="1:4">
      <c r="A55" s="226" t="s">
        <v>1192</v>
      </c>
      <c r="B55" s="15" t="s">
        <v>1228</v>
      </c>
      <c r="C55" s="226" t="s">
        <v>1196</v>
      </c>
      <c r="D55" s="15" t="s">
        <v>1063</v>
      </c>
    </row>
    <row r="56" spans="1:4">
      <c r="A56" s="226" t="s">
        <v>1193</v>
      </c>
      <c r="B56" s="15" t="s">
        <v>1229</v>
      </c>
      <c r="C56" s="226" t="s">
        <v>1196</v>
      </c>
      <c r="D56" s="15" t="s">
        <v>1063</v>
      </c>
    </row>
    <row r="57" spans="1:4">
      <c r="A57" s="226" t="s">
        <v>727</v>
      </c>
      <c r="B57" t="s">
        <v>827</v>
      </c>
      <c r="C57" s="226" t="s">
        <v>615</v>
      </c>
      <c r="D57" s="15" t="s">
        <v>717</v>
      </c>
    </row>
    <row r="58" spans="1:4">
      <c r="A58" s="226" t="s">
        <v>726</v>
      </c>
      <c r="B58" t="s">
        <v>826</v>
      </c>
      <c r="C58" s="226" t="s">
        <v>615</v>
      </c>
      <c r="D58" s="15" t="s">
        <v>717</v>
      </c>
    </row>
    <row r="59" spans="1:4">
      <c r="A59" s="226" t="s">
        <v>687</v>
      </c>
      <c r="B59" t="s">
        <v>667</v>
      </c>
      <c r="C59" s="226" t="s">
        <v>59</v>
      </c>
      <c r="D59" t="s">
        <v>741</v>
      </c>
    </row>
    <row r="60" spans="1:4">
      <c r="A60" s="226" t="s">
        <v>715</v>
      </c>
      <c r="B60" t="s">
        <v>819</v>
      </c>
      <c r="C60" s="226" t="s">
        <v>615</v>
      </c>
      <c r="D60" s="15" t="s">
        <v>717</v>
      </c>
    </row>
    <row r="61" spans="1:4">
      <c r="A61" s="226" t="s">
        <v>714</v>
      </c>
      <c r="B61" t="s">
        <v>818</v>
      </c>
      <c r="C61" s="226" t="s">
        <v>615</v>
      </c>
      <c r="D61" s="15" t="s">
        <v>717</v>
      </c>
    </row>
    <row r="62" spans="1:4">
      <c r="A62" s="226" t="s">
        <v>716</v>
      </c>
      <c r="B62" t="s">
        <v>820</v>
      </c>
      <c r="C62" s="226" t="s">
        <v>615</v>
      </c>
      <c r="D62" s="15" t="s">
        <v>717</v>
      </c>
    </row>
    <row r="63" spans="1:4">
      <c r="A63" s="226" t="s">
        <v>712</v>
      </c>
      <c r="B63" t="s">
        <v>816</v>
      </c>
      <c r="C63" s="226" t="s">
        <v>615</v>
      </c>
      <c r="D63" s="15" t="s">
        <v>717</v>
      </c>
    </row>
    <row r="64" spans="1:4">
      <c r="A64" s="226" t="s">
        <v>713</v>
      </c>
      <c r="B64" t="s">
        <v>817</v>
      </c>
      <c r="C64" s="226" t="s">
        <v>615</v>
      </c>
      <c r="D64" s="15" t="s">
        <v>717</v>
      </c>
    </row>
    <row r="65" spans="1:4">
      <c r="A65" s="226" t="s">
        <v>1312</v>
      </c>
      <c r="B65" t="s">
        <v>1352</v>
      </c>
      <c r="C65" s="226" t="s">
        <v>1196</v>
      </c>
      <c r="D65" s="15" t="s">
        <v>1063</v>
      </c>
    </row>
    <row r="66" spans="1:4">
      <c r="A66" s="226" t="s">
        <v>1292</v>
      </c>
      <c r="B66" s="15" t="s">
        <v>1332</v>
      </c>
      <c r="C66" s="226" t="s">
        <v>1196</v>
      </c>
      <c r="D66" s="15" t="s">
        <v>1063</v>
      </c>
    </row>
    <row r="67" spans="1:4">
      <c r="A67" s="226" t="s">
        <v>738</v>
      </c>
      <c r="B67" s="15" t="s">
        <v>739</v>
      </c>
      <c r="C67" s="226" t="s">
        <v>740</v>
      </c>
      <c r="D67" s="15" t="s">
        <v>717</v>
      </c>
    </row>
    <row r="68" spans="1:4">
      <c r="A68" s="226" t="s">
        <v>1405</v>
      </c>
      <c r="B68" s="15" t="s">
        <v>1406</v>
      </c>
      <c r="C68" s="226" t="s">
        <v>615</v>
      </c>
      <c r="D68" s="15" t="s">
        <v>1451</v>
      </c>
    </row>
    <row r="69" spans="1:4">
      <c r="A69" s="226" t="s">
        <v>1466</v>
      </c>
      <c r="B69" s="15" t="s">
        <v>604</v>
      </c>
      <c r="C69" s="354" t="s">
        <v>851</v>
      </c>
      <c r="D69" t="s">
        <v>771</v>
      </c>
    </row>
    <row r="70" spans="1:4">
      <c r="A70" s="226" t="s">
        <v>1371</v>
      </c>
      <c r="B70" t="s">
        <v>1375</v>
      </c>
      <c r="C70" s="226" t="s">
        <v>1062</v>
      </c>
      <c r="D70" s="15" t="s">
        <v>1063</v>
      </c>
    </row>
    <row r="71" spans="1:4">
      <c r="A71" s="226" t="s">
        <v>860</v>
      </c>
      <c r="B71" s="15" t="s">
        <v>861</v>
      </c>
      <c r="C71" s="226" t="s">
        <v>846</v>
      </c>
      <c r="D71" t="s">
        <v>862</v>
      </c>
    </row>
    <row r="72" spans="1:4">
      <c r="A72" s="226" t="s">
        <v>729</v>
      </c>
      <c r="B72" t="s">
        <v>829</v>
      </c>
      <c r="C72" s="226" t="s">
        <v>615</v>
      </c>
      <c r="D72" s="15" t="s">
        <v>717</v>
      </c>
    </row>
    <row r="73" spans="1:4">
      <c r="A73" s="226" t="s">
        <v>728</v>
      </c>
      <c r="B73" t="s">
        <v>828</v>
      </c>
      <c r="C73" s="226" t="s">
        <v>615</v>
      </c>
      <c r="D73" s="15" t="s">
        <v>717</v>
      </c>
    </row>
    <row r="74" spans="1:4">
      <c r="A74" s="226" t="s">
        <v>688</v>
      </c>
      <c r="B74" t="s">
        <v>666</v>
      </c>
      <c r="C74" s="226" t="s">
        <v>59</v>
      </c>
      <c r="D74" t="s">
        <v>741</v>
      </c>
    </row>
    <row r="75" spans="1:4">
      <c r="A75" s="226" t="s">
        <v>590</v>
      </c>
      <c r="B75" s="15" t="s">
        <v>1262</v>
      </c>
      <c r="C75" s="226" t="s">
        <v>1231</v>
      </c>
      <c r="D75" s="15" t="s">
        <v>1230</v>
      </c>
    </row>
    <row r="76" spans="1:4">
      <c r="A76" s="226" t="s">
        <v>1310</v>
      </c>
      <c r="B76" t="s">
        <v>1350</v>
      </c>
      <c r="C76" s="226" t="s">
        <v>1196</v>
      </c>
      <c r="D76" s="15" t="s">
        <v>1063</v>
      </c>
    </row>
    <row r="77" spans="1:4">
      <c r="A77" s="226" t="s">
        <v>1290</v>
      </c>
      <c r="B77" s="15" t="s">
        <v>1330</v>
      </c>
      <c r="C77" s="226" t="s">
        <v>1196</v>
      </c>
      <c r="D77" s="15" t="s">
        <v>1063</v>
      </c>
    </row>
    <row r="78" spans="1:4">
      <c r="A78" s="226" t="s">
        <v>689</v>
      </c>
      <c r="B78" t="s">
        <v>671</v>
      </c>
      <c r="C78" s="226" t="s">
        <v>59</v>
      </c>
      <c r="D78" t="s">
        <v>741</v>
      </c>
    </row>
    <row r="79" spans="1:4">
      <c r="A79" s="226" t="s">
        <v>690</v>
      </c>
      <c r="B79" t="s">
        <v>562</v>
      </c>
      <c r="C79" s="226" t="s">
        <v>59</v>
      </c>
      <c r="D79" t="s">
        <v>741</v>
      </c>
    </row>
    <row r="80" spans="1:4">
      <c r="A80" s="226" t="s">
        <v>691</v>
      </c>
      <c r="B80" t="s">
        <v>559</v>
      </c>
      <c r="C80" s="226" t="s">
        <v>59</v>
      </c>
      <c r="D80" t="s">
        <v>741</v>
      </c>
    </row>
    <row r="81" spans="1:4">
      <c r="A81" s="226" t="s">
        <v>692</v>
      </c>
      <c r="B81" t="s">
        <v>675</v>
      </c>
      <c r="C81" s="226" t="s">
        <v>59</v>
      </c>
      <c r="D81" t="s">
        <v>741</v>
      </c>
    </row>
    <row r="82" spans="1:4">
      <c r="A82" s="226" t="s">
        <v>1369</v>
      </c>
      <c r="B82" t="s">
        <v>1373</v>
      </c>
      <c r="C82" s="226" t="s">
        <v>1062</v>
      </c>
      <c r="D82" s="15" t="s">
        <v>1063</v>
      </c>
    </row>
    <row r="83" spans="1:4">
      <c r="A83" s="226" t="s">
        <v>601</v>
      </c>
      <c r="B83" t="s">
        <v>602</v>
      </c>
      <c r="C83" s="354" t="s">
        <v>851</v>
      </c>
      <c r="D83" t="s">
        <v>771</v>
      </c>
    </row>
    <row r="84" spans="1:4">
      <c r="A84" s="226" t="s">
        <v>605</v>
      </c>
      <c r="B84" t="s">
        <v>606</v>
      </c>
      <c r="C84" s="354" t="s">
        <v>852</v>
      </c>
      <c r="D84" t="s">
        <v>771</v>
      </c>
    </row>
    <row r="85" spans="1:4">
      <c r="A85" s="226" t="s">
        <v>773</v>
      </c>
      <c r="B85" t="s">
        <v>1244</v>
      </c>
      <c r="C85" s="316" t="s">
        <v>851</v>
      </c>
      <c r="D85" t="s">
        <v>851</v>
      </c>
    </row>
    <row r="86" spans="1:4">
      <c r="A86" s="226" t="s">
        <v>1181</v>
      </c>
      <c r="B86" t="s">
        <v>1257</v>
      </c>
      <c r="C86" s="226" t="s">
        <v>852</v>
      </c>
      <c r="D86" s="15" t="s">
        <v>1182</v>
      </c>
    </row>
    <row r="87" spans="1:4">
      <c r="A87" s="226" t="s">
        <v>1183</v>
      </c>
      <c r="B87" t="s">
        <v>1243</v>
      </c>
      <c r="C87" s="226" t="s">
        <v>852</v>
      </c>
      <c r="D87" s="15" t="s">
        <v>1182</v>
      </c>
    </row>
    <row r="88" spans="1:4">
      <c r="A88" s="316" t="s">
        <v>1234</v>
      </c>
      <c r="B88" t="s">
        <v>195</v>
      </c>
      <c r="C88" s="226" t="s">
        <v>1235</v>
      </c>
      <c r="D88" s="15" t="s">
        <v>1236</v>
      </c>
    </row>
    <row r="89" spans="1:4">
      <c r="A89" s="226" t="s">
        <v>693</v>
      </c>
      <c r="B89" t="s">
        <v>498</v>
      </c>
      <c r="C89" s="226" t="s">
        <v>59</v>
      </c>
      <c r="D89" t="s">
        <v>741</v>
      </c>
    </row>
    <row r="90" spans="1:4">
      <c r="A90" s="226" t="s">
        <v>694</v>
      </c>
      <c r="B90" t="s">
        <v>661</v>
      </c>
      <c r="C90" s="226" t="s">
        <v>59</v>
      </c>
      <c r="D90" t="s">
        <v>741</v>
      </c>
    </row>
    <row r="91" spans="1:4">
      <c r="A91" s="226" t="s">
        <v>1188</v>
      </c>
      <c r="B91" s="15" t="s">
        <v>1259</v>
      </c>
      <c r="C91" s="226" t="s">
        <v>1196</v>
      </c>
      <c r="D91" s="15" t="s">
        <v>1063</v>
      </c>
    </row>
    <row r="92" spans="1:4">
      <c r="A92" s="226" t="s">
        <v>1482</v>
      </c>
      <c r="B92" t="s">
        <v>603</v>
      </c>
      <c r="C92" s="354" t="s">
        <v>852</v>
      </c>
      <c r="D92" t="s">
        <v>771</v>
      </c>
    </row>
    <row r="93" spans="1:4">
      <c r="A93" s="226" t="s">
        <v>1463</v>
      </c>
      <c r="B93" s="15" t="s">
        <v>1464</v>
      </c>
      <c r="C93" s="226" t="s">
        <v>851</v>
      </c>
      <c r="D93" s="15" t="s">
        <v>1465</v>
      </c>
    </row>
    <row r="94" spans="1:4">
      <c r="A94" s="226" t="s">
        <v>1108</v>
      </c>
      <c r="B94" s="15" t="s">
        <v>1111</v>
      </c>
      <c r="C94" s="226" t="s">
        <v>1046</v>
      </c>
      <c r="D94" s="15" t="s">
        <v>1063</v>
      </c>
    </row>
    <row r="95" spans="1:4">
      <c r="A95" s="226" t="s">
        <v>1109</v>
      </c>
      <c r="B95" s="15" t="s">
        <v>1112</v>
      </c>
      <c r="C95" s="226" t="s">
        <v>1046</v>
      </c>
      <c r="D95" s="15" t="s">
        <v>1063</v>
      </c>
    </row>
    <row r="96" spans="1:4">
      <c r="A96" s="226" t="s">
        <v>1187</v>
      </c>
      <c r="B96" s="15" t="s">
        <v>1258</v>
      </c>
      <c r="C96" s="226" t="s">
        <v>1196</v>
      </c>
      <c r="D96" s="15" t="s">
        <v>1063</v>
      </c>
    </row>
    <row r="97" spans="1:4">
      <c r="A97" s="226" t="s">
        <v>695</v>
      </c>
      <c r="B97" t="s">
        <v>702</v>
      </c>
      <c r="C97" s="226" t="s">
        <v>59</v>
      </c>
      <c r="D97" t="s">
        <v>741</v>
      </c>
    </row>
    <row r="98" spans="1:4">
      <c r="A98" s="226" t="s">
        <v>696</v>
      </c>
      <c r="B98" t="s">
        <v>670</v>
      </c>
      <c r="C98" s="226" t="s">
        <v>59</v>
      </c>
      <c r="D98" t="s">
        <v>741</v>
      </c>
    </row>
    <row r="99" spans="1:4">
      <c r="A99" s="226" t="s">
        <v>1152</v>
      </c>
      <c r="B99" s="15" t="s">
        <v>1155</v>
      </c>
      <c r="C99" s="226" t="s">
        <v>1158</v>
      </c>
      <c r="D99" s="15" t="s">
        <v>1063</v>
      </c>
    </row>
    <row r="100" spans="1:4">
      <c r="A100" s="226" t="s">
        <v>1221</v>
      </c>
      <c r="B100" s="15" t="s">
        <v>1222</v>
      </c>
      <c r="C100" s="226" t="s">
        <v>1196</v>
      </c>
      <c r="D100" s="15" t="s">
        <v>1063</v>
      </c>
    </row>
    <row r="101" spans="1:4">
      <c r="A101" s="226" t="s">
        <v>724</v>
      </c>
      <c r="B101" t="s">
        <v>824</v>
      </c>
      <c r="C101" s="226" t="s">
        <v>615</v>
      </c>
      <c r="D101" s="15" t="s">
        <v>717</v>
      </c>
    </row>
    <row r="102" spans="1:4">
      <c r="A102" s="226" t="s">
        <v>723</v>
      </c>
      <c r="B102" t="s">
        <v>823</v>
      </c>
      <c r="C102" s="226" t="s">
        <v>615</v>
      </c>
      <c r="D102" s="15" t="s">
        <v>717</v>
      </c>
    </row>
    <row r="103" spans="1:4">
      <c r="A103" s="226" t="s">
        <v>725</v>
      </c>
      <c r="B103" t="s">
        <v>825</v>
      </c>
      <c r="C103" s="226" t="s">
        <v>615</v>
      </c>
      <c r="D103" s="15" t="s">
        <v>717</v>
      </c>
    </row>
    <row r="104" spans="1:4">
      <c r="A104" s="226" t="s">
        <v>721</v>
      </c>
      <c r="B104" t="s">
        <v>821</v>
      </c>
      <c r="C104" s="226" t="s">
        <v>615</v>
      </c>
      <c r="D104" s="15" t="s">
        <v>717</v>
      </c>
    </row>
    <row r="105" spans="1:4">
      <c r="A105" s="226" t="s">
        <v>722</v>
      </c>
      <c r="B105" t="s">
        <v>822</v>
      </c>
      <c r="C105" s="226" t="s">
        <v>615</v>
      </c>
      <c r="D105" s="15" t="s">
        <v>717</v>
      </c>
    </row>
    <row r="106" spans="1:4">
      <c r="A106" s="226" t="s">
        <v>1370</v>
      </c>
      <c r="B106" t="s">
        <v>1374</v>
      </c>
      <c r="C106" s="226" t="s">
        <v>1062</v>
      </c>
      <c r="D106" s="15" t="s">
        <v>1063</v>
      </c>
    </row>
    <row r="107" spans="1:4">
      <c r="A107" s="226" t="s">
        <v>799</v>
      </c>
      <c r="B107" t="s">
        <v>1256</v>
      </c>
      <c r="C107" s="226" t="s">
        <v>801</v>
      </c>
      <c r="D107" s="15" t="s">
        <v>800</v>
      </c>
    </row>
    <row r="108" spans="1:4">
      <c r="A108" s="15" t="s">
        <v>785</v>
      </c>
      <c r="B108" t="s">
        <v>1247</v>
      </c>
      <c r="C108" s="226" t="s">
        <v>749</v>
      </c>
      <c r="D108" s="15" t="s">
        <v>775</v>
      </c>
    </row>
    <row r="109" spans="1:4">
      <c r="A109" s="15" t="s">
        <v>786</v>
      </c>
      <c r="B109" t="s">
        <v>1247</v>
      </c>
      <c r="C109" s="226" t="s">
        <v>749</v>
      </c>
      <c r="D109" s="15" t="s">
        <v>775</v>
      </c>
    </row>
    <row r="110" spans="1:4">
      <c r="A110" s="15" t="s">
        <v>787</v>
      </c>
      <c r="B110" t="s">
        <v>1247</v>
      </c>
      <c r="C110" s="226" t="s">
        <v>749</v>
      </c>
      <c r="D110" s="15" t="s">
        <v>775</v>
      </c>
    </row>
    <row r="111" spans="1:4">
      <c r="A111" s="399" t="s">
        <v>1458</v>
      </c>
      <c r="B111" s="15" t="s">
        <v>1460</v>
      </c>
      <c r="C111" s="226" t="s">
        <v>615</v>
      </c>
      <c r="D111" s="15" t="s">
        <v>1451</v>
      </c>
    </row>
    <row r="112" spans="1:4">
      <c r="A112" s="226" t="s">
        <v>1402</v>
      </c>
      <c r="B112" s="15" t="s">
        <v>1403</v>
      </c>
      <c r="C112" s="226" t="s">
        <v>615</v>
      </c>
      <c r="D112" s="15" t="s">
        <v>1451</v>
      </c>
    </row>
    <row r="113" spans="1:4">
      <c r="A113" s="226" t="s">
        <v>1391</v>
      </c>
      <c r="B113" s="15" t="s">
        <v>1398</v>
      </c>
      <c r="C113" s="226" t="s">
        <v>615</v>
      </c>
      <c r="D113" s="15" t="s">
        <v>1451</v>
      </c>
    </row>
    <row r="114" spans="1:4">
      <c r="A114" s="226" t="s">
        <v>1388</v>
      </c>
      <c r="B114" s="15" t="s">
        <v>1395</v>
      </c>
      <c r="C114" s="226" t="s">
        <v>615</v>
      </c>
      <c r="D114" s="15" t="s">
        <v>1451</v>
      </c>
    </row>
    <row r="115" spans="1:4">
      <c r="A115" s="226" t="s">
        <v>1392</v>
      </c>
      <c r="B115" s="15" t="s">
        <v>1399</v>
      </c>
      <c r="C115" s="226" t="s">
        <v>615</v>
      </c>
      <c r="D115" s="15" t="s">
        <v>1451</v>
      </c>
    </row>
    <row r="116" spans="1:4">
      <c r="A116" s="226" t="s">
        <v>1389</v>
      </c>
      <c r="B116" s="15" t="s">
        <v>1396</v>
      </c>
      <c r="C116" s="226" t="s">
        <v>615</v>
      </c>
      <c r="D116" s="15" t="s">
        <v>1451</v>
      </c>
    </row>
    <row r="117" spans="1:4">
      <c r="A117" s="226" t="s">
        <v>1393</v>
      </c>
      <c r="B117" s="15" t="s">
        <v>1400</v>
      </c>
      <c r="C117" s="226" t="s">
        <v>615</v>
      </c>
      <c r="D117" s="15" t="s">
        <v>1451</v>
      </c>
    </row>
    <row r="118" spans="1:4">
      <c r="A118" s="226" t="s">
        <v>1394</v>
      </c>
      <c r="B118" s="15" t="s">
        <v>1401</v>
      </c>
      <c r="C118" s="226" t="s">
        <v>615</v>
      </c>
      <c r="D118" s="15" t="s">
        <v>1451</v>
      </c>
    </row>
    <row r="119" spans="1:4">
      <c r="A119" s="226" t="s">
        <v>1390</v>
      </c>
      <c r="B119" s="15" t="s">
        <v>1397</v>
      </c>
      <c r="C119" s="226" t="s">
        <v>615</v>
      </c>
      <c r="D119" s="15" t="s">
        <v>1451</v>
      </c>
    </row>
    <row r="120" spans="1:4">
      <c r="A120" s="226" t="s">
        <v>697</v>
      </c>
      <c r="B120" t="s">
        <v>703</v>
      </c>
      <c r="C120" s="226" t="s">
        <v>59</v>
      </c>
      <c r="D120" t="s">
        <v>741</v>
      </c>
    </row>
    <row r="121" spans="1:4">
      <c r="A121" s="226" t="s">
        <v>1316</v>
      </c>
      <c r="B121" t="s">
        <v>1356</v>
      </c>
      <c r="C121" s="226" t="s">
        <v>1196</v>
      </c>
      <c r="D121" s="15" t="s">
        <v>1063</v>
      </c>
    </row>
    <row r="122" spans="1:4">
      <c r="A122" s="226" t="s">
        <v>1296</v>
      </c>
      <c r="B122" s="15" t="s">
        <v>1336</v>
      </c>
      <c r="C122" s="226" t="s">
        <v>1196</v>
      </c>
      <c r="D122" s="15" t="s">
        <v>1063</v>
      </c>
    </row>
    <row r="123" spans="1:4">
      <c r="A123" s="226" t="s">
        <v>1100</v>
      </c>
      <c r="B123" s="15" t="s">
        <v>1101</v>
      </c>
      <c r="C123" s="226" t="s">
        <v>1046</v>
      </c>
      <c r="D123" s="15" t="s">
        <v>1063</v>
      </c>
    </row>
    <row r="124" spans="1:4">
      <c r="A124" s="226" t="s">
        <v>1110</v>
      </c>
      <c r="B124" s="15" t="s">
        <v>1113</v>
      </c>
      <c r="C124" s="226" t="s">
        <v>1046</v>
      </c>
      <c r="D124" s="15" t="s">
        <v>1063</v>
      </c>
    </row>
    <row r="125" spans="1:4">
      <c r="A125" s="226" t="s">
        <v>1311</v>
      </c>
      <c r="B125" t="s">
        <v>1351</v>
      </c>
      <c r="C125" s="226" t="s">
        <v>1196</v>
      </c>
      <c r="D125" s="15" t="s">
        <v>1063</v>
      </c>
    </row>
    <row r="126" spans="1:4">
      <c r="A126" s="226" t="s">
        <v>1291</v>
      </c>
      <c r="B126" s="15" t="s">
        <v>1331</v>
      </c>
      <c r="C126" s="226" t="s">
        <v>1196</v>
      </c>
      <c r="D126" s="15" t="s">
        <v>1063</v>
      </c>
    </row>
    <row r="127" spans="1:4">
      <c r="A127" s="226" t="s">
        <v>1307</v>
      </c>
      <c r="B127" t="s">
        <v>1347</v>
      </c>
      <c r="C127" s="226" t="s">
        <v>1196</v>
      </c>
      <c r="D127" s="15" t="s">
        <v>1063</v>
      </c>
    </row>
    <row r="128" spans="1:4">
      <c r="A128" s="226" t="s">
        <v>1287</v>
      </c>
      <c r="B128" s="15" t="s">
        <v>1327</v>
      </c>
      <c r="C128" s="226" t="s">
        <v>1196</v>
      </c>
      <c r="D128" s="15" t="s">
        <v>1063</v>
      </c>
    </row>
    <row r="129" spans="1:4">
      <c r="A129" s="226" t="s">
        <v>764</v>
      </c>
      <c r="B129" t="s">
        <v>837</v>
      </c>
      <c r="C129" s="226" t="s">
        <v>749</v>
      </c>
      <c r="D129" s="15" t="s">
        <v>750</v>
      </c>
    </row>
    <row r="130" spans="1:4">
      <c r="A130" s="226" t="s">
        <v>765</v>
      </c>
      <c r="B130" t="s">
        <v>838</v>
      </c>
      <c r="C130" s="226" t="s">
        <v>749</v>
      </c>
      <c r="D130" s="15" t="s">
        <v>750</v>
      </c>
    </row>
    <row r="131" spans="1:4">
      <c r="A131" s="226" t="s">
        <v>766</v>
      </c>
      <c r="B131" t="s">
        <v>839</v>
      </c>
      <c r="C131" s="226" t="s">
        <v>749</v>
      </c>
      <c r="D131" s="15" t="s">
        <v>750</v>
      </c>
    </row>
    <row r="132" spans="1:4">
      <c r="A132" s="226" t="s">
        <v>767</v>
      </c>
      <c r="B132" t="s">
        <v>840</v>
      </c>
      <c r="C132" s="226" t="s">
        <v>749</v>
      </c>
      <c r="D132" s="15" t="s">
        <v>750</v>
      </c>
    </row>
    <row r="133" spans="1:4">
      <c r="A133" s="226" t="s">
        <v>768</v>
      </c>
      <c r="B133" t="s">
        <v>841</v>
      </c>
      <c r="C133" s="226" t="s">
        <v>749</v>
      </c>
      <c r="D133" s="15" t="s">
        <v>750</v>
      </c>
    </row>
    <row r="134" spans="1:4">
      <c r="A134" s="226" t="s">
        <v>769</v>
      </c>
      <c r="B134" t="s">
        <v>842</v>
      </c>
      <c r="C134" s="226" t="s">
        <v>749</v>
      </c>
      <c r="D134" s="15" t="s">
        <v>750</v>
      </c>
    </row>
    <row r="135" spans="1:4">
      <c r="A135" s="226" t="s">
        <v>1157</v>
      </c>
      <c r="B135" s="15" t="s">
        <v>1159</v>
      </c>
      <c r="C135" s="226" t="s">
        <v>1046</v>
      </c>
      <c r="D135" s="15" t="s">
        <v>1063</v>
      </c>
    </row>
    <row r="136" spans="1:4">
      <c r="A136" s="226" t="s">
        <v>1160</v>
      </c>
      <c r="B136" s="15" t="s">
        <v>1161</v>
      </c>
      <c r="C136" s="226" t="s">
        <v>1046</v>
      </c>
      <c r="D136" s="15" t="s">
        <v>1063</v>
      </c>
    </row>
    <row r="137" spans="1:4">
      <c r="A137" s="226" t="s">
        <v>1315</v>
      </c>
      <c r="B137" t="s">
        <v>1355</v>
      </c>
      <c r="C137" s="226" t="s">
        <v>1196</v>
      </c>
      <c r="D137" s="15" t="s">
        <v>1063</v>
      </c>
    </row>
    <row r="138" spans="1:4">
      <c r="A138" s="226" t="s">
        <v>1295</v>
      </c>
      <c r="B138" s="15" t="s">
        <v>1335</v>
      </c>
      <c r="C138" s="226" t="s">
        <v>1196</v>
      </c>
      <c r="D138" s="15" t="s">
        <v>1063</v>
      </c>
    </row>
    <row r="139" spans="1:4">
      <c r="A139" s="226" t="s">
        <v>698</v>
      </c>
      <c r="B139" t="s">
        <v>538</v>
      </c>
      <c r="C139" s="226" t="s">
        <v>59</v>
      </c>
      <c r="D139" t="s">
        <v>741</v>
      </c>
    </row>
    <row r="140" spans="1:4">
      <c r="A140" s="226" t="s">
        <v>1318</v>
      </c>
      <c r="B140" t="s">
        <v>1358</v>
      </c>
      <c r="C140" s="226" t="s">
        <v>1196</v>
      </c>
      <c r="D140" s="15" t="s">
        <v>1063</v>
      </c>
    </row>
    <row r="141" spans="1:4">
      <c r="A141" s="226" t="s">
        <v>1298</v>
      </c>
      <c r="B141" s="15" t="s">
        <v>1338</v>
      </c>
      <c r="C141" s="226" t="s">
        <v>1196</v>
      </c>
      <c r="D141" s="15" t="s">
        <v>1063</v>
      </c>
    </row>
    <row r="142" spans="1:4">
      <c r="A142" s="226" t="s">
        <v>1200</v>
      </c>
      <c r="B142" s="15" t="s">
        <v>1202</v>
      </c>
      <c r="C142" s="226" t="s">
        <v>1196</v>
      </c>
      <c r="D142" s="15" t="s">
        <v>1063</v>
      </c>
    </row>
    <row r="143" spans="1:4">
      <c r="A143" s="226" t="s">
        <v>1201</v>
      </c>
      <c r="B143" s="15" t="s">
        <v>1203</v>
      </c>
      <c r="C143" s="226" t="s">
        <v>1196</v>
      </c>
      <c r="D143" s="15" t="s">
        <v>1063</v>
      </c>
    </row>
    <row r="144" spans="1:4">
      <c r="A144" s="226" t="s">
        <v>1175</v>
      </c>
      <c r="B144" t="s">
        <v>1245</v>
      </c>
      <c r="C144" s="316" t="s">
        <v>851</v>
      </c>
      <c r="D144" t="s">
        <v>851</v>
      </c>
    </row>
    <row r="145" spans="1:4">
      <c r="A145" s="226" t="s">
        <v>1429</v>
      </c>
      <c r="B145" s="15" t="s">
        <v>1434</v>
      </c>
      <c r="C145" s="226" t="s">
        <v>1231</v>
      </c>
      <c r="D145" s="15" t="s">
        <v>1230</v>
      </c>
    </row>
    <row r="146" spans="1:4">
      <c r="A146" s="226" t="s">
        <v>1305</v>
      </c>
      <c r="B146" t="s">
        <v>1345</v>
      </c>
      <c r="C146" s="226" t="s">
        <v>1196</v>
      </c>
      <c r="D146" s="15" t="s">
        <v>1063</v>
      </c>
    </row>
    <row r="147" spans="1:4">
      <c r="A147" s="226" t="s">
        <v>1285</v>
      </c>
      <c r="B147" s="15" t="s">
        <v>1325</v>
      </c>
      <c r="C147" s="316" t="s">
        <v>1196</v>
      </c>
      <c r="D147" t="s">
        <v>851</v>
      </c>
    </row>
    <row r="148" spans="1:4">
      <c r="A148" s="226" t="s">
        <v>1223</v>
      </c>
      <c r="B148" s="15" t="s">
        <v>1224</v>
      </c>
      <c r="C148" s="226" t="s">
        <v>1196</v>
      </c>
      <c r="D148" s="15" t="s">
        <v>1063</v>
      </c>
    </row>
    <row r="149" spans="1:4">
      <c r="A149" s="226" t="s">
        <v>1320</v>
      </c>
      <c r="B149" t="s">
        <v>1360</v>
      </c>
      <c r="C149" s="226" t="s">
        <v>1196</v>
      </c>
      <c r="D149" s="15" t="s">
        <v>1063</v>
      </c>
    </row>
    <row r="150" spans="1:4">
      <c r="A150" s="226" t="s">
        <v>1300</v>
      </c>
      <c r="B150" s="15" t="s">
        <v>1340</v>
      </c>
      <c r="C150" s="226" t="s">
        <v>1196</v>
      </c>
      <c r="D150" s="15" t="s">
        <v>1063</v>
      </c>
    </row>
    <row r="151" spans="1:4">
      <c r="A151" s="226" t="s">
        <v>1216</v>
      </c>
      <c r="B151" s="15" t="s">
        <v>1260</v>
      </c>
      <c r="C151" s="226" t="s">
        <v>1196</v>
      </c>
      <c r="D151" s="15" t="s">
        <v>1063</v>
      </c>
    </row>
    <row r="152" spans="1:4">
      <c r="A152" s="226" t="s">
        <v>1419</v>
      </c>
      <c r="B152" s="15" t="s">
        <v>1420</v>
      </c>
      <c r="C152" s="226" t="s">
        <v>1196</v>
      </c>
      <c r="D152" s="15" t="s">
        <v>1063</v>
      </c>
    </row>
    <row r="153" spans="1:4">
      <c r="A153" s="226" t="s">
        <v>1324</v>
      </c>
      <c r="B153" t="s">
        <v>1364</v>
      </c>
      <c r="C153" s="226" t="s">
        <v>1196</v>
      </c>
      <c r="D153" s="15" t="s">
        <v>1063</v>
      </c>
    </row>
    <row r="154" spans="1:4">
      <c r="A154" s="226" t="s">
        <v>1304</v>
      </c>
      <c r="B154" s="15" t="s">
        <v>1344</v>
      </c>
      <c r="C154" s="226" t="s">
        <v>1196</v>
      </c>
      <c r="D154" s="15" t="s">
        <v>1063</v>
      </c>
    </row>
    <row r="155" spans="1:4">
      <c r="A155" s="352" t="s">
        <v>589</v>
      </c>
      <c r="B155" s="15" t="s">
        <v>1261</v>
      </c>
      <c r="C155" s="226" t="s">
        <v>1231</v>
      </c>
      <c r="D155" s="15" t="s">
        <v>1230</v>
      </c>
    </row>
    <row r="156" spans="1:4">
      <c r="A156" s="226" t="s">
        <v>1102</v>
      </c>
      <c r="B156" s="15" t="s">
        <v>1103</v>
      </c>
      <c r="C156" s="226" t="s">
        <v>1046</v>
      </c>
      <c r="D156" s="15" t="s">
        <v>1063</v>
      </c>
    </row>
    <row r="157" spans="1:4">
      <c r="A157" s="226" t="s">
        <v>1423</v>
      </c>
      <c r="B157" s="15" t="s">
        <v>1424</v>
      </c>
      <c r="C157" s="226" t="s">
        <v>1196</v>
      </c>
      <c r="D157" s="15" t="s">
        <v>1063</v>
      </c>
    </row>
    <row r="158" spans="1:4">
      <c r="A158" s="226" t="s">
        <v>1323</v>
      </c>
      <c r="B158" t="s">
        <v>1363</v>
      </c>
      <c r="C158" s="226" t="s">
        <v>1196</v>
      </c>
      <c r="D158" s="15" t="s">
        <v>1063</v>
      </c>
    </row>
    <row r="159" spans="1:4">
      <c r="A159" s="226" t="s">
        <v>1303</v>
      </c>
      <c r="B159" s="15" t="s">
        <v>1343</v>
      </c>
      <c r="C159" s="226" t="s">
        <v>1196</v>
      </c>
      <c r="D159" s="15" t="s">
        <v>1063</v>
      </c>
    </row>
    <row r="160" spans="1:4">
      <c r="A160" s="226" t="s">
        <v>1162</v>
      </c>
      <c r="B160" s="15" t="s">
        <v>1163</v>
      </c>
      <c r="C160" s="226" t="s">
        <v>1046</v>
      </c>
      <c r="D160" s="15" t="s">
        <v>1063</v>
      </c>
    </row>
    <row r="161" spans="1:4">
      <c r="A161" s="226" t="s">
        <v>1164</v>
      </c>
      <c r="B161" s="15" t="s">
        <v>1165</v>
      </c>
      <c r="C161" s="226" t="s">
        <v>1046</v>
      </c>
      <c r="D161" s="15" t="s">
        <v>1063</v>
      </c>
    </row>
    <row r="162" spans="1:4">
      <c r="A162" s="226" t="s">
        <v>1044</v>
      </c>
      <c r="B162" t="s">
        <v>1047</v>
      </c>
      <c r="C162" s="226" t="s">
        <v>1046</v>
      </c>
      <c r="D162" t="s">
        <v>1045</v>
      </c>
    </row>
    <row r="163" spans="1:4">
      <c r="A163" s="226" t="s">
        <v>632</v>
      </c>
      <c r="B163" s="15" t="s">
        <v>637</v>
      </c>
      <c r="C163" s="226" t="s">
        <v>615</v>
      </c>
      <c r="D163" s="15" t="s">
        <v>717</v>
      </c>
    </row>
    <row r="164" spans="1:4">
      <c r="A164" s="226" t="s">
        <v>633</v>
      </c>
      <c r="B164" s="15" t="s">
        <v>636</v>
      </c>
      <c r="C164" s="226" t="s">
        <v>615</v>
      </c>
      <c r="D164" s="15" t="s">
        <v>717</v>
      </c>
    </row>
    <row r="165" spans="1:4">
      <c r="A165" s="226" t="s">
        <v>634</v>
      </c>
      <c r="B165" s="15" t="s">
        <v>638</v>
      </c>
      <c r="C165" s="226" t="s">
        <v>615</v>
      </c>
      <c r="D165" s="15" t="s">
        <v>717</v>
      </c>
    </row>
    <row r="166" spans="1:4">
      <c r="A166" s="226" t="s">
        <v>627</v>
      </c>
      <c r="B166" s="15" t="s">
        <v>807</v>
      </c>
      <c r="C166" s="226" t="s">
        <v>615</v>
      </c>
      <c r="D166" s="15" t="s">
        <v>717</v>
      </c>
    </row>
    <row r="167" spans="1:4">
      <c r="A167" s="226" t="s">
        <v>623</v>
      </c>
      <c r="B167" s="15" t="s">
        <v>802</v>
      </c>
      <c r="C167" s="226" t="s">
        <v>615</v>
      </c>
      <c r="D167" s="15" t="s">
        <v>717</v>
      </c>
    </row>
    <row r="168" spans="1:4">
      <c r="A168" s="226" t="s">
        <v>628</v>
      </c>
      <c r="B168" s="15" t="s">
        <v>808</v>
      </c>
      <c r="C168" s="226" t="s">
        <v>615</v>
      </c>
      <c r="D168" s="15" t="s">
        <v>717</v>
      </c>
    </row>
    <row r="169" spans="1:4">
      <c r="A169" s="226" t="s">
        <v>624</v>
      </c>
      <c r="B169" s="15" t="s">
        <v>803</v>
      </c>
      <c r="C169" s="226" t="s">
        <v>615</v>
      </c>
      <c r="D169" s="15" t="s">
        <v>717</v>
      </c>
    </row>
    <row r="170" spans="1:4">
      <c r="A170" s="226" t="s">
        <v>622</v>
      </c>
      <c r="B170" s="15" t="s">
        <v>805</v>
      </c>
      <c r="C170" s="226" t="s">
        <v>615</v>
      </c>
      <c r="D170" s="15" t="s">
        <v>717</v>
      </c>
    </row>
    <row r="171" spans="1:4">
      <c r="A171" s="226" t="s">
        <v>626</v>
      </c>
      <c r="B171" s="15" t="s">
        <v>806</v>
      </c>
      <c r="C171" s="226" t="s">
        <v>615</v>
      </c>
      <c r="D171" s="15" t="s">
        <v>717</v>
      </c>
    </row>
    <row r="172" spans="1:4">
      <c r="A172" s="226" t="s">
        <v>625</v>
      </c>
      <c r="B172" s="15" t="s">
        <v>804</v>
      </c>
      <c r="C172" s="226" t="s">
        <v>615</v>
      </c>
      <c r="D172" s="15" t="s">
        <v>717</v>
      </c>
    </row>
    <row r="173" spans="1:4">
      <c r="A173" s="226" t="s">
        <v>619</v>
      </c>
      <c r="B173" s="15" t="s">
        <v>813</v>
      </c>
      <c r="C173" s="226" t="s">
        <v>615</v>
      </c>
      <c r="D173" s="15" t="s">
        <v>717</v>
      </c>
    </row>
    <row r="174" spans="1:4">
      <c r="A174" s="226" t="s">
        <v>613</v>
      </c>
      <c r="B174" s="15" t="s">
        <v>809</v>
      </c>
      <c r="C174" s="226" t="s">
        <v>615</v>
      </c>
      <c r="D174" s="15" t="s">
        <v>717</v>
      </c>
    </row>
    <row r="175" spans="1:4">
      <c r="A175" s="226" t="s">
        <v>620</v>
      </c>
      <c r="B175" s="15" t="s">
        <v>814</v>
      </c>
      <c r="C175" s="226" t="s">
        <v>615</v>
      </c>
      <c r="D175" s="15" t="s">
        <v>717</v>
      </c>
    </row>
    <row r="176" spans="1:4">
      <c r="A176" s="226" t="s">
        <v>616</v>
      </c>
      <c r="B176" s="15" t="s">
        <v>810</v>
      </c>
      <c r="C176" s="226" t="s">
        <v>615</v>
      </c>
      <c r="D176" s="15" t="s">
        <v>717</v>
      </c>
    </row>
    <row r="177" spans="1:4">
      <c r="A177" s="226" t="s">
        <v>621</v>
      </c>
      <c r="B177" s="15" t="s">
        <v>815</v>
      </c>
      <c r="C177" s="226" t="s">
        <v>615</v>
      </c>
      <c r="D177" s="15" t="s">
        <v>717</v>
      </c>
    </row>
    <row r="178" spans="1:4">
      <c r="A178" s="226" t="s">
        <v>618</v>
      </c>
      <c r="B178" s="15" t="s">
        <v>812</v>
      </c>
      <c r="C178" s="226" t="s">
        <v>615</v>
      </c>
      <c r="D178" s="15" t="s">
        <v>717</v>
      </c>
    </row>
    <row r="179" spans="1:4">
      <c r="A179" s="226" t="s">
        <v>617</v>
      </c>
      <c r="B179" s="15" t="s">
        <v>811</v>
      </c>
      <c r="C179" s="226" t="s">
        <v>615</v>
      </c>
      <c r="D179" s="15" t="s">
        <v>717</v>
      </c>
    </row>
    <row r="180" spans="1:4">
      <c r="A180" s="15" t="s">
        <v>1240</v>
      </c>
      <c r="B180" s="15" t="s">
        <v>1241</v>
      </c>
    </row>
    <row r="181" spans="1:4">
      <c r="A181" s="226" t="s">
        <v>699</v>
      </c>
      <c r="B181" t="s">
        <v>656</v>
      </c>
      <c r="C181" s="226" t="s">
        <v>59</v>
      </c>
      <c r="D181" t="s">
        <v>741</v>
      </c>
    </row>
    <row r="182" spans="1:4">
      <c r="A182" s="226" t="s">
        <v>700</v>
      </c>
      <c r="B182" t="s">
        <v>704</v>
      </c>
      <c r="C182" s="226" t="s">
        <v>59</v>
      </c>
      <c r="D182" t="s">
        <v>741</v>
      </c>
    </row>
    <row r="183" spans="1:4">
      <c r="A183" s="226" t="s">
        <v>701</v>
      </c>
      <c r="B183" t="s">
        <v>651</v>
      </c>
      <c r="C183" s="226" t="s">
        <v>59</v>
      </c>
      <c r="D183" t="s">
        <v>741</v>
      </c>
    </row>
    <row r="184" spans="1:4">
      <c r="A184" s="227" t="s">
        <v>705</v>
      </c>
      <c r="B184" t="s">
        <v>706</v>
      </c>
      <c r="C184" s="226" t="s">
        <v>59</v>
      </c>
      <c r="D184" t="s">
        <v>741</v>
      </c>
    </row>
    <row r="185" spans="1:4">
      <c r="A185" s="226" t="s">
        <v>591</v>
      </c>
      <c r="B185" s="15" t="s">
        <v>1232</v>
      </c>
      <c r="C185" s="226" t="s">
        <v>1231</v>
      </c>
      <c r="D185" s="15" t="s">
        <v>1230</v>
      </c>
    </row>
    <row r="186" spans="1:4">
      <c r="A186" s="226" t="s">
        <v>591</v>
      </c>
      <c r="B186" t="s">
        <v>1248</v>
      </c>
      <c r="C186" s="226" t="s">
        <v>749</v>
      </c>
      <c r="D186" s="15" t="s">
        <v>775</v>
      </c>
    </row>
    <row r="187" spans="1:4">
      <c r="A187" s="226" t="s">
        <v>1428</v>
      </c>
      <c r="B187" s="15" t="s">
        <v>1435</v>
      </c>
      <c r="C187" s="226" t="s">
        <v>1231</v>
      </c>
      <c r="D187" s="15" t="s">
        <v>1230</v>
      </c>
    </row>
    <row r="188" spans="1:4">
      <c r="A188" s="226" t="s">
        <v>849</v>
      </c>
      <c r="B188" s="15" t="s">
        <v>850</v>
      </c>
      <c r="C188" s="226" t="s">
        <v>846</v>
      </c>
      <c r="D188" s="15" t="s">
        <v>182</v>
      </c>
    </row>
    <row r="189" spans="1:4">
      <c r="A189" s="226" t="s">
        <v>1313</v>
      </c>
      <c r="B189" t="s">
        <v>1353</v>
      </c>
      <c r="C189" s="226" t="s">
        <v>1196</v>
      </c>
      <c r="D189" s="15" t="s">
        <v>1063</v>
      </c>
    </row>
    <row r="190" spans="1:4">
      <c r="A190" s="226" t="s">
        <v>1293</v>
      </c>
      <c r="B190" s="15" t="s">
        <v>1333</v>
      </c>
      <c r="C190" s="226" t="s">
        <v>1196</v>
      </c>
      <c r="D190" s="15" t="s">
        <v>1063</v>
      </c>
    </row>
    <row r="191" spans="1:4">
      <c r="A191" s="226" t="s">
        <v>592</v>
      </c>
      <c r="B191" s="15" t="s">
        <v>1233</v>
      </c>
      <c r="C191" s="226" t="s">
        <v>1231</v>
      </c>
      <c r="D191" s="15" t="s">
        <v>1230</v>
      </c>
    </row>
    <row r="192" spans="1:4">
      <c r="A192" s="226" t="s">
        <v>1454</v>
      </c>
      <c r="B192" t="s">
        <v>1455</v>
      </c>
      <c r="C192" s="226" t="s">
        <v>615</v>
      </c>
      <c r="D192" s="15" t="s">
        <v>1451</v>
      </c>
    </row>
    <row r="193" spans="1:4">
      <c r="A193" s="226" t="s">
        <v>790</v>
      </c>
      <c r="B193" t="s">
        <v>1249</v>
      </c>
      <c r="C193" s="226" t="s">
        <v>749</v>
      </c>
      <c r="D193" s="15" t="s">
        <v>775</v>
      </c>
    </row>
    <row r="194" spans="1:4">
      <c r="A194" s="226" t="s">
        <v>791</v>
      </c>
      <c r="B194" t="s">
        <v>1250</v>
      </c>
      <c r="C194" s="226" t="s">
        <v>749</v>
      </c>
      <c r="D194" s="15" t="s">
        <v>775</v>
      </c>
    </row>
    <row r="195" spans="1:4">
      <c r="A195" s="226" t="s">
        <v>792</v>
      </c>
      <c r="B195" t="s">
        <v>1251</v>
      </c>
      <c r="C195" s="226" t="s">
        <v>749</v>
      </c>
      <c r="D195" s="15" t="s">
        <v>775</v>
      </c>
    </row>
    <row r="196" spans="1:4">
      <c r="A196" s="226" t="s">
        <v>793</v>
      </c>
      <c r="B196" t="s">
        <v>1252</v>
      </c>
      <c r="C196" s="226" t="s">
        <v>749</v>
      </c>
      <c r="D196" s="15" t="s">
        <v>775</v>
      </c>
    </row>
    <row r="197" spans="1:4">
      <c r="A197" s="226" t="s">
        <v>794</v>
      </c>
      <c r="B197" t="s">
        <v>1253</v>
      </c>
      <c r="C197" s="226" t="s">
        <v>749</v>
      </c>
      <c r="D197" s="15" t="s">
        <v>775</v>
      </c>
    </row>
    <row r="198" spans="1:4">
      <c r="A198" s="226" t="s">
        <v>795</v>
      </c>
      <c r="B198" t="s">
        <v>1254</v>
      </c>
      <c r="C198" s="226" t="s">
        <v>749</v>
      </c>
      <c r="D198" s="15" t="s">
        <v>775</v>
      </c>
    </row>
    <row r="199" spans="1:4">
      <c r="A199" s="399" t="s">
        <v>1459</v>
      </c>
      <c r="B199" s="15" t="s">
        <v>1461</v>
      </c>
      <c r="C199" s="226" t="s">
        <v>615</v>
      </c>
      <c r="D199" s="15" t="s">
        <v>1451</v>
      </c>
    </row>
    <row r="200" spans="1:4">
      <c r="A200" s="399" t="s">
        <v>1440</v>
      </c>
      <c r="B200" t="s">
        <v>1447</v>
      </c>
      <c r="C200" s="226" t="s">
        <v>615</v>
      </c>
      <c r="D200" s="15" t="s">
        <v>1451</v>
      </c>
    </row>
    <row r="201" spans="1:4">
      <c r="A201" s="399" t="s">
        <v>1437</v>
      </c>
      <c r="B201" t="s">
        <v>1444</v>
      </c>
      <c r="C201" s="226" t="s">
        <v>615</v>
      </c>
      <c r="D201" s="15" t="s">
        <v>1451</v>
      </c>
    </row>
    <row r="202" spans="1:4">
      <c r="A202" s="399" t="s">
        <v>1441</v>
      </c>
      <c r="B202" t="s">
        <v>1448</v>
      </c>
      <c r="C202" s="226" t="s">
        <v>615</v>
      </c>
      <c r="D202" s="15" t="s">
        <v>1451</v>
      </c>
    </row>
    <row r="203" spans="1:4">
      <c r="A203" s="399" t="s">
        <v>1438</v>
      </c>
      <c r="B203" t="s">
        <v>1445</v>
      </c>
      <c r="C203" s="226" t="s">
        <v>615</v>
      </c>
      <c r="D203" s="15" t="s">
        <v>1451</v>
      </c>
    </row>
    <row r="204" spans="1:4">
      <c r="A204" s="399" t="s">
        <v>1442</v>
      </c>
      <c r="B204" t="s">
        <v>1449</v>
      </c>
      <c r="C204" s="226" t="s">
        <v>615</v>
      </c>
      <c r="D204" s="15" t="s">
        <v>1451</v>
      </c>
    </row>
    <row r="205" spans="1:4">
      <c r="A205" s="399" t="s">
        <v>1443</v>
      </c>
      <c r="B205" t="s">
        <v>1450</v>
      </c>
      <c r="C205" s="226" t="s">
        <v>615</v>
      </c>
      <c r="D205" s="15" t="s">
        <v>1451</v>
      </c>
    </row>
    <row r="206" spans="1:4">
      <c r="A206" s="399" t="s">
        <v>1439</v>
      </c>
      <c r="B206" t="s">
        <v>1446</v>
      </c>
      <c r="C206" s="226" t="s">
        <v>615</v>
      </c>
      <c r="D206" s="15" t="s">
        <v>1451</v>
      </c>
    </row>
    <row r="207" spans="1:4">
      <c r="A207" s="226" t="s">
        <v>1104</v>
      </c>
      <c r="B207" s="15" t="s">
        <v>1105</v>
      </c>
      <c r="C207" s="226" t="s">
        <v>1046</v>
      </c>
      <c r="D207" s="15" t="s">
        <v>1063</v>
      </c>
    </row>
    <row r="208" spans="1:4">
      <c r="A208" s="226" t="s">
        <v>1106</v>
      </c>
      <c r="B208" s="15" t="s">
        <v>1107</v>
      </c>
      <c r="C208" s="226" t="s">
        <v>1046</v>
      </c>
      <c r="D208" s="15" t="s">
        <v>1063</v>
      </c>
    </row>
    <row r="209" spans="1:4">
      <c r="A209" s="226" t="s">
        <v>1308</v>
      </c>
      <c r="B209" t="s">
        <v>1348</v>
      </c>
      <c r="C209" s="226" t="s">
        <v>1196</v>
      </c>
      <c r="D209" s="15" t="s">
        <v>1063</v>
      </c>
    </row>
    <row r="210" spans="1:4">
      <c r="A210" s="226" t="s">
        <v>1288</v>
      </c>
      <c r="B210" s="15" t="s">
        <v>1328</v>
      </c>
      <c r="C210" s="226" t="s">
        <v>1196</v>
      </c>
      <c r="D210" s="15" t="s">
        <v>1063</v>
      </c>
    </row>
    <row r="211" spans="1:4">
      <c r="A211" s="226" t="s">
        <v>844</v>
      </c>
      <c r="B211" s="15" t="s">
        <v>845</v>
      </c>
      <c r="C211" s="226" t="s">
        <v>846</v>
      </c>
      <c r="D211" s="15" t="s">
        <v>182</v>
      </c>
    </row>
    <row r="212" spans="1:4">
      <c r="A212" s="226" t="s">
        <v>847</v>
      </c>
      <c r="B212" s="15" t="s">
        <v>848</v>
      </c>
      <c r="C212" s="226" t="s">
        <v>846</v>
      </c>
      <c r="D212" s="15" t="s">
        <v>182</v>
      </c>
    </row>
    <row r="213" spans="1:4">
      <c r="A213" s="15" t="s">
        <v>1185</v>
      </c>
      <c r="B213" t="s">
        <v>1255</v>
      </c>
      <c r="C213" s="226" t="s">
        <v>749</v>
      </c>
      <c r="D213" s="15" t="s">
        <v>775</v>
      </c>
    </row>
    <row r="214" spans="1:4">
      <c r="A214" s="226" t="s">
        <v>748</v>
      </c>
      <c r="B214" t="s">
        <v>831</v>
      </c>
      <c r="C214" s="226" t="s">
        <v>749</v>
      </c>
      <c r="D214" s="15" t="s">
        <v>750</v>
      </c>
    </row>
    <row r="215" spans="1:4">
      <c r="A215" s="226" t="s">
        <v>753</v>
      </c>
      <c r="B215" t="s">
        <v>834</v>
      </c>
      <c r="C215" s="226" t="s">
        <v>749</v>
      </c>
      <c r="D215" s="15" t="s">
        <v>750</v>
      </c>
    </row>
    <row r="216" spans="1:4">
      <c r="A216" s="15" t="s">
        <v>796</v>
      </c>
      <c r="B216" t="s">
        <v>1255</v>
      </c>
      <c r="C216" s="226" t="s">
        <v>749</v>
      </c>
      <c r="D216" s="15" t="s">
        <v>775</v>
      </c>
    </row>
    <row r="217" spans="1:4">
      <c r="A217" s="226" t="s">
        <v>751</v>
      </c>
      <c r="B217" t="s">
        <v>832</v>
      </c>
      <c r="C217" s="226" t="s">
        <v>749</v>
      </c>
      <c r="D217" s="15" t="s">
        <v>750</v>
      </c>
    </row>
    <row r="218" spans="1:4">
      <c r="A218" s="226" t="s">
        <v>754</v>
      </c>
      <c r="B218" t="s">
        <v>835</v>
      </c>
      <c r="C218" s="226" t="s">
        <v>749</v>
      </c>
      <c r="D218" s="15" t="s">
        <v>750</v>
      </c>
    </row>
    <row r="219" spans="1:4">
      <c r="A219" s="15" t="s">
        <v>797</v>
      </c>
      <c r="B219" t="s">
        <v>1255</v>
      </c>
      <c r="C219" s="226" t="s">
        <v>749</v>
      </c>
      <c r="D219" s="15" t="s">
        <v>775</v>
      </c>
    </row>
    <row r="220" spans="1:4">
      <c r="A220" s="226" t="s">
        <v>752</v>
      </c>
      <c r="B220" t="s">
        <v>833</v>
      </c>
      <c r="C220" s="226" t="s">
        <v>749</v>
      </c>
      <c r="D220" s="15" t="s">
        <v>750</v>
      </c>
    </row>
    <row r="221" spans="1:4">
      <c r="A221" s="226" t="s">
        <v>755</v>
      </c>
      <c r="B221" t="s">
        <v>836</v>
      </c>
      <c r="C221" s="226" t="s">
        <v>749</v>
      </c>
      <c r="D221" s="15" t="s">
        <v>750</v>
      </c>
    </row>
    <row r="222" spans="1:4">
      <c r="A222" s="226" t="s">
        <v>1314</v>
      </c>
      <c r="B222" t="s">
        <v>1354</v>
      </c>
      <c r="C222" s="226" t="s">
        <v>1196</v>
      </c>
      <c r="D222" s="15" t="s">
        <v>1063</v>
      </c>
    </row>
    <row r="223" spans="1:4">
      <c r="A223" s="226" t="s">
        <v>1294</v>
      </c>
      <c r="B223" s="15" t="s">
        <v>1334</v>
      </c>
      <c r="C223" s="226" t="s">
        <v>1196</v>
      </c>
      <c r="D223" s="15" t="s">
        <v>1063</v>
      </c>
    </row>
    <row r="224" spans="1:4">
      <c r="A224" s="352" t="s">
        <v>1306</v>
      </c>
      <c r="B224" t="s">
        <v>1346</v>
      </c>
      <c r="C224" s="226" t="s">
        <v>1196</v>
      </c>
      <c r="D224" s="15" t="s">
        <v>1063</v>
      </c>
    </row>
    <row r="225" spans="1:4">
      <c r="A225" s="352" t="s">
        <v>1286</v>
      </c>
      <c r="B225" s="15" t="s">
        <v>1326</v>
      </c>
      <c r="C225" s="226" t="s">
        <v>1196</v>
      </c>
      <c r="D225" s="15" t="s">
        <v>1063</v>
      </c>
    </row>
    <row r="226" spans="1:4">
      <c r="A226" s="352" t="s">
        <v>1309</v>
      </c>
      <c r="B226" t="s">
        <v>1349</v>
      </c>
      <c r="C226" s="226" t="s">
        <v>1196</v>
      </c>
      <c r="D226" s="15" t="s">
        <v>1063</v>
      </c>
    </row>
    <row r="227" spans="1:4">
      <c r="A227" s="352" t="s">
        <v>1289</v>
      </c>
      <c r="B227" s="15" t="s">
        <v>1329</v>
      </c>
      <c r="C227" s="226" t="s">
        <v>1196</v>
      </c>
      <c r="D227" s="15" t="s">
        <v>1063</v>
      </c>
    </row>
    <row r="228" spans="1:4">
      <c r="A228" s="352" t="s">
        <v>1151</v>
      </c>
      <c r="B228" s="15" t="s">
        <v>1154</v>
      </c>
      <c r="C228" s="226" t="s">
        <v>1046</v>
      </c>
      <c r="D228" s="15" t="s">
        <v>1063</v>
      </c>
    </row>
    <row r="229" spans="1:4">
      <c r="A229" s="352" t="s">
        <v>1150</v>
      </c>
      <c r="B229" s="15" t="s">
        <v>1153</v>
      </c>
      <c r="C229" s="226" t="s">
        <v>1046</v>
      </c>
      <c r="D229" s="15" t="s">
        <v>1063</v>
      </c>
    </row>
    <row r="230" spans="1:4">
      <c r="A230" s="352" t="s">
        <v>1167</v>
      </c>
      <c r="B230" s="15" t="s">
        <v>1169</v>
      </c>
      <c r="C230" s="226" t="s">
        <v>1046</v>
      </c>
      <c r="D230" s="15" t="s">
        <v>1063</v>
      </c>
    </row>
    <row r="231" spans="1:4">
      <c r="A231" s="226" t="s">
        <v>1166</v>
      </c>
      <c r="B231" s="15" t="s">
        <v>1168</v>
      </c>
      <c r="C231" s="226" t="s">
        <v>1046</v>
      </c>
      <c r="D231" s="15" t="s">
        <v>1063</v>
      </c>
    </row>
    <row r="232" spans="1:4">
      <c r="A232" s="352" t="s">
        <v>1194</v>
      </c>
      <c r="B232" s="15" t="s">
        <v>1195</v>
      </c>
      <c r="C232" s="226" t="s">
        <v>1196</v>
      </c>
      <c r="D232" s="15" t="s">
        <v>1063</v>
      </c>
    </row>
    <row r="233" spans="1:4">
      <c r="A233" s="352" t="s">
        <v>1425</v>
      </c>
      <c r="B233" s="15" t="s">
        <v>1426</v>
      </c>
      <c r="C233" s="226" t="s">
        <v>1231</v>
      </c>
      <c r="D233" s="15" t="s">
        <v>1230</v>
      </c>
    </row>
    <row r="234" spans="1:4">
      <c r="A234" s="226" t="s">
        <v>774</v>
      </c>
      <c r="B234" t="s">
        <v>1246</v>
      </c>
      <c r="C234" s="316" t="s">
        <v>851</v>
      </c>
      <c r="D234" t="s">
        <v>851</v>
      </c>
    </row>
    <row r="235" spans="1:4">
      <c r="A235" s="226" t="s">
        <v>1184</v>
      </c>
      <c r="B235" t="s">
        <v>1246</v>
      </c>
      <c r="C235" s="226" t="s">
        <v>852</v>
      </c>
      <c r="D235" s="15" t="s">
        <v>1182</v>
      </c>
    </row>
    <row r="236" spans="1:4">
      <c r="A236" s="226" t="s">
        <v>788</v>
      </c>
      <c r="C236" s="226" t="s">
        <v>749</v>
      </c>
      <c r="D236" s="15" t="s">
        <v>775</v>
      </c>
    </row>
    <row r="237" spans="1:4">
      <c r="A237" s="226" t="s">
        <v>789</v>
      </c>
      <c r="C237" s="226" t="s">
        <v>749</v>
      </c>
      <c r="D237" s="15" t="s">
        <v>775</v>
      </c>
    </row>
    <row r="238" spans="1:4">
      <c r="A238" s="226" t="s">
        <v>1486</v>
      </c>
    </row>
    <row r="239" spans="1:4">
      <c r="A239" s="226" t="s">
        <v>1488</v>
      </c>
      <c r="B239" s="15" t="s">
        <v>1490</v>
      </c>
      <c r="C239" s="226" t="s">
        <v>846</v>
      </c>
      <c r="D239" s="15" t="s">
        <v>1411</v>
      </c>
    </row>
    <row r="240" spans="1:4">
      <c r="A240" s="226" t="s">
        <v>1511</v>
      </c>
      <c r="B240" s="15" t="s">
        <v>1516</v>
      </c>
      <c r="C240" s="226" t="s">
        <v>1196</v>
      </c>
      <c r="D240" s="15" t="s">
        <v>1521</v>
      </c>
    </row>
    <row r="241" spans="1:4">
      <c r="A241" s="226" t="s">
        <v>1512</v>
      </c>
      <c r="B241" s="15" t="s">
        <v>1517</v>
      </c>
      <c r="C241" s="226" t="s">
        <v>1196</v>
      </c>
      <c r="D241" s="15" t="s">
        <v>1521</v>
      </c>
    </row>
    <row r="242" spans="1:4">
      <c r="A242" s="226" t="s">
        <v>1513</v>
      </c>
      <c r="B242" s="15" t="s">
        <v>1518</v>
      </c>
      <c r="C242" s="226" t="s">
        <v>1196</v>
      </c>
      <c r="D242" s="15" t="s">
        <v>1521</v>
      </c>
    </row>
    <row r="243" spans="1:4">
      <c r="A243" s="226" t="s">
        <v>1514</v>
      </c>
      <c r="B243" s="15" t="s">
        <v>1519</v>
      </c>
      <c r="C243" s="226" t="s">
        <v>1196</v>
      </c>
      <c r="D243" s="15" t="s">
        <v>1521</v>
      </c>
    </row>
    <row r="244" spans="1:4">
      <c r="A244" s="226" t="s">
        <v>1515</v>
      </c>
      <c r="B244" s="15" t="s">
        <v>1520</v>
      </c>
      <c r="C244" s="226" t="s">
        <v>1196</v>
      </c>
      <c r="D244" s="15" t="s">
        <v>1521</v>
      </c>
    </row>
    <row r="245" spans="1:4">
      <c r="A245" s="226" t="s">
        <v>1530</v>
      </c>
      <c r="B245" s="15" t="s">
        <v>1531</v>
      </c>
      <c r="C245" s="226" t="s">
        <v>1532</v>
      </c>
    </row>
    <row r="246" spans="1:4">
      <c r="A246" s="226" t="s">
        <v>1539</v>
      </c>
      <c r="B246" s="15" t="s">
        <v>1538</v>
      </c>
      <c r="C246" s="226" t="s">
        <v>1062</v>
      </c>
    </row>
    <row r="247" spans="1:4">
      <c r="A247" s="226" t="s">
        <v>1540</v>
      </c>
      <c r="B247" s="15" t="s">
        <v>1537</v>
      </c>
      <c r="C247" s="226" t="s">
        <v>1062</v>
      </c>
    </row>
    <row r="248" spans="1:4">
      <c r="A248" s="226" t="s">
        <v>1544</v>
      </c>
      <c r="B248" s="15" t="s">
        <v>1581</v>
      </c>
      <c r="C248" s="226" t="s">
        <v>1578</v>
      </c>
    </row>
    <row r="249" spans="1:4">
      <c r="A249" s="226" t="s">
        <v>1547</v>
      </c>
      <c r="B249" s="15" t="s">
        <v>1580</v>
      </c>
      <c r="C249" s="226" t="s">
        <v>1578</v>
      </c>
    </row>
    <row r="250" spans="1:4">
      <c r="A250" s="226" t="s">
        <v>1553</v>
      </c>
      <c r="B250" s="15" t="s">
        <v>1582</v>
      </c>
      <c r="C250" s="226" t="s">
        <v>1578</v>
      </c>
    </row>
    <row r="251" spans="1:4">
      <c r="A251" s="226" t="s">
        <v>1562</v>
      </c>
      <c r="B251" s="15" t="s">
        <v>1583</v>
      </c>
      <c r="C251" s="226" t="s">
        <v>1578</v>
      </c>
    </row>
    <row r="252" spans="1:4">
      <c r="A252" s="441" t="s">
        <v>1550</v>
      </c>
      <c r="B252" s="15" t="s">
        <v>1584</v>
      </c>
      <c r="C252" s="226" t="s">
        <v>1578</v>
      </c>
    </row>
    <row r="253" spans="1:4">
      <c r="A253" s="226" t="s">
        <v>1556</v>
      </c>
      <c r="B253" s="15" t="s">
        <v>1586</v>
      </c>
      <c r="C253" s="226" t="s">
        <v>1578</v>
      </c>
    </row>
    <row r="254" spans="1:4">
      <c r="A254" s="226" t="s">
        <v>1559</v>
      </c>
      <c r="B254" s="15" t="s">
        <v>1585</v>
      </c>
      <c r="C254" s="226" t="s">
        <v>1578</v>
      </c>
    </row>
    <row r="255" spans="1:4">
      <c r="A255" s="226" t="s">
        <v>1565</v>
      </c>
      <c r="B255" s="15" t="s">
        <v>1587</v>
      </c>
      <c r="C255" s="226" t="s">
        <v>1578</v>
      </c>
    </row>
    <row r="256" spans="1:4">
      <c r="A256" s="226" t="s">
        <v>1569</v>
      </c>
      <c r="B256" t="s">
        <v>1588</v>
      </c>
      <c r="C256" s="226" t="s">
        <v>1578</v>
      </c>
    </row>
    <row r="257" spans="1:3">
      <c r="A257" s="226" t="s">
        <v>1573</v>
      </c>
      <c r="B257" t="s">
        <v>1589</v>
      </c>
      <c r="C257" s="226" t="s">
        <v>1578</v>
      </c>
    </row>
    <row r="258" spans="1:3">
      <c r="A258" s="226" t="s">
        <v>1568</v>
      </c>
      <c r="B258" t="s">
        <v>1590</v>
      </c>
      <c r="C258" s="226" t="s">
        <v>1578</v>
      </c>
    </row>
  </sheetData>
  <autoFilter ref="C1:C161" xr:uid="{4BF11E02-9A2B-4308-A21B-08AFA5864DAF}"/>
  <sortState xmlns:xlrd2="http://schemas.microsoft.com/office/spreadsheetml/2017/richdata2" ref="A2:D235">
    <sortCondition ref="A1:A235"/>
  </sortState>
  <phoneticPr fontId="26" type="noConversion"/>
  <hyperlinks>
    <hyperlink ref="C63" location="energy!A1" display="Energy" xr:uid="{4082AEDE-3F02-4092-BCF1-98B6BEBA590B}"/>
    <hyperlink ref="C167" location="energy!A1" display="Energy" xr:uid="{1ECDD8B1-1A71-4247-AFEA-5DE52EF63CBA}"/>
    <hyperlink ref="C7:C22" location="energy!A1" display="Energy" xr:uid="{2768BFE1-6179-43B3-8A95-B68D70C3F83D}"/>
    <hyperlink ref="C3" location="electricity!A1" display="Electricity" xr:uid="{FB550BE1-0312-4D3B-8948-0D31EEE02921}"/>
    <hyperlink ref="C24:C44" location="electricity!A1" display="Electricity" xr:uid="{CAF322CE-4DDD-4D2F-8F3A-A1AE49E2126A}"/>
    <hyperlink ref="C67" location="emissions!A1" display="Emission" xr:uid="{AA34F173-F421-4E4F-9A83-F9184D9F0458}"/>
    <hyperlink ref="A167" location="SOU_SH_Z_DOM_COAL" display="SOU_SH_Z_DOM_COAL" xr:uid="{CDB0F4B4-BF1A-4973-89E3-3BFC011675A1}"/>
    <hyperlink ref="A169" location="SOU_SH_Z_DOM_GAS" display="SOU_SH_Z_DOM_GAS" xr:uid="{5B780EB1-9A42-4B0B-9327-A689F52BD120}"/>
    <hyperlink ref="A172" location="SOU_SH_Z_DOM_OIL" display="SOU_SH_Z_DOM_OIL" xr:uid="{B8A69A20-11D9-4757-9D5B-389C3FE9D5D2}"/>
    <hyperlink ref="A171" location="SOU_SH_Z_DOM_NUC" display="SOU_SH_Z_DOM_NUC" xr:uid="{3479CE6D-5EF5-4757-8BEC-E9E429F4EFA2}"/>
    <hyperlink ref="A166" location="SOU_SH_Z_DOM_BIO" display="SOU_SH_Z_DOM_BIO" xr:uid="{E3C36236-144E-42F8-9872-778D4AC025A3}"/>
    <hyperlink ref="A168" location="SOU_SH_Z_DOM_ELEC" display="SOU_SH_Z_DOM_ELEC" xr:uid="{ECB974FA-6C0D-446A-8067-4499836D0EE2}"/>
    <hyperlink ref="A170" location="SOU_SH_Z_DOM_HEAT" display="SOU_SH_Z_DOM_HEAT" xr:uid="{F238E177-75A4-4C33-A308-0DD2ED51CAE7}"/>
    <hyperlink ref="A174" location="SOU_SH_Z_IMP_COAL" display="SOU_SH_Z_IMP_COAL" xr:uid="{437B7EFE-1328-45D6-A385-92E719E9893D}"/>
    <hyperlink ref="A176" location="SOU_SH_Z_IMP_GAS" display="SOU_SH_Z_IMP_GAS" xr:uid="{E6C0B0C1-7FC6-4A3E-9717-0F0A7C257426}"/>
    <hyperlink ref="A179" location="SOU_SH_Z_IMP_OIL" display="SOU_SH_Z_IMP_OIL" xr:uid="{7872D02C-A7AE-4365-A661-95BDC40C3154}"/>
    <hyperlink ref="A178" location="SOU_SH_Z_IMP_NUC" display="SOU_SH_Z_IMP_NUC" xr:uid="{B9A21168-938A-4638-8CB2-5752C7950197}"/>
    <hyperlink ref="A173" location="SOU_SH_Z_IMP_BIO" display="SOU_SH_Z_IMP_BIO" xr:uid="{1479C6C3-0F3A-48B7-ADC1-E5648F087A29}"/>
    <hyperlink ref="A175" location="SOU_SH_Z_IMP_ELEC" display="SOU_SH_Z_IMP_ELEC" xr:uid="{A1FD9194-B521-409E-9A0D-91460569C47F}"/>
    <hyperlink ref="A177" location="SOU_SH_Z_IMP_HEAT" display="SOU_SH_Z_IMP_HEAT" xr:uid="{AF20CF66-BF8E-40C1-8AA0-80ED6DA63C2D}"/>
    <hyperlink ref="A164" location="SOU_SH_FD_H" display="SOU_SH_FD_H" xr:uid="{E7296C77-BDCA-48F8-806E-2634EE38844A}"/>
    <hyperlink ref="A163" location="SOU_SH_FD_EX" display="SOU_SH_FD_EX" xr:uid="{07EEBBAC-832C-427A-A413-01B1F8BA41E0}"/>
    <hyperlink ref="A165" location="SOU_SH_FD_IMP" display="SOU_SH_FD_IMP" xr:uid="{DDF7FC3A-8822-4474-9EA0-EB59B4644F10}"/>
    <hyperlink ref="A3" location="a_dom_elec" display="a_dom_elec" xr:uid="{53FCF89E-683C-425C-96C0-6FCE36DAB95C}"/>
    <hyperlink ref="A5" location="a_imp_sh_elec" display="a_imp_sh_elec" xr:uid="{BAD5820E-9E2F-4310-ACAA-5A755B6F261B}"/>
    <hyperlink ref="A15" location="cap_const_init" display="cap_const_init" xr:uid="{6863463F-434C-4D28-90F7-3AB338118510}"/>
    <hyperlink ref="A16" location="cap_constr_init" display="cap_constr_init" xr:uid="{36A50BC4-C0B8-4162-B8A0-64D70E1F321F}"/>
    <hyperlink ref="A17" location="cap_init" display="cap_init" xr:uid="{005BFEEA-DF23-4271-A86F-E87176F86FE7}"/>
    <hyperlink ref="A23" location="cf_final" display="cf_final" xr:uid="{D55FC0FF-3DF1-4668-A244-C8B0782732C1}"/>
    <hyperlink ref="A59" location="efficiency_storage" display="efficiency_storage" xr:uid="{8B8983A5-4F3C-4781-BFE1-9A71943194BF}"/>
    <hyperlink ref="A74" location="final_charge_share" display="final_charge_share" xr:uid="{A1D620F8-6702-4470-B479-448B4FEFB43C}"/>
    <hyperlink ref="A78" location="generation_share_final" display="generation_share_final" xr:uid="{1AF9DB1F-3924-4C55-8635-5B292E6BFC27}"/>
    <hyperlink ref="A79" location="gfcf_shares" display="gfcf_shares" xr:uid="{72E76FB8-3151-4A5B-9B32-85EC2DDA8684}"/>
    <hyperlink ref="A80" location="gfcf_shares_battery" display="gfcf_shares_battery" xr:uid="{CDDAC9FE-34BE-4C7F-A82D-9839933D30DC}"/>
    <hyperlink ref="A81" location="gfcf_shares_p2g" display="gfcf_shares_p2g" xr:uid="{48C4B555-0E66-427C-8333-DE99273F7416}"/>
    <hyperlink ref="A89" location="init_cf" display="init_cf" xr:uid="{12DED20F-1E2F-43A7-933D-AF65BB6A3F64}"/>
    <hyperlink ref="A90" location="init_charge_share" display="init_charge_share" xr:uid="{457E5168-69B1-4D1C-B55F-A6C9504B4C72}"/>
    <hyperlink ref="A97" location="init_storage_cap" display="init_storage_cap" xr:uid="{AF7F34A2-C887-43C9-8DD0-B16C09EBC07F}"/>
    <hyperlink ref="A98" location="init_techn_sh" display="init_techn_sh" xr:uid="{D674593D-6EE8-45DD-8D5C-DA0220C7E33D}"/>
    <hyperlink ref="A120" location="lambda_elec" display="lambda_elec" xr:uid="{21530260-7CF8-420B-91D0-D0149565465D}"/>
    <hyperlink ref="A139" location="max_scale" display="max_scale" xr:uid="{6C92C604-2EB0-4E1B-BE89-0AE7878504B5}"/>
    <hyperlink ref="A181" location="storage_final_cf" display="storage_final_cf" xr:uid="{418602FC-217E-420F-A553-C61DFED5F788}"/>
    <hyperlink ref="A182" location="storage_init_cap_constr" display="storage_init_cap_constr" xr:uid="{EF6706D1-73A5-4282-94FB-45B7A5DAB670}"/>
    <hyperlink ref="A183" location="storage_init_cf" display="storage_init_cf" xr:uid="{A22989A5-8B5D-4556-AE46-C1F6B44FBA5B}"/>
    <hyperlink ref="A184" location="techn_sh_bat" display="techn_sh_bat" xr:uid="{B33F94AD-688E-4672-B046-2139BA62D1D2}"/>
    <hyperlink ref="A63" location="EM_SH_Z_DOM" display="EM_SH_Z_DOM" xr:uid="{A1EE936C-2670-4888-8C90-C596E6ABF22A}"/>
    <hyperlink ref="A64" location="EM_SH_Z_IMP" display="EM_SH_Z_IMP" xr:uid="{BEA894E7-5918-45EB-9E8D-F29E6084D4F8}"/>
    <hyperlink ref="A61" location="EM_SH_H" display="EM_SH_H" xr:uid="{75E7C039-C9C0-40AB-BAED-7547799CDC62}"/>
    <hyperlink ref="A60" location="EM_SH_EX" display="EM_SH_EX" xr:uid="{DEE7B7B3-7E2B-4FC2-8966-0A028E525D07}"/>
    <hyperlink ref="A62" location="EM_SH_IMP" display="EM_SH_IMP" xr:uid="{674760B8-AF98-4C9E-BADF-C68E8E6497B8}"/>
    <hyperlink ref="A104" location="INT_Z_DOM" display="INT_Z_DOM" xr:uid="{022ED2E9-1F90-4CD9-94C1-21D922D5784C}"/>
    <hyperlink ref="A105" location="INT_Z_IMP" display="INT_Z_IMP" xr:uid="{1E84CA50-3B41-4055-8FCD-576D17B11E1E}"/>
    <hyperlink ref="A102" location="INT_H" display="INT_H" xr:uid="{C1357FBB-421D-44C1-9577-E0769327A32D}"/>
    <hyperlink ref="A101" location="INT_EX" display="INT_EX" xr:uid="{F9F8A47B-2BC5-4B59-AD6A-18C47BD24FF1}"/>
    <hyperlink ref="A103" location="INT_IMP" display="INT_IMP" xr:uid="{7D9AE1B3-B292-48C5-89FF-85DCE0CC3B53}"/>
    <hyperlink ref="A58" location="E_SH_Z" display="E_SH_Z" xr:uid="{DF6C6A63-0D62-4AC3-97DC-E03671E7A0EC}"/>
    <hyperlink ref="A57" location="E_SH_H" display="E_SH_H" xr:uid="{CD05AA55-07E9-4656-A09B-51247AC5A515}"/>
    <hyperlink ref="A73" location="F_SH_Z" display="F_SH_Z" xr:uid="{EFF0EA90-4CAE-4C28-8DE1-F4C118F044F0}"/>
    <hyperlink ref="A72" location="F_SH_H" display="F_SH_H" xr:uid="{9275E3CE-D28D-4935-8D71-D6DC8C84DCF8}"/>
    <hyperlink ref="A67" location="EMIS_FAC" display="EMIS_FAC" xr:uid="{FF174C1D-1F1F-4504-8389-70B6F3D6AE7A}"/>
    <hyperlink ref="A214" location="u_mean_neg_norm" display="u_mean_neg_norm" xr:uid="{961AC6C6-C226-46EB-AD82-BC61AEE03E62}"/>
    <hyperlink ref="C214" location="technology!A1" display="technology" xr:uid="{FC8C9F15-9C68-491A-A0C8-F0313BB2E319}"/>
    <hyperlink ref="A217" location="u_median_neg_norm" display="u_median_neg_norm" xr:uid="{CDEA52B1-3E88-42AD-9FE2-DAB2233E8B83}"/>
    <hyperlink ref="C217" location="technology!A1" display="technology" xr:uid="{F1F17B0E-CB9F-45B7-B1B3-404362D39377}"/>
    <hyperlink ref="A220" location="u_sd_neg_norm" display="u_sd_neg_norm" xr:uid="{C14D5DE0-E6CD-459B-BA7D-A446FA064733}"/>
    <hyperlink ref="A215" location="u_mean_pos_norm" display="u_mean_pos_norm" xr:uid="{6F48F1BF-4FA2-465A-9974-91E46C3CD4B4}"/>
    <hyperlink ref="A218" location="u_median_pos_norm" display="u_median_pos_norm" xr:uid="{7662E5C4-E9B8-4147-9F07-D233B34C5CCC}"/>
    <hyperlink ref="A221" location="u_sd_pos_norm" display="u_sd_pos_norm" xr:uid="{AC093562-5636-4F22-AEE4-F97814157AAC}"/>
    <hyperlink ref="C62:C65" location="technology!A1" display="technology" xr:uid="{087A50C2-60D2-4F27-B24E-A4C060842FE1}"/>
    <hyperlink ref="A129" location="lp_norm_neg_mean" display="lp_norm_neg_mean" xr:uid="{026A17DD-DCA7-4C31-8BF9-6F5736DC3A6F}"/>
    <hyperlink ref="A130" location="lp_norm_neg_median" display="lp_norm_neg_median" xr:uid="{C503C0DB-FE4B-4B21-AE54-1F7A7701F138}"/>
    <hyperlink ref="A131" location="lp_norm_neg_sd" display="lp_norm_neg_sd" xr:uid="{D2A5EFA0-1C5B-496A-9746-F37E6C3C28B1}"/>
    <hyperlink ref="A132" location="lp_norm_pos_mean" display="lp_norm_pos_mean" xr:uid="{601A14AF-5840-4C05-A0E7-D83B6D706F9A}"/>
    <hyperlink ref="A133" location="lp_norm_pos_median" display="lp_norm_pos_median" xr:uid="{B3CDA311-3897-4621-A5A4-7450548C2BBC}"/>
    <hyperlink ref="A134" location="lp_norm_pos_sd" display="lp_norm_pos_sd" xr:uid="{CB56B90B-5197-4ABA-B199-920CC0DFAD2D}"/>
    <hyperlink ref="C66:C71" location="technology!A1" display="technology" xr:uid="{29B0A877-1629-4588-A562-431C8DC3DBB2}"/>
    <hyperlink ref="A211" location="ttm" display="ttm" xr:uid="{7ECA0F6B-A496-4EF8-98C2-33BD1A29BC8E}"/>
    <hyperlink ref="A212" location="ttm_shares" display="ttm_shares" xr:uid="{2AC23CED-2F2B-49C4-8DDF-E82A209D6D56}"/>
    <hyperlink ref="A188" location="tls" display="tls" xr:uid="{DC98F085-2B68-411E-9278-C618B056A289}"/>
    <hyperlink ref="C211" location="prices!A1" display="prices" xr:uid="{77958172-45FA-49A6-94BE-B46B7417850D}"/>
    <hyperlink ref="C73:C74" location="prices!A1" display="prices" xr:uid="{2554DE8F-B867-411B-B511-EBBCB7A1CD41}"/>
    <hyperlink ref="C2:C5" location="inputoutput!A1" display="Inputoutput" xr:uid="{07FE8517-7C3C-4915-A58B-B086E7A41540}"/>
    <hyperlink ref="C107" location="investments!A1" display="Investments" xr:uid="{B5880D2D-F9BD-46B2-975E-C8DDEEF4A25D}"/>
    <hyperlink ref="C71" location="prices!A1" display="prices" xr:uid="{3E41D8C2-1E9E-46A0-A814-3B8A6AE86221}"/>
    <hyperlink ref="A71" location="Extract" display="Extract" xr:uid="{2512A457-FF3A-4676-994A-98214937ABA2}"/>
    <hyperlink ref="C162" location="labour!A1" display="labour" xr:uid="{1CE24D45-CFC2-4D6D-9C46-DFC9A0194695}"/>
    <hyperlink ref="A162" location="skillsh_imp" display="skillsh_imp" xr:uid="{E1901081-1AE7-4F12-A386-D98A915002F3}"/>
    <hyperlink ref="C48" location="covid!A1" display="covid" xr:uid="{9E358376-E7BC-4BB5-8DC3-F4BA87CA9AE3}"/>
    <hyperlink ref="C78:C79" location="covid!A1" display="covid" xr:uid="{0D3081DC-1349-4673-AE4C-ECE9F7B3EF65}"/>
    <hyperlink ref="A48" location="covid_lfpr_2020" display="covid_lfpr_2020" xr:uid="{2A898381-3860-4C4D-9806-BC2B21BD1BFF}"/>
    <hyperlink ref="A49" location="covid_lfpr_2021" display="covid_lfpr_2021" xr:uid="{F3BFA061-F8C0-48A1-B319-89F80739A245}"/>
    <hyperlink ref="A50" location="covid_lfpr_2022" display="covid_lfpr_2022" xr:uid="{0C259C5C-22AB-42B2-BB16-23CD75E9F996}"/>
    <hyperlink ref="C80:C82" location="covid!A1" display="covid" xr:uid="{55E54ADE-C7EB-463F-ABFF-E5B583C0A1FE}"/>
    <hyperlink ref="A36" location="covid_cons_2020" display="covid_cons_2020" xr:uid="{6BAA6729-BDDD-4773-AC76-8D3C820A04FC}"/>
    <hyperlink ref="A37" location="covid_cons_2021" display="covid_cons_2021" xr:uid="{A002397C-07C4-45C9-9247-6578BBF8C94A}"/>
    <hyperlink ref="A38" location="covid_cons_2022" display="covid_cons_2022" xr:uid="{C43E3813-1973-42D1-84DF-0B22361B71D9}"/>
    <hyperlink ref="C83:C85" location="covid!A1" display="covid" xr:uid="{B5A35DA0-0AE7-47BB-895B-9D9C376578F6}"/>
    <hyperlink ref="A42" location="covid_gov_2020" display="covid_gov_2020" xr:uid="{87A814DD-D209-4FDD-8737-FD97F0B82C07}"/>
    <hyperlink ref="A43" location="covid_gov_2021" display="covid_gov_2021" xr:uid="{0D9865C7-5D6A-4AFA-B892-058FC76C6530}"/>
    <hyperlink ref="A44" location="covid_gov_2022" display="covid_gov_2022" xr:uid="{0BC86170-1CF0-4D9E-8A41-A28CE09FF908}"/>
    <hyperlink ref="C86:C88" location="covid!A1" display="covid" xr:uid="{1B7ECEC3-50CE-459C-BD75-F046F75DB1DC}"/>
    <hyperlink ref="A39" location="covid_exp_2020" display="covid_exp_2020" xr:uid="{7148221F-8840-438F-B83D-86AA1F247DA3}"/>
    <hyperlink ref="A40" location="covid_exp_2021" display="covid_exp_2021" xr:uid="{34629E04-CA4D-403D-8B2D-4042B8411B1A}"/>
    <hyperlink ref="A41" location="covid_exp_2022" display="covid_exp_2022" xr:uid="{BBB178B5-1296-4894-A9DA-F4C9BB84152A}"/>
    <hyperlink ref="C89:C91" location="covid!A1" display="covid" xr:uid="{4AD3251A-0D09-45FA-91AA-78248D23FE9B}"/>
    <hyperlink ref="A45" location="covid_inv_2020" display="covid_inv_2020" xr:uid="{E2FF4B56-2D3C-40DD-8AD7-F8F04DCBBC26}"/>
    <hyperlink ref="A46" location="covid_inv_2021" display="covid_inv_2021" xr:uid="{2614D81C-8F37-457F-8B4B-94E1C64B65A4}"/>
    <hyperlink ref="A47" location="covid_inv_2022" display="covid_inv_2022" xr:uid="{EDC0BD42-5729-46DE-97BD-885A38E830B4}"/>
    <hyperlink ref="C123" location="labour!A1" display="labour" xr:uid="{2B290487-FFC2-4FB3-8D99-28CB6302554E}"/>
    <hyperlink ref="A123" location="lfpr_initial" display="lfpr_initial" xr:uid="{6960ADBC-C115-40A2-868B-32DCF108C687}"/>
    <hyperlink ref="A156" location="sens_skill_cs" display="sens_skill_cs" xr:uid="{F16972B6-A44F-4646-B2FA-8E60D923DBE7}"/>
    <hyperlink ref="A207" location="trends_skills_female" display="trends_skills_female" xr:uid="{2A7AD0B1-F07B-4B43-A8B2-70E74E57EC1A}"/>
    <hyperlink ref="A208" location="trends_skills_male" display="trends_skills_male" xr:uid="{CD4B4D9E-33CE-41CF-B047-7D19D5E77D05}"/>
    <hyperlink ref="C93:C95" location="labour!A1" display="labour" xr:uid="{95B231E1-B571-4D14-A846-978D0DE3B239}"/>
    <hyperlink ref="C96:C98" location="labour!A1" display="labour" xr:uid="{35A7FDB9-2F18-48F8-952D-DDA7B884FB4C}"/>
    <hyperlink ref="A94" location="init_skill_shares_female" display="init_skill_shares_female" xr:uid="{03A9FB4F-9B18-4DCC-9467-187C658A1CDC}"/>
    <hyperlink ref="A95" location="init_skill_shares_male" display="init_skill_shares_male" xr:uid="{07092F55-710E-4717-89AE-C4E4CD3EE044}"/>
    <hyperlink ref="A124" location="lfpr_trends" display="lfpr_trends" xr:uid="{4F0298EE-2A31-48A8-9C68-3513BAC80A24}"/>
    <hyperlink ref="C99:C101" location="labour!A1" display="labour" xr:uid="{FC409AB3-31A8-498E-A388-B19B5CD0EC47}"/>
    <hyperlink ref="A229" location="wdispm" display="wdispm" xr:uid="{C57E27BA-17D9-4614-8CAF-2EA8D7878B67}"/>
    <hyperlink ref="A228" location="wdispf" display="wdispf" xr:uid="{95DEC416-8BAF-456B-8BD9-C355F4D4A9B4}"/>
    <hyperlink ref="A99" location="init_timeuse" display="init_timeuse" xr:uid="{41938B98-61A8-48B4-8CA0-0875CAD3A5F9}"/>
    <hyperlink ref="C99" location="timeuse!A1" display="timeuse" xr:uid="{A28FAEFC-638D-4661-81A4-4B32046EC646}"/>
    <hyperlink ref="C135" location="labour!A1" display="labour" xr:uid="{61744AB3-1665-46A7-B43B-D00354B42963}"/>
    <hyperlink ref="A135" location="maleshareinit" display="maleshareinit" xr:uid="{D2BDEDE0-7E7E-450D-BD42-F7A44134A1E2}"/>
    <hyperlink ref="A136" location="malesharetrend" display="malesharetrend" xr:uid="{115A9D91-B3B9-4B38-97D8-E800D639B680}"/>
    <hyperlink ref="C103:C107" location="labour!A1" display="labour" xr:uid="{F3A9F4A8-3D44-4F8C-B4FF-E26F79DE6C9A}"/>
    <hyperlink ref="A160" location="skilldist_init" display="skilldist_init" xr:uid="{7FF008B2-A0FA-4E1A-8368-5E48F76F0BE7}"/>
    <hyperlink ref="A161" location="skilldisttrend" display="skilldisttrend" xr:uid="{3910E4F1-37C1-4286-ACCD-7649F17ED2F0}"/>
    <hyperlink ref="A231" location="winitm" display="winitm" xr:uid="{CFF170C1-AA84-4CA1-AAC0-CA767D2D2624}"/>
    <hyperlink ref="A230" location="winitf" display="winitf" xr:uid="{FD0E69BB-1F75-486D-AFF8-8D7F3AE201A7}"/>
    <hyperlink ref="A83" location="H_DOM_INIT" display="H_DOM_INIT" xr:uid="{BFCA17F3-393A-4C25-AC20-FA223FD51071}"/>
    <hyperlink ref="A92" location="init_gov_c_dom" display="init_gov_c_dom" xr:uid="{ACE0960E-71D3-49A0-A5F7-6C19D37A6E37}"/>
    <hyperlink ref="A84" location="inputoutput!H_IMP_INIT" display="H_IMP_INIT" xr:uid="{901E01FF-9B57-49B0-B123-53A6CD3145D9}"/>
    <hyperlink ref="A2" location="A_DOM" display="A_DOM" xr:uid="{C3CB129B-31B1-4449-9B60-4553D664C4F0}"/>
    <hyperlink ref="A4" location="A_IMP_SH" display="A_IMP_SH" xr:uid="{FF4C31AE-08D8-44C6-AA00-FD0390A3F59B}"/>
    <hyperlink ref="A85" location="I_MAT" display="I_MAT" xr:uid="{24B07DA6-529A-4FDE-A248-AE4D85E39657}"/>
    <hyperlink ref="A86" location="id" display="id" xr:uid="{0E7C9828-A281-48D8-95E9-D6297E5D8316}"/>
    <hyperlink ref="A87" location="imposhares_z" display="Impshares_z" xr:uid="{E2C1D6D2-78DC-4524-8055-31B4111D477F}"/>
    <hyperlink ref="A235" location="znominit" display="znominit" xr:uid="{433C4309-6554-44FD-82EA-316E177D3DAD}"/>
    <hyperlink ref="A144" location="Output" display="Output" xr:uid="{5DCC9A55-24A6-44C7-8ACA-08A5210A9894}"/>
    <hyperlink ref="A234" location="Z_init" display="Z_Init" xr:uid="{9EF5C8FC-90E9-48A9-A456-F61DB79D0331}"/>
    <hyperlink ref="A186" location="time" display="time" xr:uid="{02565484-80C7-48DC-B66D-72E4B1110AAF}"/>
    <hyperlink ref="A193" location="trend_exp" display="trend_exp" xr:uid="{96C5717C-88ED-4D69-9BBE-792A82D50107}"/>
    <hyperlink ref="A194" location="trend_gov" display="trend_gov" xr:uid="{2AC66F72-452F-46CA-BABE-3B260CAF4EAE}"/>
    <hyperlink ref="A195" location="trend_impsh_gfcf" display="trend_impsh_gfcf" xr:uid="{73A77DE8-34FA-43F3-9722-46CC777367A4}"/>
    <hyperlink ref="A197" location="trend_impsh_hhs" display="trend_impsh_hhs" xr:uid="{0ACE4439-C2FD-4B75-ADD2-AAD0DE242F4A}"/>
    <hyperlink ref="A107" location="investment_matrix" display="Investment_Matrix" xr:uid="{F327187E-B808-48F1-B3EF-CA895FD26619}"/>
    <hyperlink ref="C86" location="inputoutput!A1" display="inputoutput" xr:uid="{E88E7674-74C6-41C8-A0BB-599287E36BE6}"/>
    <hyperlink ref="C160:C161" location="inputoutput!A1" display="inputoutput" xr:uid="{6A4781CC-E414-4578-97E1-F43ED532074D}"/>
    <hyperlink ref="A52" location="e_1" display="e_1" xr:uid="{0522F4CA-6B66-461A-B979-AD09CCD016D4}"/>
    <hyperlink ref="A53" location="e_2" display="e_2" xr:uid="{32BA9600-20B9-4925-BDA6-22B0B1A3AD26}"/>
    <hyperlink ref="A54" location="e_3" display="e_3" xr:uid="{3D218910-0991-41F2-9B0A-62134E3C5A92}"/>
    <hyperlink ref="A55" location="e_4" display="e_4" xr:uid="{CE7FE0AB-32DB-4D8C-9FB4-EA057576A177}"/>
    <hyperlink ref="A56" location="e_5" display="e_5" xr:uid="{41FD64A0-249A-424F-B9FC-71B650A9DDC0}"/>
    <hyperlink ref="A232" location="yd" display="yd" xr:uid="{AE12A212-D514-4D25-91DA-A76E70E9684A}"/>
    <hyperlink ref="A96" location="init_static_exp_yd" display="init_static_exp_yd" xr:uid="{C9635177-01B9-46E7-8B1D-F023726AB5AB}"/>
    <hyperlink ref="A91" location="init_dynamic_exp_yd" display="init_dynamic_exp_yd" xr:uid="{838731DE-11C0-492F-882F-0C2A36B31781}"/>
    <hyperlink ref="C52" location="regions!A1" display="regions" xr:uid="{ECF195B5-F310-4464-AD4F-0C5A0FFA4022}"/>
    <hyperlink ref="C109:C115" location="regions!A1" display="regions" xr:uid="{E4F60E8F-EC00-448A-9DF9-470679DA75A7}"/>
    <hyperlink ref="C116:C117" location="regions!A1" display="regions" xr:uid="{463EFC74-5016-4F5B-AA88-FD2746F5546C}"/>
    <hyperlink ref="A142" location="num_hhs_init" display="num_hhs_init" xr:uid="{46014918-2910-4F6D-AE27-B112754241DF}"/>
    <hyperlink ref="A143" location="num_hhs_init_calib" display="num_hhs_init_calib" xr:uid="{90F450FD-FC3B-4054-8461-E941719D09FF}"/>
    <hyperlink ref="C151" location="regions!A1" display="regions" xr:uid="{5109CBB0-2E9C-4057-A4EC-635AFB272EA7}"/>
    <hyperlink ref="A151" location="pw_ratios" display="pw_ratios" xr:uid="{A6C250F2-4367-45D0-9EF5-AB50A8FEDA0C}"/>
    <hyperlink ref="C119:C120" location="regions!A1" display="regions" xr:uid="{263493C5-5331-4AEC-9419-156F67B0C91B}"/>
    <hyperlink ref="A100" location="initial_profits_nifi_r" display="initial_profits_nifi_r" xr:uid="{E6AD8932-9EA1-4F6A-843A-9057B57974C9}"/>
    <hyperlink ref="A148" location="profits_nifi_shares" display="profits_nifi_shares" xr:uid="{E0DE62FA-D629-441F-B691-2A7BB574631B}"/>
    <hyperlink ref="C155" location="emissionstrading!A1" display="emissionstrading" xr:uid="{89E746B3-E8C4-4717-9FD1-5401FFE407F3}"/>
    <hyperlink ref="C122:C124" location="emissionstrading!A1" display="emissionstrading" xr:uid="{8CCEC3C9-F404-4143-9B0C-B16BF9CC4FA8}"/>
    <hyperlink ref="A155" location="select_ets" display="select_ets" xr:uid="{7346ADCE-7904-4FEC-9D04-37C1BD7480EE}"/>
    <hyperlink ref="A185" location="time" display="time" xr:uid="{C048462F-9B51-46DE-8636-78B666254A66}"/>
    <hyperlink ref="A75" location="free_ets" display="free_ets" xr:uid="{6351CB4B-C7FC-4FDD-9D76-CDC2B8157137}"/>
    <hyperlink ref="A191" location="total_allowances" display="total_allowances" xr:uid="{592414AD-62A1-4253-94ED-DF27866A214D}"/>
    <hyperlink ref="C88" location="consumption!A1" display="consumption" xr:uid="{52B0A122-ABB5-4FF0-87BC-FB5A2E1DB667}"/>
    <hyperlink ref="C126:C127" location="consumption!A1" display="consumption" xr:uid="{A202EE2E-44AB-4A11-B7BD-3CF8DE31FA58}"/>
    <hyperlink ref="A88" location="ind_to_coicop" display="ind_to_coicop" xr:uid="{9CA7AC04-DDB6-413E-8431-1EA453568347}"/>
    <hyperlink ref="A31" location="coicop_to_ind" display="coicop_to_ind" xr:uid="{F9902830-1D6A-4920-B9EB-1C4B1BDF6A32}"/>
    <hyperlink ref="A32" location="cons_coicop_initial" display="cons_coicop_initial" xr:uid="{0E64D410-B467-460D-98B7-6197A8C60E72}"/>
    <hyperlink ref="A196" location="trend_impsh_gov" display="trend_impsh_gov" xr:uid="{130B2794-1BB7-4401-914C-A1F37080DAB1}"/>
    <hyperlink ref="A198" location="trend_impsh_z" display="trend_impsh_z" xr:uid="{C8DB67CF-7A14-4EAF-A180-5B5BA11CB93B}"/>
    <hyperlink ref="A18" location="cat_shares_q1" display="cat_shares_q1" xr:uid="{C6D363B3-2F8F-40CF-8AF9-4E81D1601A00}"/>
    <hyperlink ref="A19" location="cat_shares_q2" display="cat_shares_q2" xr:uid="{B9BB81B6-E656-4C71-B495-8296527D3E15}"/>
    <hyperlink ref="A20" location="cat_shares_q3" display="cat_shares_q3" xr:uid="{B7DB848D-C80F-4C7E-AFA6-364E2774D2C8}"/>
    <hyperlink ref="A21" location="cat_shares_q4" display="cat_shares_q4" xr:uid="{DBEA6FBB-10A2-410F-91BE-BDCFBB8FF744}"/>
    <hyperlink ref="A22" location="cat_shares_q5" display="cat_shares_q5" xr:uid="{7DF135EB-494B-44E7-9FA3-762173430311}"/>
    <hyperlink ref="A24" location="child_shares_q1" display="child_shares_q1" xr:uid="{655AC44F-36E5-4A18-9531-AB0EE77C92BF}"/>
    <hyperlink ref="A25" location="child_shares_q2" display="child_shares_q2" xr:uid="{FCCCB4E5-0B32-44D0-A6FE-E3A3D3319DF2}"/>
    <hyperlink ref="A26" location="child_shares_q3" display="child_shares_q3" xr:uid="{145F7FB5-2F9B-4EE9-9C3B-0A6645AC5932}"/>
    <hyperlink ref="A27" location="child_shares_q4" display="child_shares_q4" xr:uid="{EEF25C27-2148-4BBF-B170-525E1400343C}"/>
    <hyperlink ref="A28" location="child_shares_q5" display="child_shares_q5" xr:uid="{7D24B61C-8F5E-4F51-8E3D-8906F98BBE83}"/>
    <hyperlink ref="C18" location="regions!A1" display="regions" xr:uid="{E6258768-2159-4016-BF11-B1BBFA1EF00E}"/>
    <hyperlink ref="C130:C138" location="regions!A1" display="regions" xr:uid="{4311FD13-FB19-4E88-80A3-E68B726C07A7}"/>
    <hyperlink ref="A147" location="Piemonte_yd" display="Piemonte_yd" xr:uid="{6BA68293-3087-4B30-9489-1FADA63A6964}"/>
    <hyperlink ref="A225" location="Valle_yd" display="Valle_yd" xr:uid="{10E37FAD-FA02-4ACF-A593-F2A83B7CA92D}"/>
    <hyperlink ref="A128" location="Lombardia_yd" display="Lombardia_yd" xr:uid="{CC466767-7391-470B-940E-11648A9DC9A6}"/>
    <hyperlink ref="A210" location="Trentino_yd" display="Trentino_yd" xr:uid="{7E955A47-645C-4B65-AE90-5F6E561C96D2}"/>
    <hyperlink ref="A227" location="Veneto_yd" display="Veneto_yd" xr:uid="{FA899110-AA9A-4473-9B91-1C6E26697B99}"/>
    <hyperlink ref="A77" location="Friuli_yd" display="Friuli_yd" xr:uid="{D1718300-7B7F-4FBB-A361-D4BDB7D8CAA0}"/>
    <hyperlink ref="A126" location="Liguria_yd" display="Liguria_yd" xr:uid="{17033F19-F72E-4028-A423-C9DDEDBAB0D3}"/>
    <hyperlink ref="A66" location="Emilia_yd" display="Emilia_yd" xr:uid="{6F67488B-DCF4-4311-9522-3BBDF65A9B20}"/>
    <hyperlink ref="A190" location="Toscana_yd" display="Toscana_yd" xr:uid="{7D9C426F-D142-41DC-AE7D-7AE2BC858C29}"/>
    <hyperlink ref="A223" location="Umbria_yd" display="Umbria_yd" xr:uid="{D0FC1601-B3ED-40D9-88F0-D955F903A855}"/>
    <hyperlink ref="A138" location="Marche_yd" display="Marche_yd" xr:uid="{10E55E1C-5461-4F28-A0B7-539977736FAA}"/>
    <hyperlink ref="A122" location="Lazio_yd" display="Lazio_yd" xr:uid="{2637EFA5-CCB9-401E-8B40-B0D74D86E4A3}"/>
    <hyperlink ref="A7" location="Abruzzo_yd" display="Abruzzo_yd" xr:uid="{3833E3DE-8855-467F-B0D2-1F2C2C0B9EE5}"/>
    <hyperlink ref="A141" location="Molise_yd" display="Molise_yd" xr:uid="{9C3A0CFE-F64A-4169-B020-6889D5F2A72E}"/>
    <hyperlink ref="A14" location="Campania_yd" display="Campania_yd" xr:uid="{0935FFB8-8934-48BF-AF82-AD818C325821}"/>
    <hyperlink ref="A150" location="Puglia_yd" display="Puglia_yd" xr:uid="{078F0FC1-13D3-4DDC-998A-5D9EC6D0BE30}"/>
    <hyperlink ref="A10" location="Basilicata_yd" display="Basilicata_yd" xr:uid="{24D6FC6C-27D3-4D02-93C3-158CE631076B}"/>
    <hyperlink ref="A12" location="Calabria_yd" display="Calabria_yd" xr:uid="{DDFA5514-6D7C-4DE0-908F-850766A71F64}"/>
    <hyperlink ref="A159" location="Sicilia_yd" display="Sicilia_yd" xr:uid="{63B93B69-236F-4EA7-A014-EC4C75A54B82}"/>
    <hyperlink ref="A154" location="Sardegna_yd" display="Sardegna_yd" xr:uid="{0016723A-7E20-4C2A-A06F-154084D3BBBB}"/>
    <hyperlink ref="A146" location="Piemonte_alpha" display="Piemonte_alpha" xr:uid="{232C8ADE-0A1D-4AAD-B07C-0C41A8DD977B}"/>
    <hyperlink ref="A224" location="Valle_alpha" display="Valle_alpha" xr:uid="{46A6720E-84F6-4FC4-9734-AFBB75BFDDE7}"/>
    <hyperlink ref="A127" location="Lombardia_alpha" display="Lombardia_alpha" xr:uid="{335A6EE5-AD1B-43DB-807D-A64C5AE7477E}"/>
    <hyperlink ref="A209" location="Trentino_alpha" display="Trentino_alpha" xr:uid="{F048717D-EC00-4FF5-A45C-EAB7A3E5D05B}"/>
    <hyperlink ref="A226" location="Veneto_alpha" display="Veneto_alpha" xr:uid="{4658F415-89FD-4DFE-9FF6-9669B9D2C58E}"/>
    <hyperlink ref="A76" location="Friuli_alpha" display="Friuli_alpha" xr:uid="{344CD4A1-663C-48B6-A196-5C506DF5A29F}"/>
    <hyperlink ref="A125" location="Liguria_alpha" display="Liguria_alpha" xr:uid="{2A70F1C8-C3BA-4911-A0D4-A80123A734CA}"/>
    <hyperlink ref="A65" location="Emilia_alpha" display="Emilia_alpha" xr:uid="{2C5B4E87-7CCF-48F1-9F0C-2C85522093DD}"/>
    <hyperlink ref="A189" location="Toscana_alpha" display="Toscana_alpha" xr:uid="{E5FF0DCF-B165-4378-B25A-436A2500073C}"/>
    <hyperlink ref="A222" location="Umbria_alpha" display="Umbria_alpha" xr:uid="{20141E79-BA22-4B99-B405-303DC5ECB718}"/>
    <hyperlink ref="A137" location="Marche_alpha" display="Marche_alpha" xr:uid="{84010EF7-42D7-4A17-9177-BBB2D18B2396}"/>
    <hyperlink ref="A121" location="Lazio_alpha" display="Lazio_alpha" xr:uid="{39EDE5E6-D021-4836-AB6C-A99BF573992B}"/>
    <hyperlink ref="A6" location="Abruzzo_alpha" display="Abruzzo_alpha" xr:uid="{3265E112-D783-4E94-B69D-93903C976E6D}"/>
    <hyperlink ref="A140" location="Molise_alpha" display="Molise_alpha" xr:uid="{E0319795-ED3B-4185-816D-DE51F2774994}"/>
    <hyperlink ref="A13" location="Campania_alpha" display="Campania_alpha" xr:uid="{6BB03654-C735-4596-A927-B8581CF70B03}"/>
    <hyperlink ref="A149" location="Puglia_alpha" display="Puglia_alpha" xr:uid="{3E1E5495-7A0F-420D-8A6F-078921CFD4DC}"/>
    <hyperlink ref="A9" location="Basilicata_alpha" display="Basilicata_alpha" xr:uid="{47ABE7DF-C0C1-4A9C-A5D7-2F12724EA216}"/>
    <hyperlink ref="A11" location="Calabria_alpha" display="Calabria_alpha" xr:uid="{C900498A-BF70-48E5-B462-629E18CD47D2}"/>
    <hyperlink ref="A158" location="Sicilia_alpha" display="Sicilia_alpha" xr:uid="{8D53B91B-FD8C-4CD9-AAA4-0FA898C8EED0}"/>
    <hyperlink ref="A153" location="Sardegna_alpha" display="Sardegna_alpha" xr:uid="{ECFFFE86-796E-451A-B974-31411602F1BD}"/>
    <hyperlink ref="A8" location="avg_hh_members" display="avg_hh_members" xr:uid="{8E955F0A-D4BA-42E7-B1C4-EDEFC7EE1166}"/>
    <hyperlink ref="C82" location="energy!A1" display="Energy" xr:uid="{25EECE64-C5DF-4ADA-AD6D-9D693523DBE3}"/>
    <hyperlink ref="C203:C205" location="energy!A1" display="Energy" xr:uid="{94984537-9F1F-4E38-89C0-9B5ED0656E7C}"/>
    <hyperlink ref="A82" location="gov_shocks" display="gov_shocks" xr:uid="{4215C5CF-BEAF-413C-AC32-D5E54224DFEE}"/>
    <hyperlink ref="A106" location="inv_shocks" display="inv_shocks" xr:uid="{EFE0F5EC-6F02-4B5C-9F09-5E92DB6C8966}"/>
    <hyperlink ref="A70" location="exp_shocks" display="exp_shocks" xr:uid="{054A3C9F-49E9-43AE-9418-795AE2A80E29}"/>
    <hyperlink ref="A33" location="cons_shocks" display="cons_shocks" xr:uid="{EE4AAA8F-76B1-4D35-AFA2-9652D4B82922}"/>
    <hyperlink ref="C114" location="energy!A1" display="Energy" xr:uid="{F4B5247A-F9C3-4966-87B1-098871F63840}"/>
    <hyperlink ref="A114" location="L_imp_int_ii_coal" display="L_imp_int_ii_coal" xr:uid="{D2557DD0-EA7A-4865-A5F1-67D844D5FCDD}"/>
    <hyperlink ref="A116" location="L_imp_int_ii_gas" display="L_imp_int_ii_gas" xr:uid="{23204A90-09CC-443F-A476-F77FD54AEBB7}"/>
    <hyperlink ref="A119" location="L_imp_int_ii_oil" display="L_imp_int_ii_oil" xr:uid="{FA512DDB-C34D-48C8-9286-95772B467745}"/>
    <hyperlink ref="A113" location="L_imp_int_ii_bio" display="L_imp_int_ii_bio" xr:uid="{B6FC3DAC-88B3-4005-8C24-06485B0BABDD}"/>
    <hyperlink ref="A115" location="L_imp_int_ii_elec" display="L_imp_int_ii_elec" xr:uid="{E4847DCB-BB9A-4650-A5DD-B0771009017A}"/>
    <hyperlink ref="A117" location="L_imp_int_ii_heat" display="L_imp_int_ii_heat" xr:uid="{54CE57AD-511A-470E-934D-93B2059E5E09}"/>
    <hyperlink ref="A118" location="L_imp_int_ii_nuclear" display="L_imp_int_ii_nuclear" xr:uid="{F1EBC47C-7038-4507-812F-2B8A30D94E1E}"/>
    <hyperlink ref="A112" location="L_imp_dom_ratio" display="L_imp_dom_ratio" xr:uid="{BDD47780-F455-40C4-BEC3-744086ED0AD4}"/>
    <hyperlink ref="A68" location="ereu_fd_nrg" display="ereu_fd_nrg" xr:uid="{BFC4076D-3F10-423D-A75C-DB18237CA07D}"/>
    <hyperlink ref="C30" location="prices!A1" display="prices" xr:uid="{EA377E4B-0A8F-476D-B8A8-DB5268F1F6C2}"/>
    <hyperlink ref="C216:C217" location="prices!A1" display="prices" xr:uid="{FD48EEC7-F46B-4E4E-94CF-EC3AE4C6D92F}"/>
    <hyperlink ref="A30" location="coeff_prices" display="coeff_prices" xr:uid="{51173F97-8471-4CB9-9ADE-37E6B38F58A6}"/>
    <hyperlink ref="A29" location="coeff_inc" display="coeff_inc" xr:uid="{7EAEACC5-59F9-44CD-868F-88FEB30749A3}"/>
    <hyperlink ref="A34" location="constant" display="constant" xr:uid="{4E324BE3-FB9C-49EC-9AD9-5AC6B241F1FF}"/>
    <hyperlink ref="C207:C214" location="energy!A1" display="Energy" xr:uid="{AC662605-C795-43D3-AE21-509E782CBBB5}"/>
    <hyperlink ref="A51" location="deciles" display="deciles" xr:uid="{59E3A879-776D-4E56-A3F1-144C3B462515}"/>
    <hyperlink ref="A152" location="rents_share_r" display="rents_share_r" xr:uid="{E4BE029E-CDD8-4340-A8C8-4A86FDCDFF48}"/>
    <hyperlink ref="A157" location="share_selfemp_income" display="share_selfemp_income" xr:uid="{E5DC4286-2262-46B8-B624-D2317E9B6A0D}"/>
    <hyperlink ref="C233" location="regions!A1" display="regions" xr:uid="{7533DC0E-685E-4128-80ED-78D8D21EF935}"/>
    <hyperlink ref="C145" location="regions!A1" display="regions" xr:uid="{26F9F2D3-037B-48CA-A473-1641735BA405}"/>
    <hyperlink ref="C187" location="regions!A1" display="regions" xr:uid="{6439FEBE-4C7F-4BDB-91B6-3BBA57723DAC}"/>
    <hyperlink ref="A233" location="year_free_ets_phaseout" display="year_free_ets_phaseout" xr:uid="{97800764-AC23-4152-80CA-A6BE3CE412DE}"/>
    <hyperlink ref="A145" location="p_ets_forecast" display="p_ets_forecast" xr:uid="{8D69501A-032E-4679-B54F-0579A9396053}"/>
    <hyperlink ref="A187" location="time_p_ets" display="time_p_ets" xr:uid="{AB69357C-7368-45EA-AC83-7CE2B3F5EA43}"/>
    <hyperlink ref="C201" location="energy!A1" display="Energy" xr:uid="{EDBEF23D-BA32-4EA5-AF5E-7D686B4071B1}"/>
    <hyperlink ref="C203" location="energy!A1" display="Energy" xr:uid="{5CA0B7BE-F074-4BDC-AFA8-874AE634DFCE}"/>
    <hyperlink ref="C206" location="energy!A1" display="Energy" xr:uid="{B34EC609-7CB7-4691-AABE-5876552D5FA6}"/>
    <hyperlink ref="C200" location="energy!A1" display="Energy" xr:uid="{0D09C6A4-C847-40F1-A4EA-6D5587B21D98}"/>
    <hyperlink ref="C202" location="energy!A1" display="Energy" xr:uid="{18F95E27-8B04-4D7E-9A1D-58387CA03763}"/>
    <hyperlink ref="C204" location="energy!A1" display="Energy" xr:uid="{02035BDD-E4C5-42A8-8950-FE4A25B99576}"/>
    <hyperlink ref="C205" location="energy!A1" display="Energy" xr:uid="{DCB14A4E-8AB9-4085-AD99-959554CBD2E5}"/>
    <hyperlink ref="A201" location="trend_L_imp_int_ii_coal" display="trend_L_imp_int_ii_coal" xr:uid="{8AFBF007-9C6E-4DC4-B318-390EB91C14EC}"/>
    <hyperlink ref="A203" location="trend_L_imp_int_ii_gas" display="trend_L_imp_int_ii_gas" xr:uid="{B03386E6-19B3-48F0-A7DF-C1D8DE780E6E}"/>
    <hyperlink ref="A206" location="trend_L_imp_int_ii_oil" display="trend_L_imp_int_ii_oil" xr:uid="{07722471-61EC-4EAB-93FF-296E706CAADA}"/>
    <hyperlink ref="A200" location="trend_L_imp_int_ii_bio" display="trend_L_imp_int_ii_bio" xr:uid="{9FD44B1C-BA83-41D9-A621-B115F8EABC4E}"/>
    <hyperlink ref="A202" location="trend_L_imp_int_ii_elec" display="trend_L_imp_int_ii_elec" xr:uid="{0094683C-3DF9-46C5-8D12-634C1A7323DA}"/>
    <hyperlink ref="A204" location="trend_L_imp_int_ii_heat" display="trend_L_imp_int_ii_heat" xr:uid="{47643ECE-9309-4FA8-ABF0-630496FEB52D}"/>
    <hyperlink ref="A205" location="trend_L_imp_int_ii_nuclear" display="trend_L_imp_int_ii_nuclear" xr:uid="{7D2844AB-982E-4B69-B7F2-A02BD986320F}"/>
    <hyperlink ref="C192" location="energy!A1" display="Energy" xr:uid="{3B9AC43B-9465-4BAB-96FC-B6F715EA7D8B}"/>
    <hyperlink ref="A192" location="trend_ereu_fd_nrg" display="trend_ereu_fd_nrg" xr:uid="{4F5A5FED-CE4B-4172-B316-A58E124533F3}"/>
    <hyperlink ref="C111" location="energy!A1" display="Energy" xr:uid="{85260596-47A5-4836-BE89-8C3398341A71}"/>
    <hyperlink ref="C199" location="energy!A1" display="Energy" xr:uid="{518E08E7-7FDF-473F-A224-DC01BD0B0DAF}"/>
    <hyperlink ref="A111" location="L_imp" display="L_imp" xr:uid="{ECE6D1D3-CE31-4427-9512-F4EA5794F221}"/>
    <hyperlink ref="A199" location="trend_L_imp" display="trend_L_imp" xr:uid="{FC3AC979-617B-4AF8-A57D-F711D03F1414}"/>
    <hyperlink ref="C93" location="inputoutput!A1" display="Inputoutput" xr:uid="{39B407DC-10DE-4679-B173-D42915C07CB4}"/>
    <hyperlink ref="A93" location="init_gov_c_imp" display="init_gov_c_imp" xr:uid="{4AFBD869-EEDA-475F-BC43-27934F84E953}"/>
    <hyperlink ref="A69" location="Indexes!A1" display="EX_INIT" xr:uid="{344AA352-C33D-42C5-97DD-60D9DE10F52C}"/>
    <hyperlink ref="C69" location="inputoutput!A1" display="Inputoutput" xr:uid="{8F81D120-8574-4D7E-82F4-8D1D55A97C1E}"/>
    <hyperlink ref="C35" location="electricity!A1" display="Electricity" xr:uid="{0ED18192-A25B-4B5E-A1A2-55D5304E00C9}"/>
    <hyperlink ref="A35" location="conversion_eff" display="conversion_eff" xr:uid="{9CFADE64-429B-4D6C-81FA-20C3B393D827}"/>
    <hyperlink ref="C146" location="regions!A1" display="regions" xr:uid="{EA5531E3-EC20-44D4-9C63-51F20BE47EED}"/>
    <hyperlink ref="C147" location="regions!A1" display="regions" xr:uid="{D79FB7D6-9C02-4131-B114-070D8D769312}"/>
    <hyperlink ref="C236" location="technology!A1" display="technology" xr:uid="{81D66EC6-B731-4F54-9C64-52016E44804D}"/>
    <hyperlink ref="C237" location="technology!A1" display="technology" xr:uid="{DDC447CA-B29D-4FD4-B912-37A9C2570572}"/>
    <hyperlink ref="A236" location="overall_initial_exp_trend" display="overall_initial_exp_trend" xr:uid="{3B05A9E1-F2D8-4EB4-A6FF-E07885926C5C}"/>
    <hyperlink ref="A237" location="overall_initial_gov_c_trend" display="overall_initial_gov_c_trend" xr:uid="{7E6183F6-6072-4E20-B1E0-CD4886E1AC20}"/>
    <hyperlink ref="A238" location="timet" display="timet" xr:uid="{4986271A-1CFB-4BC4-A31C-7CD13DBDCFB9}"/>
    <hyperlink ref="C239" location="electricity!A1" display="Electricity" xr:uid="{FAB6B571-CBB5-4153-A61B-63EE48EE8060}"/>
    <hyperlink ref="A239" location="coeff_inc2" display="coeff_inc2" xr:uid="{199954C0-C46E-488E-8AA9-006EF97F52BA}"/>
    <hyperlink ref="A240" location="beta_q1" display="beta_q1" xr:uid="{15D7471D-62D6-46D4-B8B9-5A2315A6D18C}"/>
    <hyperlink ref="A241" location="beta_q2" display="beta_q2" xr:uid="{58F5012A-9729-47E7-8248-D2D15AD4C514}"/>
    <hyperlink ref="A242" location="beta_q3" display="beta_q3" xr:uid="{10BA6044-BBB4-4171-B30A-E075D8C8D05F}"/>
    <hyperlink ref="A243" location="beta_q4" display="beta_q4" xr:uid="{FCF5ECBD-D80B-497F-B66C-E68E284D6B45}"/>
    <hyperlink ref="A244" location="beta_q5" display="beta_q5" xr:uid="{38E85D88-651C-4956-A4BC-E427B2D80CD0}"/>
    <hyperlink ref="C245" location="demography!A1" display="demography" xr:uid="{FB3CDDBF-8FB5-4C87-BA74-C6AC4F6D6F17}"/>
    <hyperlink ref="A245" location="distr_init_pop_gc" display="distr_init_pop_gc" xr:uid="{8BC2249A-A49C-46A9-8BD5-49CC5DB5AEF9}"/>
    <hyperlink ref="C246" location="electricity!A1" display="Electricity" xr:uid="{AF7DBDF4-8C07-4B0D-8D1D-29DEF7527DAC}"/>
    <hyperlink ref="C247" location="electricity!A1" display="Electricity" xr:uid="{A24032F8-8072-44D1-937E-C248F6F2FB34}"/>
    <hyperlink ref="A246" location="covid_shock" display="covid_shock" xr:uid="{BBE472CD-B4E6-4389-A50F-D509A58037E5}"/>
    <hyperlink ref="A247" location="covid_rebound" display="covid_rebound" xr:uid="{DF2CEB00-E1E2-4032-B402-66B419332CCE}"/>
    <hyperlink ref="A248" location="tls_base" display="tls_base" xr:uid="{51DCABC0-751C-4556-859D-3EA608601F73}"/>
    <hyperlink ref="A250" location="initial_unit_int_dem" display="initial_unit_int_dem" xr:uid="{2B2FDB74-DE45-4390-9444-D070AAC8B695}"/>
    <hyperlink ref="A249" location="post_debt_repayment_profits" display="post_debt_repayment_profits" xr:uid="{8126EC00-B2FD-4320-A357-0040A816171A}"/>
    <hyperlink ref="A251" location="trans_use" display="trans_use" xr:uid="{4B2D0F6F-A9D1-4717-A4E1-ADB9A156F002}"/>
    <hyperlink ref="A252" location="yd_national_initial" display="yd_national_initial" xr:uid="{CB096FE0-0329-460D-BE1D-3B5854C11657}"/>
    <hyperlink ref="A253" location="init_health_educ" display="init_health_educ" xr:uid="{48F619D4-9A1A-494B-8240-5A8B52117AC6}"/>
    <hyperlink ref="A254" location="init_public" display="init_public" xr:uid="{466CD302-E500-4C1F-AC3D-55C1DC6FA6BC}"/>
    <hyperlink ref="A255" location="d2_output_ratio" display="d2_output_ratio" xr:uid="{F1ADC1E0-F5EE-4E6D-B078-5FE71AA36B47}"/>
    <hyperlink ref="A256" location="emissions_output" display="emissions_output" xr:uid="{C187450C-718E-4322-8A44-C32765C2DB38}"/>
    <hyperlink ref="A257" location="electricity_output" display="electricity_output" xr:uid="{153A3E0D-B7D3-438B-87BB-F99600B0F36F}"/>
    <hyperlink ref="A258" location="yd_dynamic_share" display="yd_dynamic_share" xr:uid="{5A4266B6-FA86-4DD4-8028-D116D913F64A}"/>
    <hyperlink ref="C248" location="initialrun!A1" display="initialrun" xr:uid="{603F6059-D755-4EEC-A17B-25E73905AD3F}"/>
    <hyperlink ref="C249:C258" location="initialrun!A1" display="initialrun" xr:uid="{38A72E73-1474-4603-B1A6-1130D874DD5B}"/>
  </hyperlink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4" tint="0.79998168889431442"/>
  </sheetPr>
  <dimension ref="B1:W997"/>
  <sheetViews>
    <sheetView zoomScale="25" zoomScaleNormal="25" workbookViewId="0">
      <selection activeCell="C2" sqref="C2:W2"/>
    </sheetView>
  </sheetViews>
  <sheetFormatPr defaultColWidth="12.58203125" defaultRowHeight="15" customHeight="1"/>
  <cols>
    <col min="1" max="1" width="5.75" customWidth="1"/>
    <col min="2" max="2" width="26.75" customWidth="1"/>
    <col min="3" max="3" width="24.58203125" customWidth="1"/>
    <col min="4" max="4" width="15.83203125" customWidth="1"/>
    <col min="5" max="5" width="17.33203125" customWidth="1"/>
    <col min="6" max="6" width="13.25" customWidth="1"/>
    <col min="7" max="7" width="13" style="16" bestFit="1" customWidth="1"/>
    <col min="8" max="23" width="8.83203125" style="16" customWidth="1"/>
  </cols>
  <sheetData>
    <row r="1" spans="2:23" ht="15.75" customHeight="1">
      <c r="B1" s="452" t="s">
        <v>1170</v>
      </c>
      <c r="C1" s="453"/>
      <c r="D1" s="453"/>
      <c r="E1" s="453"/>
      <c r="F1" s="453"/>
      <c r="G1" s="453"/>
      <c r="H1" s="29"/>
      <c r="I1" s="29"/>
      <c r="J1" s="29"/>
      <c r="K1" s="29"/>
      <c r="L1" s="29"/>
      <c r="M1" s="29"/>
      <c r="N1" s="29"/>
      <c r="O1" s="29"/>
      <c r="P1" s="29"/>
      <c r="Q1" s="29"/>
      <c r="R1" s="29"/>
      <c r="S1" s="29"/>
      <c r="T1" s="29"/>
      <c r="U1" s="29"/>
      <c r="V1" s="29"/>
      <c r="W1" s="29"/>
    </row>
    <row r="2" spans="2:23" ht="15.75" customHeight="1">
      <c r="B2" s="8"/>
      <c r="C2" s="8"/>
      <c r="D2" s="177" t="s">
        <v>67</v>
      </c>
      <c r="E2" s="178" t="s">
        <v>65</v>
      </c>
      <c r="F2" s="178" t="s">
        <v>138</v>
      </c>
      <c r="G2" s="178" t="s">
        <v>149</v>
      </c>
      <c r="H2" s="27"/>
      <c r="I2" s="402"/>
      <c r="J2" s="403"/>
      <c r="K2" s="402"/>
      <c r="L2" s="402"/>
      <c r="M2" s="403"/>
      <c r="N2" s="402"/>
      <c r="O2" s="402"/>
      <c r="P2" s="402"/>
      <c r="Q2" s="402"/>
      <c r="R2" s="402"/>
      <c r="S2" s="402"/>
      <c r="T2" s="27"/>
      <c r="U2" s="27"/>
      <c r="V2" s="27"/>
      <c r="W2" s="27"/>
    </row>
    <row r="3" spans="2:23" ht="15.75" customHeight="1">
      <c r="B3" s="444" t="s">
        <v>148</v>
      </c>
      <c r="C3" s="179" t="s">
        <v>139</v>
      </c>
      <c r="D3" s="180">
        <v>14416840703.6138</v>
      </c>
      <c r="E3" s="180">
        <v>479724622.01891166</v>
      </c>
      <c r="F3" s="180">
        <v>406082273.22299606</v>
      </c>
      <c r="G3" s="180">
        <v>5232974653.8270845</v>
      </c>
      <c r="H3" s="103"/>
      <c r="I3" s="404"/>
      <c r="J3" s="405"/>
      <c r="K3" s="404"/>
      <c r="L3" s="404"/>
      <c r="M3" s="404"/>
      <c r="N3" s="404"/>
      <c r="O3" s="404"/>
      <c r="P3" s="406"/>
      <c r="Q3" s="406"/>
      <c r="R3" s="406"/>
      <c r="S3" s="406"/>
      <c r="T3" s="401"/>
      <c r="U3" s="103"/>
      <c r="V3" s="103"/>
      <c r="W3" s="103"/>
    </row>
    <row r="4" spans="2:23" ht="15.75" customHeight="1">
      <c r="B4" s="445"/>
      <c r="C4" s="181" t="s">
        <v>37</v>
      </c>
      <c r="D4" s="180">
        <v>1164662950.1733816</v>
      </c>
      <c r="E4" s="180">
        <v>3288825.6754249935</v>
      </c>
      <c r="F4" s="180">
        <v>163776721.89155215</v>
      </c>
      <c r="G4" s="180">
        <v>957192963.8632803</v>
      </c>
      <c r="H4" s="17"/>
      <c r="I4" s="403"/>
      <c r="J4" s="403"/>
      <c r="K4" s="403"/>
      <c r="L4" s="403"/>
      <c r="M4" s="403"/>
      <c r="N4" s="403"/>
      <c r="O4" s="403"/>
      <c r="P4" s="406"/>
      <c r="Q4" s="406"/>
      <c r="R4" s="406"/>
      <c r="S4" s="406"/>
      <c r="T4" s="17"/>
      <c r="U4" s="17"/>
      <c r="V4" s="17"/>
    </row>
    <row r="5" spans="2:23" ht="15.75" customHeight="1">
      <c r="B5" s="445"/>
      <c r="C5" s="181" t="s">
        <v>140</v>
      </c>
      <c r="D5" s="180">
        <v>95006733244.30632</v>
      </c>
      <c r="E5" s="180">
        <v>2186973437.8513269</v>
      </c>
      <c r="F5" s="180">
        <v>45901406651.058861</v>
      </c>
      <c r="G5" s="180">
        <v>255006046831.98071</v>
      </c>
      <c r="H5" s="17"/>
      <c r="I5" s="403"/>
      <c r="J5" s="403"/>
      <c r="K5" s="403"/>
      <c r="L5" s="403"/>
      <c r="M5" s="403"/>
      <c r="N5" s="403"/>
      <c r="O5" s="403"/>
      <c r="P5" s="406"/>
      <c r="Q5" s="406"/>
      <c r="R5" s="406"/>
      <c r="S5" s="406"/>
      <c r="T5" s="17"/>
      <c r="U5" s="17"/>
      <c r="V5" s="17"/>
      <c r="W5" s="17"/>
    </row>
    <row r="6" spans="2:23" ht="15.75" customHeight="1">
      <c r="B6" s="445"/>
      <c r="C6" s="181" t="s">
        <v>48</v>
      </c>
      <c r="D6" s="180">
        <v>14517120595.850576</v>
      </c>
      <c r="E6" s="180">
        <v>10980248.227576878</v>
      </c>
      <c r="F6" s="180">
        <v>93374541.006461948</v>
      </c>
      <c r="G6" s="180">
        <v>11821831864.539698</v>
      </c>
      <c r="I6" s="407"/>
      <c r="J6" s="408"/>
      <c r="K6" s="408"/>
      <c r="L6" s="407"/>
      <c r="M6" s="407"/>
      <c r="N6" s="407"/>
      <c r="O6" s="407"/>
      <c r="P6" s="406"/>
      <c r="Q6" s="406"/>
      <c r="R6" s="406"/>
      <c r="S6" s="406"/>
    </row>
    <row r="7" spans="2:23" ht="15.75" customHeight="1">
      <c r="B7" s="445"/>
      <c r="C7" s="181" t="s">
        <v>141</v>
      </c>
      <c r="D7" s="180">
        <v>10586266064.220495</v>
      </c>
      <c r="E7" s="180">
        <v>59873342.498650588</v>
      </c>
      <c r="F7" s="180">
        <v>9203330248.969614</v>
      </c>
      <c r="G7" s="180">
        <v>35156601613.200226</v>
      </c>
      <c r="I7" s="407"/>
      <c r="J7" s="408"/>
      <c r="K7" s="408"/>
      <c r="L7" s="407"/>
      <c r="M7" s="407"/>
      <c r="N7" s="407"/>
      <c r="O7" s="407"/>
      <c r="P7" s="406"/>
      <c r="Q7" s="406"/>
      <c r="R7" s="406"/>
      <c r="S7" s="406"/>
    </row>
    <row r="8" spans="2:23" ht="15.75" customHeight="1">
      <c r="B8" s="445"/>
      <c r="C8" s="181" t="s">
        <v>142</v>
      </c>
      <c r="D8" s="180">
        <v>7317654628.6517782</v>
      </c>
      <c r="E8" s="180">
        <v>70756541.559357494</v>
      </c>
      <c r="F8" s="180">
        <v>894218051.40616632</v>
      </c>
      <c r="G8" s="180">
        <v>478599982.14699394</v>
      </c>
      <c r="I8" s="407"/>
      <c r="J8" s="408"/>
      <c r="K8" s="408"/>
      <c r="L8" s="407"/>
      <c r="M8" s="407"/>
      <c r="N8" s="407"/>
      <c r="O8" s="407"/>
      <c r="P8" s="406"/>
      <c r="Q8" s="406"/>
      <c r="R8" s="406"/>
      <c r="S8" s="406"/>
    </row>
    <row r="9" spans="2:23" ht="15.75" customHeight="1">
      <c r="B9" s="445"/>
      <c r="C9" s="181" t="s">
        <v>143</v>
      </c>
      <c r="D9" s="180">
        <v>8446688907.0827932</v>
      </c>
      <c r="E9" s="180">
        <v>14910176.489793587</v>
      </c>
      <c r="F9" s="180">
        <v>292396876.59607238</v>
      </c>
      <c r="G9" s="180">
        <v>197082843.36445913</v>
      </c>
      <c r="I9" s="407"/>
      <c r="J9" s="409"/>
      <c r="K9" s="409"/>
      <c r="L9" s="407"/>
      <c r="M9" s="407"/>
      <c r="N9" s="407"/>
      <c r="O9" s="407"/>
      <c r="P9" s="406"/>
      <c r="Q9" s="406"/>
      <c r="R9" s="406"/>
      <c r="S9" s="406"/>
    </row>
    <row r="10" spans="2:23" ht="15.75" customHeight="1">
      <c r="B10" s="445"/>
      <c r="C10" s="181" t="s">
        <v>144</v>
      </c>
      <c r="D10" s="180">
        <v>14044283.036814103</v>
      </c>
      <c r="E10" s="180">
        <v>15144529.01104885</v>
      </c>
      <c r="F10" s="180">
        <v>184636433.35734168</v>
      </c>
      <c r="G10" s="180">
        <v>56104518.502101049</v>
      </c>
      <c r="I10" s="407"/>
      <c r="J10" s="407"/>
      <c r="K10" s="407"/>
      <c r="L10" s="407"/>
      <c r="M10" s="407"/>
      <c r="N10" s="407"/>
      <c r="O10" s="407"/>
      <c r="P10" s="406"/>
      <c r="Q10" s="406"/>
      <c r="R10" s="406"/>
      <c r="S10" s="406"/>
    </row>
    <row r="11" spans="2:23" ht="15.75" customHeight="1">
      <c r="B11" s="445"/>
      <c r="C11" s="181" t="s">
        <v>61</v>
      </c>
      <c r="D11" s="180">
        <v>10862804563.444496</v>
      </c>
      <c r="E11" s="180">
        <v>303743001.99576259</v>
      </c>
      <c r="F11" s="180">
        <v>258607670.35986292</v>
      </c>
      <c r="G11" s="180">
        <v>1425084882.0085957</v>
      </c>
      <c r="I11" s="407"/>
      <c r="J11" s="407"/>
      <c r="K11" s="407"/>
      <c r="L11" s="407"/>
      <c r="M11" s="407"/>
      <c r="N11" s="407"/>
      <c r="O11" s="407"/>
      <c r="P11" s="406"/>
      <c r="Q11" s="406"/>
      <c r="R11" s="406"/>
      <c r="S11" s="406"/>
    </row>
    <row r="12" spans="2:23" ht="15.75" customHeight="1">
      <c r="B12" s="445"/>
      <c r="C12" s="181" t="s">
        <v>63</v>
      </c>
      <c r="D12" s="180">
        <v>10850174773.265081</v>
      </c>
      <c r="E12" s="180">
        <v>1294619826.9716074</v>
      </c>
      <c r="F12" s="180">
        <v>141430446498.26611</v>
      </c>
      <c r="G12" s="180">
        <v>911588925.01640356</v>
      </c>
      <c r="I12" s="407"/>
      <c r="J12" s="407"/>
      <c r="K12" s="407"/>
      <c r="L12" s="407"/>
      <c r="M12" s="407"/>
      <c r="N12" s="407"/>
      <c r="O12" s="407"/>
      <c r="P12" s="406"/>
      <c r="Q12" s="406"/>
      <c r="R12" s="406"/>
      <c r="S12" s="406"/>
    </row>
    <row r="13" spans="2:23" ht="15.75" customHeight="1">
      <c r="B13" s="445"/>
      <c r="C13" s="181" t="s">
        <v>65</v>
      </c>
      <c r="D13" s="180">
        <v>164146564103.86691</v>
      </c>
      <c r="E13" s="180">
        <v>4369215176.2501097</v>
      </c>
      <c r="F13" s="180">
        <v>22544658793.110996</v>
      </c>
      <c r="G13" s="180">
        <v>15634335146.216681</v>
      </c>
      <c r="H13" s="29"/>
      <c r="I13" s="410"/>
      <c r="J13" s="410"/>
      <c r="K13" s="410"/>
      <c r="L13" s="410"/>
      <c r="M13" s="410"/>
      <c r="N13" s="410"/>
      <c r="O13" s="410"/>
      <c r="P13" s="406"/>
      <c r="Q13" s="406"/>
      <c r="R13" s="406"/>
      <c r="S13" s="406"/>
      <c r="T13" s="29"/>
      <c r="U13" s="29"/>
      <c r="V13" s="29"/>
      <c r="W13" s="29"/>
    </row>
    <row r="14" spans="2:23" ht="15.75" customHeight="1">
      <c r="B14" s="445"/>
      <c r="C14" s="181" t="s">
        <v>67</v>
      </c>
      <c r="D14" s="180">
        <v>32267458681.210838</v>
      </c>
      <c r="E14" s="180">
        <v>1265414656.9805717</v>
      </c>
      <c r="F14" s="180">
        <v>1777515844.4531319</v>
      </c>
      <c r="G14" s="180">
        <v>8918932029.0686073</v>
      </c>
      <c r="H14" s="17"/>
      <c r="I14" s="403"/>
      <c r="J14" s="403"/>
      <c r="K14" s="403"/>
      <c r="L14" s="403"/>
      <c r="M14" s="403"/>
      <c r="N14" s="403"/>
      <c r="O14" s="403"/>
      <c r="P14" s="406"/>
      <c r="Q14" s="406"/>
      <c r="R14" s="406"/>
      <c r="S14" s="406"/>
      <c r="T14" s="17"/>
      <c r="U14" s="17"/>
      <c r="V14" s="17"/>
      <c r="W14" s="17"/>
    </row>
    <row r="15" spans="2:23" ht="15.75" customHeight="1">
      <c r="B15" s="445"/>
      <c r="C15" s="181" t="s">
        <v>69</v>
      </c>
      <c r="D15" s="180">
        <v>77737626664.672394</v>
      </c>
      <c r="E15" s="180">
        <v>850127914.69506216</v>
      </c>
      <c r="F15" s="180">
        <v>107486465.02222297</v>
      </c>
      <c r="G15" s="180">
        <v>47163108.283366665</v>
      </c>
      <c r="H15" s="17"/>
      <c r="I15" s="403"/>
      <c r="J15" s="403"/>
      <c r="K15" s="403"/>
      <c r="L15" s="403"/>
      <c r="M15" s="403"/>
      <c r="N15" s="403"/>
      <c r="O15" s="403"/>
      <c r="P15" s="406"/>
      <c r="Q15" s="406"/>
      <c r="R15" s="406"/>
      <c r="S15" s="406"/>
      <c r="T15" s="17"/>
      <c r="U15" s="17"/>
      <c r="V15" s="17"/>
      <c r="W15" s="17"/>
    </row>
    <row r="16" spans="2:23" ht="15.75" customHeight="1">
      <c r="B16" s="445"/>
      <c r="C16" s="181" t="s">
        <v>145</v>
      </c>
      <c r="D16" s="180">
        <v>74778579641.718857</v>
      </c>
      <c r="E16" s="180">
        <v>7146639183.2838926</v>
      </c>
      <c r="F16" s="180">
        <v>19262469917.565491</v>
      </c>
      <c r="G16" s="180">
        <v>10316938435.795521</v>
      </c>
      <c r="H16" s="17"/>
      <c r="I16" s="403"/>
      <c r="J16" s="403"/>
      <c r="K16" s="403"/>
      <c r="L16" s="403"/>
      <c r="M16" s="403"/>
      <c r="N16" s="403"/>
      <c r="O16" s="403"/>
      <c r="P16" s="406"/>
      <c r="Q16" s="406"/>
      <c r="R16" s="406"/>
      <c r="S16" s="406"/>
      <c r="T16" s="17"/>
      <c r="U16" s="17"/>
      <c r="V16" s="17"/>
      <c r="W16" s="17"/>
    </row>
    <row r="17" spans="2:23" ht="15.75" customHeight="1">
      <c r="B17" s="445"/>
      <c r="C17" s="181" t="s">
        <v>73</v>
      </c>
      <c r="D17" s="180">
        <v>29507805724.060833</v>
      </c>
      <c r="E17" s="180">
        <v>23661126.367957402</v>
      </c>
      <c r="F17" s="180">
        <v>973844614.81894839</v>
      </c>
      <c r="G17" s="180">
        <v>4417898340.9376354</v>
      </c>
      <c r="H17" s="17"/>
      <c r="I17" s="403"/>
      <c r="J17" s="403"/>
      <c r="K17" s="403"/>
      <c r="L17" s="403"/>
      <c r="M17" s="403"/>
      <c r="N17" s="403"/>
      <c r="O17" s="403"/>
      <c r="P17" s="406"/>
      <c r="Q17" s="406"/>
      <c r="R17" s="406"/>
      <c r="S17" s="406"/>
      <c r="T17" s="17"/>
      <c r="U17" s="17"/>
      <c r="V17" s="17"/>
      <c r="W17" s="17"/>
    </row>
    <row r="18" spans="2:23" ht="15.75" customHeight="1">
      <c r="B18" s="445"/>
      <c r="C18" s="181" t="s">
        <v>75</v>
      </c>
      <c r="D18" s="180">
        <v>150000252166.54636</v>
      </c>
      <c r="E18" s="180">
        <v>1477666560.2177792</v>
      </c>
      <c r="F18" s="180">
        <v>10309661350.413538</v>
      </c>
      <c r="G18" s="180">
        <v>1486015654.4803321</v>
      </c>
      <c r="H18" s="17"/>
      <c r="I18" s="403"/>
      <c r="J18" s="403"/>
      <c r="K18" s="403"/>
      <c r="L18" s="403"/>
      <c r="M18" s="403"/>
      <c r="N18" s="403"/>
      <c r="O18" s="403"/>
      <c r="P18" s="406"/>
      <c r="Q18" s="406"/>
      <c r="R18" s="406"/>
      <c r="S18" s="406"/>
      <c r="T18" s="17"/>
      <c r="U18" s="17"/>
      <c r="V18" s="17"/>
      <c r="W18" s="17"/>
    </row>
    <row r="19" spans="2:23" ht="15.75" customHeight="1">
      <c r="B19" s="445"/>
      <c r="C19" s="181" t="s">
        <v>146</v>
      </c>
      <c r="D19" s="180">
        <v>23410643919.129711</v>
      </c>
      <c r="E19" s="180">
        <v>6392056421.2205944</v>
      </c>
      <c r="F19" s="180">
        <v>13581229063.483213</v>
      </c>
      <c r="G19" s="180">
        <v>19736457397.239155</v>
      </c>
      <c r="H19" s="17"/>
      <c r="I19" s="403"/>
      <c r="J19" s="403"/>
      <c r="K19" s="403"/>
      <c r="L19" s="403"/>
      <c r="M19" s="403"/>
      <c r="N19" s="403"/>
      <c r="O19" s="403"/>
      <c r="P19" s="406"/>
      <c r="Q19" s="406"/>
      <c r="R19" s="406"/>
      <c r="S19" s="406"/>
      <c r="T19" s="17"/>
      <c r="U19" s="17"/>
      <c r="V19" s="17"/>
      <c r="W19" s="17"/>
    </row>
    <row r="20" spans="2:23" ht="15.75" customHeight="1">
      <c r="B20" s="445"/>
      <c r="C20" s="181" t="s">
        <v>83</v>
      </c>
      <c r="D20" s="180">
        <v>1954077516.2125731</v>
      </c>
      <c r="E20" s="180">
        <v>130961373445.14981</v>
      </c>
      <c r="F20" s="180">
        <v>262482212.21670732</v>
      </c>
      <c r="G20" s="180">
        <v>96875504.522989303</v>
      </c>
      <c r="H20" s="17"/>
      <c r="I20" s="403"/>
      <c r="J20" s="403"/>
      <c r="K20" s="403"/>
      <c r="L20" s="403"/>
      <c r="M20" s="403"/>
      <c r="N20" s="403"/>
      <c r="O20" s="403"/>
      <c r="P20" s="406"/>
      <c r="Q20" s="406"/>
      <c r="R20" s="406"/>
      <c r="S20" s="406"/>
      <c r="T20" s="17"/>
      <c r="U20" s="17"/>
      <c r="V20" s="17"/>
      <c r="W20" s="17"/>
    </row>
    <row r="21" spans="2:23" ht="15.75" customHeight="1">
      <c r="B21" s="445"/>
      <c r="C21" s="181" t="s">
        <v>85</v>
      </c>
      <c r="D21" s="180">
        <v>11958743683.467503</v>
      </c>
      <c r="E21" s="180">
        <v>57877857319.674538</v>
      </c>
      <c r="F21" s="180">
        <v>71999049.142400101</v>
      </c>
      <c r="G21" s="180">
        <v>62489336.601583287</v>
      </c>
      <c r="H21" s="17"/>
      <c r="I21" s="403"/>
      <c r="J21" s="403"/>
      <c r="K21" s="403"/>
      <c r="L21" s="403"/>
      <c r="M21" s="403"/>
      <c r="N21" s="403"/>
      <c r="O21" s="403"/>
      <c r="P21" s="406"/>
      <c r="Q21" s="406"/>
      <c r="R21" s="406"/>
      <c r="S21" s="406"/>
      <c r="T21" s="17"/>
      <c r="U21" s="17"/>
      <c r="V21" s="17"/>
      <c r="W21" s="17"/>
    </row>
    <row r="22" spans="2:23" ht="15.5">
      <c r="B22" s="445"/>
      <c r="C22" s="181" t="s">
        <v>88</v>
      </c>
      <c r="D22" s="180">
        <v>21925511186.776272</v>
      </c>
      <c r="E22" s="180">
        <v>106063216005.53465</v>
      </c>
      <c r="F22" s="180">
        <v>783494415.49038994</v>
      </c>
      <c r="G22" s="180">
        <v>729232961.06831729</v>
      </c>
      <c r="H22" s="17"/>
      <c r="I22" s="403"/>
      <c r="J22" s="403"/>
      <c r="K22" s="403"/>
      <c r="L22" s="403"/>
      <c r="M22" s="403"/>
      <c r="N22" s="403"/>
      <c r="O22" s="403"/>
      <c r="P22" s="406"/>
      <c r="Q22" s="406"/>
      <c r="R22" s="406"/>
      <c r="S22" s="406"/>
      <c r="T22" s="17"/>
      <c r="U22" s="17"/>
      <c r="V22" s="17"/>
      <c r="W22" s="17"/>
    </row>
    <row r="23" spans="2:23" ht="15.5">
      <c r="B23" s="446"/>
      <c r="C23" s="182" t="s">
        <v>147</v>
      </c>
      <c r="D23" s="183">
        <v>18006400381.835899</v>
      </c>
      <c r="E23" s="183">
        <v>0</v>
      </c>
      <c r="F23" s="183">
        <v>0</v>
      </c>
      <c r="G23" s="183">
        <v>0</v>
      </c>
      <c r="H23" s="17"/>
      <c r="I23" s="403"/>
      <c r="J23" s="403"/>
      <c r="K23" s="403"/>
      <c r="L23" s="403"/>
      <c r="M23" s="403"/>
      <c r="N23" s="403"/>
      <c r="O23" s="403"/>
      <c r="P23" s="406"/>
      <c r="Q23" s="406"/>
      <c r="R23" s="406"/>
      <c r="S23" s="406"/>
      <c r="T23" s="17"/>
      <c r="U23" s="17"/>
      <c r="V23" s="17"/>
      <c r="W23" s="17"/>
    </row>
    <row r="24" spans="2:23" ht="15.5">
      <c r="B24" s="447" t="s">
        <v>150</v>
      </c>
      <c r="C24" s="181" t="s">
        <v>139</v>
      </c>
      <c r="D24" s="180">
        <v>3857193872.8052068</v>
      </c>
      <c r="E24" s="180">
        <v>8869778.7871345095</v>
      </c>
      <c r="F24" s="180">
        <v>53508701.491158269</v>
      </c>
      <c r="G24" s="184"/>
      <c r="H24" s="17"/>
      <c r="I24" s="403"/>
      <c r="J24" s="403"/>
      <c r="K24" s="403"/>
      <c r="L24" s="403"/>
      <c r="M24" s="403"/>
      <c r="N24" s="403"/>
      <c r="O24" s="403"/>
      <c r="P24" s="406"/>
      <c r="Q24" s="406"/>
      <c r="R24" s="406"/>
      <c r="S24" s="406"/>
      <c r="T24" s="17"/>
      <c r="U24" s="17"/>
      <c r="V24" s="17"/>
      <c r="W24" s="17"/>
    </row>
    <row r="25" spans="2:23" ht="15.5">
      <c r="B25" s="445"/>
      <c r="C25" s="181" t="s">
        <v>37</v>
      </c>
      <c r="D25" s="180">
        <v>7555614471.3477411</v>
      </c>
      <c r="E25" s="180">
        <v>5355273.0286054909</v>
      </c>
      <c r="F25" s="180">
        <v>80203419.225647658</v>
      </c>
      <c r="G25" s="184"/>
      <c r="H25" s="17"/>
      <c r="I25" s="403"/>
      <c r="J25" s="403"/>
      <c r="K25" s="403"/>
      <c r="L25" s="403"/>
      <c r="M25" s="403"/>
      <c r="N25" s="403"/>
      <c r="O25" s="403"/>
      <c r="P25" s="406"/>
      <c r="Q25" s="406"/>
      <c r="R25" s="406"/>
      <c r="S25" s="406"/>
      <c r="T25" s="17"/>
      <c r="U25" s="17"/>
      <c r="V25" s="17"/>
      <c r="W25" s="17"/>
    </row>
    <row r="26" spans="2:23" ht="15.5">
      <c r="B26" s="445"/>
      <c r="C26" s="181" t="s">
        <v>140</v>
      </c>
      <c r="D26" s="180">
        <v>51145090274.36586</v>
      </c>
      <c r="E26" s="180">
        <v>3349034296.4365201</v>
      </c>
      <c r="F26" s="180">
        <v>21619501325.759041</v>
      </c>
      <c r="G26" s="184"/>
      <c r="H26" s="17"/>
      <c r="I26" s="403"/>
      <c r="J26" s="403"/>
      <c r="K26" s="403"/>
      <c r="L26" s="403"/>
      <c r="M26" s="403"/>
      <c r="N26" s="403"/>
      <c r="O26" s="403"/>
      <c r="P26" s="406"/>
      <c r="Q26" s="406"/>
      <c r="R26" s="406"/>
      <c r="S26" s="406"/>
      <c r="T26" s="17"/>
      <c r="U26" s="17"/>
      <c r="V26" s="17"/>
      <c r="W26" s="17"/>
    </row>
    <row r="27" spans="2:23" ht="15.5">
      <c r="B27" s="445"/>
      <c r="C27" s="181" t="s">
        <v>48</v>
      </c>
      <c r="D27" s="180">
        <v>2077771801.6797771</v>
      </c>
      <c r="E27" s="180">
        <v>20799641.404977657</v>
      </c>
      <c r="F27" s="180">
        <v>19307961.288357191</v>
      </c>
      <c r="G27" s="184"/>
      <c r="H27" s="17"/>
      <c r="I27" s="403"/>
      <c r="J27" s="403"/>
      <c r="K27" s="403"/>
      <c r="L27" s="403"/>
      <c r="M27" s="403"/>
      <c r="N27" s="403"/>
      <c r="O27" s="403"/>
      <c r="P27" s="406"/>
      <c r="Q27" s="406"/>
      <c r="R27" s="406"/>
      <c r="S27" s="406"/>
      <c r="T27" s="17"/>
      <c r="U27" s="17"/>
      <c r="V27" s="17"/>
      <c r="W27" s="17"/>
    </row>
    <row r="28" spans="2:23" ht="15.5">
      <c r="B28" s="445"/>
      <c r="C28" s="181" t="s">
        <v>141</v>
      </c>
      <c r="D28" s="180">
        <v>12135246229.864176</v>
      </c>
      <c r="E28" s="180">
        <v>6441454.0565790078</v>
      </c>
      <c r="F28" s="180">
        <v>7789891752.8415089</v>
      </c>
      <c r="G28" s="184"/>
      <c r="H28" s="17"/>
      <c r="I28" s="403"/>
      <c r="J28" s="403"/>
      <c r="K28" s="403"/>
      <c r="L28" s="403"/>
      <c r="M28" s="403"/>
      <c r="N28" s="403"/>
      <c r="O28" s="403"/>
      <c r="P28" s="406"/>
      <c r="Q28" s="406"/>
      <c r="R28" s="406"/>
      <c r="S28" s="406"/>
      <c r="T28" s="17"/>
      <c r="U28" s="17"/>
      <c r="V28" s="17"/>
      <c r="W28" s="17"/>
    </row>
    <row r="29" spans="2:23" ht="15.5">
      <c r="B29" s="445"/>
      <c r="C29" s="181" t="s">
        <v>142</v>
      </c>
      <c r="D29" s="180">
        <v>101645268.79304962</v>
      </c>
      <c r="E29" s="180">
        <v>1405738.9782148229</v>
      </c>
      <c r="F29" s="180">
        <v>24526901.571572784</v>
      </c>
      <c r="G29" s="184"/>
      <c r="H29" s="17"/>
      <c r="I29" s="403"/>
      <c r="J29" s="403"/>
      <c r="K29" s="403"/>
      <c r="L29" s="403"/>
      <c r="M29" s="403"/>
      <c r="N29" s="403"/>
      <c r="O29" s="403"/>
      <c r="P29" s="406"/>
      <c r="Q29" s="406"/>
      <c r="R29" s="406"/>
      <c r="S29" s="406"/>
      <c r="T29" s="17"/>
      <c r="U29" s="17"/>
      <c r="V29" s="17"/>
      <c r="W29" s="17"/>
    </row>
    <row r="30" spans="2:23" ht="15.5">
      <c r="B30" s="445"/>
      <c r="C30" s="181" t="s">
        <v>143</v>
      </c>
      <c r="D30" s="180">
        <v>318383392.6202969</v>
      </c>
      <c r="E30" s="180">
        <v>4926155.1646163296</v>
      </c>
      <c r="F30" s="180">
        <v>4621876.1344166575</v>
      </c>
      <c r="G30" s="184"/>
      <c r="H30" s="17"/>
      <c r="I30" s="403"/>
      <c r="J30" s="403"/>
      <c r="K30" s="403"/>
      <c r="L30" s="403"/>
      <c r="M30" s="403"/>
      <c r="N30" s="403"/>
      <c r="O30" s="403"/>
      <c r="P30" s="406"/>
      <c r="Q30" s="406"/>
      <c r="R30" s="406"/>
      <c r="S30" s="406"/>
      <c r="T30" s="17"/>
      <c r="U30" s="17"/>
      <c r="V30" s="17"/>
      <c r="W30" s="17"/>
    </row>
    <row r="31" spans="2:23" ht="15.5">
      <c r="B31" s="445"/>
      <c r="C31" s="181" t="s">
        <v>144</v>
      </c>
      <c r="D31" s="180">
        <v>8001390.9284850331</v>
      </c>
      <c r="E31" s="180">
        <v>99246.536734893845</v>
      </c>
      <c r="F31" s="180">
        <v>992552.8785319227</v>
      </c>
      <c r="G31" s="184"/>
      <c r="H31" s="17"/>
      <c r="I31" s="403"/>
      <c r="J31" s="403"/>
      <c r="K31" s="403"/>
      <c r="L31" s="403"/>
      <c r="M31" s="403"/>
      <c r="N31" s="403"/>
      <c r="O31" s="403"/>
      <c r="P31" s="406"/>
      <c r="Q31" s="406"/>
      <c r="R31" s="406"/>
      <c r="S31" s="406"/>
      <c r="T31" s="17"/>
      <c r="U31" s="17"/>
      <c r="V31" s="17"/>
      <c r="W31" s="17"/>
    </row>
    <row r="32" spans="2:23" ht="15.5">
      <c r="B32" s="445"/>
      <c r="C32" s="181" t="s">
        <v>61</v>
      </c>
      <c r="D32" s="180">
        <v>35242219.60776525</v>
      </c>
      <c r="E32" s="180">
        <v>2587522.4054942583</v>
      </c>
      <c r="F32" s="180">
        <v>9728063.8851035368</v>
      </c>
      <c r="G32" s="184"/>
      <c r="H32" s="17"/>
      <c r="I32" s="403"/>
      <c r="J32" s="403"/>
      <c r="K32" s="403"/>
      <c r="L32" s="403"/>
      <c r="M32" s="403"/>
      <c r="N32" s="403"/>
      <c r="O32" s="403"/>
      <c r="P32" s="406"/>
      <c r="Q32" s="406"/>
      <c r="R32" s="406"/>
      <c r="S32" s="406"/>
      <c r="T32" s="17"/>
      <c r="U32" s="17"/>
      <c r="V32" s="17"/>
      <c r="W32" s="17"/>
    </row>
    <row r="33" spans="2:23" ht="15.5">
      <c r="B33" s="445"/>
      <c r="C33" s="181" t="s">
        <v>63</v>
      </c>
      <c r="D33" s="180">
        <v>109748625.50934555</v>
      </c>
      <c r="E33" s="180">
        <v>8809900.7532870248</v>
      </c>
      <c r="F33" s="180">
        <v>79085531.409174085</v>
      </c>
      <c r="G33" s="184"/>
      <c r="H33" s="17"/>
      <c r="I33" s="403"/>
      <c r="J33" s="403"/>
      <c r="K33" s="403"/>
      <c r="L33" s="403"/>
      <c r="M33" s="403"/>
      <c r="N33" s="403"/>
      <c r="O33" s="403"/>
      <c r="P33" s="406"/>
      <c r="Q33" s="406"/>
      <c r="R33" s="406"/>
      <c r="S33" s="406"/>
      <c r="T33" s="17"/>
      <c r="U33" s="17"/>
      <c r="V33" s="17"/>
      <c r="W33" s="17"/>
    </row>
    <row r="34" spans="2:23" ht="15.5">
      <c r="B34" s="445"/>
      <c r="C34" s="181" t="s">
        <v>65</v>
      </c>
      <c r="D34" s="180">
        <v>8103670829.672308</v>
      </c>
      <c r="E34" s="180">
        <v>574255889.86619306</v>
      </c>
      <c r="F34" s="180">
        <v>2191985567.7521062</v>
      </c>
      <c r="G34" s="184"/>
      <c r="H34" s="17"/>
      <c r="I34" s="403"/>
      <c r="J34" s="403"/>
      <c r="K34" s="403"/>
      <c r="L34" s="403"/>
      <c r="M34" s="403"/>
      <c r="N34" s="403"/>
      <c r="O34" s="403"/>
      <c r="P34" s="406"/>
      <c r="Q34" s="406"/>
      <c r="R34" s="406"/>
      <c r="S34" s="406"/>
      <c r="T34" s="17"/>
      <c r="U34" s="17"/>
      <c r="V34" s="17"/>
      <c r="W34" s="17"/>
    </row>
    <row r="35" spans="2:23" ht="15.5">
      <c r="B35" s="445"/>
      <c r="C35" s="181" t="s">
        <v>67</v>
      </c>
      <c r="D35" s="180">
        <v>4397060058.2249556</v>
      </c>
      <c r="E35" s="180">
        <v>104098254.68639337</v>
      </c>
      <c r="F35" s="180">
        <v>208005014.67974573</v>
      </c>
      <c r="G35" s="184"/>
      <c r="H35" s="17"/>
      <c r="I35" s="403"/>
      <c r="J35" s="403"/>
      <c r="K35" s="403"/>
      <c r="L35" s="403"/>
      <c r="M35" s="403"/>
      <c r="N35" s="403"/>
      <c r="O35" s="403"/>
      <c r="P35" s="406"/>
      <c r="Q35" s="406"/>
      <c r="R35" s="406"/>
      <c r="S35" s="406"/>
      <c r="T35" s="17"/>
      <c r="U35" s="17"/>
      <c r="V35" s="17"/>
      <c r="W35" s="17"/>
    </row>
    <row r="36" spans="2:23" ht="15.5">
      <c r="B36" s="445"/>
      <c r="C36" s="181" t="s">
        <v>69</v>
      </c>
      <c r="D36" s="180">
        <v>1169558379.5413494</v>
      </c>
      <c r="E36" s="180">
        <v>15389552.137042392</v>
      </c>
      <c r="F36" s="180">
        <v>1589731.6357236356</v>
      </c>
      <c r="G36" s="184"/>
      <c r="H36" s="17"/>
      <c r="I36" s="403"/>
      <c r="J36" s="403"/>
      <c r="K36" s="403"/>
      <c r="L36" s="403"/>
      <c r="M36" s="403"/>
      <c r="N36" s="403"/>
      <c r="O36" s="403"/>
      <c r="P36" s="406"/>
      <c r="Q36" s="406"/>
      <c r="R36" s="406"/>
      <c r="S36" s="406"/>
      <c r="T36" s="17"/>
      <c r="U36" s="17"/>
      <c r="V36" s="17"/>
      <c r="W36" s="17"/>
    </row>
    <row r="37" spans="2:23" ht="15.5">
      <c r="B37" s="445"/>
      <c r="C37" s="181" t="s">
        <v>145</v>
      </c>
      <c r="D37" s="180">
        <v>3856681449.4597306</v>
      </c>
      <c r="E37" s="180">
        <v>313488566.45645678</v>
      </c>
      <c r="F37" s="180">
        <v>897863164.42540693</v>
      </c>
      <c r="G37" s="184"/>
      <c r="H37" s="17"/>
      <c r="I37" s="403"/>
      <c r="J37" s="403"/>
      <c r="K37" s="403"/>
      <c r="L37" s="403"/>
      <c r="M37" s="403"/>
      <c r="N37" s="403"/>
      <c r="O37" s="403"/>
      <c r="P37" s="406"/>
      <c r="Q37" s="406"/>
      <c r="R37" s="406"/>
      <c r="S37" s="406"/>
      <c r="T37" s="17"/>
      <c r="U37" s="17"/>
      <c r="V37" s="17"/>
      <c r="W37" s="17"/>
    </row>
    <row r="38" spans="2:23" ht="15.5">
      <c r="B38" s="445"/>
      <c r="C38" s="181" t="s">
        <v>73</v>
      </c>
      <c r="D38" s="180">
        <v>3061793871.7566214</v>
      </c>
      <c r="E38" s="180">
        <v>17428757.026132043</v>
      </c>
      <c r="F38" s="180">
        <v>41389938.383589625</v>
      </c>
      <c r="G38" s="184"/>
      <c r="H38" s="17"/>
      <c r="I38" s="403"/>
      <c r="J38" s="403"/>
      <c r="K38" s="403"/>
      <c r="L38" s="403"/>
      <c r="M38" s="403"/>
      <c r="N38" s="403"/>
      <c r="O38" s="403"/>
      <c r="P38" s="406"/>
      <c r="Q38" s="406"/>
      <c r="R38" s="406"/>
      <c r="S38" s="406"/>
      <c r="T38" s="17"/>
      <c r="U38" s="17"/>
      <c r="V38" s="17"/>
      <c r="W38" s="17"/>
    </row>
    <row r="39" spans="2:23" ht="15.5">
      <c r="B39" s="445"/>
      <c r="C39" s="181" t="s">
        <v>75</v>
      </c>
      <c r="D39" s="180">
        <v>380005629.16243315</v>
      </c>
      <c r="E39" s="180">
        <v>6382792.888254419</v>
      </c>
      <c r="F39" s="180">
        <v>2621374.6472274726</v>
      </c>
      <c r="G39" s="184"/>
      <c r="H39" s="17"/>
      <c r="I39" s="403"/>
      <c r="J39" s="403"/>
      <c r="K39" s="403"/>
      <c r="L39" s="403"/>
      <c r="M39" s="403"/>
      <c r="N39" s="403"/>
      <c r="O39" s="403"/>
      <c r="P39" s="406"/>
      <c r="Q39" s="406"/>
      <c r="R39" s="406"/>
      <c r="S39" s="406"/>
      <c r="T39" s="17"/>
      <c r="U39" s="17"/>
      <c r="V39" s="17"/>
      <c r="W39" s="17"/>
    </row>
    <row r="40" spans="2:23" ht="15.5">
      <c r="B40" s="445"/>
      <c r="C40" s="181" t="s">
        <v>146</v>
      </c>
      <c r="D40" s="180">
        <v>4614524519.3373756</v>
      </c>
      <c r="E40" s="180">
        <v>1270683965.7010386</v>
      </c>
      <c r="F40" s="180">
        <v>632887808.44397402</v>
      </c>
      <c r="G40" s="184"/>
      <c r="H40" s="17"/>
      <c r="I40" s="403"/>
      <c r="J40" s="403"/>
      <c r="K40" s="403"/>
      <c r="L40" s="403"/>
      <c r="M40" s="403"/>
      <c r="N40" s="403"/>
      <c r="O40" s="403"/>
      <c r="P40" s="406"/>
      <c r="Q40" s="406"/>
      <c r="R40" s="406"/>
      <c r="S40" s="406"/>
      <c r="T40" s="17"/>
      <c r="U40" s="17"/>
      <c r="V40" s="17"/>
      <c r="W40" s="17"/>
    </row>
    <row r="41" spans="2:23" ht="15.5">
      <c r="B41" s="445"/>
      <c r="C41" s="181" t="s">
        <v>83</v>
      </c>
      <c r="D41" s="180">
        <v>130850379.90566061</v>
      </c>
      <c r="E41" s="180">
        <v>27181400.536853865</v>
      </c>
      <c r="F41" s="180">
        <v>39917914.315969825</v>
      </c>
      <c r="G41" s="184"/>
      <c r="H41" s="17"/>
      <c r="I41" s="403"/>
      <c r="J41" s="403"/>
      <c r="K41" s="403"/>
      <c r="L41" s="403"/>
      <c r="M41" s="403"/>
      <c r="N41" s="403"/>
      <c r="O41" s="403"/>
      <c r="P41" s="406"/>
      <c r="Q41" s="406"/>
      <c r="R41" s="406"/>
      <c r="S41" s="406"/>
      <c r="T41" s="17"/>
      <c r="U41" s="17"/>
      <c r="V41" s="17"/>
      <c r="W41" s="17"/>
    </row>
    <row r="42" spans="2:23" ht="15.5">
      <c r="B42" s="445"/>
      <c r="C42" s="181" t="s">
        <v>85</v>
      </c>
      <c r="D42" s="180">
        <v>32929983.674167044</v>
      </c>
      <c r="E42" s="180">
        <v>25920909.731064528</v>
      </c>
      <c r="F42" s="180">
        <v>113090947.1564485</v>
      </c>
      <c r="G42" s="184"/>
      <c r="H42" s="17"/>
      <c r="I42" s="403"/>
      <c r="J42" s="403"/>
      <c r="K42" s="403"/>
      <c r="L42" s="403"/>
      <c r="M42" s="403"/>
      <c r="N42" s="403"/>
      <c r="O42" s="403"/>
      <c r="P42" s="406"/>
      <c r="Q42" s="406"/>
      <c r="R42" s="406"/>
      <c r="S42" s="406"/>
      <c r="T42" s="17"/>
      <c r="U42" s="17"/>
      <c r="V42" s="17"/>
      <c r="W42" s="17"/>
    </row>
    <row r="43" spans="2:23" ht="15.5">
      <c r="B43" s="445"/>
      <c r="C43" s="181" t="s">
        <v>88</v>
      </c>
      <c r="D43" s="180">
        <v>37381914.141660281</v>
      </c>
      <c r="E43" s="180">
        <v>44064128.923397675</v>
      </c>
      <c r="F43" s="180">
        <v>33416127.586073697</v>
      </c>
      <c r="G43" s="184"/>
      <c r="H43" s="17"/>
      <c r="I43" s="403"/>
      <c r="J43" s="403"/>
      <c r="K43" s="403"/>
      <c r="L43" s="403"/>
      <c r="M43" s="403"/>
      <c r="N43" s="403"/>
      <c r="O43" s="403"/>
      <c r="P43" s="406"/>
      <c r="Q43" s="406"/>
      <c r="R43" s="406"/>
      <c r="S43" s="406"/>
      <c r="T43" s="17"/>
      <c r="U43" s="17"/>
      <c r="V43" s="17"/>
      <c r="W43" s="17"/>
    </row>
    <row r="44" spans="2:23" ht="15.75" customHeight="1">
      <c r="B44" s="448"/>
      <c r="C44" s="185" t="s">
        <v>147</v>
      </c>
      <c r="D44" s="180">
        <v>438497.14911331126</v>
      </c>
      <c r="E44" s="180">
        <v>132081.34527285269</v>
      </c>
      <c r="F44" s="180">
        <v>26290.697154273064</v>
      </c>
      <c r="G44" s="184"/>
      <c r="H44" s="17"/>
      <c r="I44" s="403"/>
      <c r="J44" s="403"/>
      <c r="K44" s="403"/>
      <c r="L44" s="403"/>
      <c r="M44" s="403"/>
      <c r="N44" s="403"/>
      <c r="O44" s="403"/>
      <c r="P44" s="406"/>
      <c r="Q44" s="406"/>
      <c r="R44" s="406"/>
      <c r="S44" s="406"/>
      <c r="T44" s="17"/>
      <c r="U44" s="17"/>
      <c r="V44" s="17"/>
      <c r="W44" s="17"/>
    </row>
    <row r="45" spans="2:23" ht="15.75" customHeight="1">
      <c r="B45" s="449" t="s">
        <v>151</v>
      </c>
      <c r="C45" s="186" t="s">
        <v>139</v>
      </c>
      <c r="D45" s="187">
        <v>0.21107511079039865</v>
      </c>
      <c r="E45" s="187">
        <v>1.8153664414700246E-2</v>
      </c>
      <c r="F45" s="187">
        <v>0.11642678911272869</v>
      </c>
      <c r="G45" s="188"/>
      <c r="H45" s="17"/>
      <c r="I45" s="403"/>
      <c r="J45" s="403"/>
      <c r="K45" s="403"/>
      <c r="L45" s="403"/>
      <c r="M45" s="403"/>
      <c r="N45" s="403"/>
      <c r="O45" s="403"/>
      <c r="P45" s="406"/>
      <c r="Q45" s="406"/>
      <c r="R45" s="406"/>
      <c r="S45" s="406"/>
      <c r="T45" s="17"/>
      <c r="U45" s="17"/>
      <c r="V45" s="17"/>
      <c r="W45" s="17"/>
    </row>
    <row r="46" spans="2:23" ht="15.75" customHeight="1">
      <c r="B46" s="450"/>
      <c r="C46" s="181" t="s">
        <v>37</v>
      </c>
      <c r="D46" s="189">
        <v>0.86644198413928175</v>
      </c>
      <c r="E46" s="189">
        <v>0.61952937049509715</v>
      </c>
      <c r="F46" s="189">
        <v>0.3287292927137076</v>
      </c>
      <c r="G46" s="188"/>
      <c r="I46" s="407"/>
      <c r="J46" s="407"/>
      <c r="K46" s="407"/>
      <c r="L46" s="407"/>
      <c r="M46" s="407"/>
      <c r="N46" s="407"/>
      <c r="O46" s="407"/>
      <c r="P46" s="406"/>
      <c r="Q46" s="406"/>
      <c r="R46" s="406"/>
      <c r="S46" s="406"/>
    </row>
    <row r="47" spans="2:23" ht="15.75" customHeight="1">
      <c r="B47" s="450"/>
      <c r="C47" s="181" t="s">
        <v>140</v>
      </c>
      <c r="D47" s="189">
        <v>0.34994493426783435</v>
      </c>
      <c r="E47" s="189">
        <v>0.60495477195487335</v>
      </c>
      <c r="F47" s="189">
        <v>0.32018973046366189</v>
      </c>
      <c r="G47" s="188"/>
      <c r="I47" s="407"/>
      <c r="J47" s="407"/>
      <c r="K47" s="407"/>
      <c r="L47" s="407"/>
      <c r="M47" s="407"/>
      <c r="N47" s="407"/>
      <c r="O47" s="407"/>
      <c r="P47" s="406"/>
      <c r="Q47" s="406"/>
      <c r="R47" s="406"/>
      <c r="S47" s="406"/>
    </row>
    <row r="48" spans="2:23" ht="15.75" customHeight="1">
      <c r="B48" s="450"/>
      <c r="C48" s="181" t="s">
        <v>48</v>
      </c>
      <c r="D48" s="189">
        <v>0.12520550009646284</v>
      </c>
      <c r="E48" s="189">
        <v>0.6544906746205631</v>
      </c>
      <c r="F48" s="189">
        <v>0.17134835396040829</v>
      </c>
      <c r="G48" s="188"/>
      <c r="I48" s="407"/>
      <c r="J48" s="407"/>
      <c r="K48" s="407"/>
      <c r="L48" s="407"/>
      <c r="M48" s="407"/>
      <c r="N48" s="407"/>
      <c r="O48" s="407"/>
      <c r="P48" s="406"/>
      <c r="Q48" s="406"/>
      <c r="R48" s="406"/>
      <c r="S48" s="406"/>
    </row>
    <row r="49" spans="2:19" ht="15.75" customHeight="1">
      <c r="B49" s="450"/>
      <c r="C49" s="181" t="s">
        <v>141</v>
      </c>
      <c r="D49" s="189">
        <v>0.53408620310116728</v>
      </c>
      <c r="E49" s="189">
        <v>9.7134491715047469E-2</v>
      </c>
      <c r="F49" s="189">
        <v>0.45841169802944193</v>
      </c>
      <c r="G49" s="188"/>
      <c r="I49" s="407"/>
      <c r="J49" s="407"/>
      <c r="K49" s="407"/>
      <c r="L49" s="407"/>
      <c r="M49" s="407"/>
      <c r="N49" s="407"/>
      <c r="O49" s="407"/>
      <c r="P49" s="406"/>
      <c r="Q49" s="406"/>
      <c r="R49" s="406"/>
      <c r="S49" s="406"/>
    </row>
    <row r="50" spans="2:19" ht="15.75" customHeight="1">
      <c r="B50" s="450"/>
      <c r="C50" s="181" t="s">
        <v>142</v>
      </c>
      <c r="D50" s="189">
        <v>1.3700115940596466E-2</v>
      </c>
      <c r="E50" s="189">
        <v>1.9480246019704224E-2</v>
      </c>
      <c r="F50" s="189">
        <v>2.669609393997625E-2</v>
      </c>
      <c r="G50" s="188"/>
      <c r="I50" s="407"/>
      <c r="J50" s="407"/>
      <c r="K50" s="407"/>
      <c r="L50" s="407"/>
      <c r="M50" s="407"/>
      <c r="N50" s="407"/>
      <c r="O50" s="407"/>
      <c r="P50" s="406"/>
      <c r="Q50" s="406"/>
      <c r="R50" s="406"/>
      <c r="S50" s="406"/>
    </row>
    <row r="51" spans="2:19" ht="15.75" customHeight="1">
      <c r="B51" s="450"/>
      <c r="C51" s="181" t="s">
        <v>143</v>
      </c>
      <c r="D51" s="189">
        <v>3.6324103411112973E-2</v>
      </c>
      <c r="E51" s="189">
        <v>0.24834002830967847</v>
      </c>
      <c r="F51" s="189">
        <v>1.5560889983975148E-2</v>
      </c>
      <c r="G51" s="188"/>
      <c r="I51" s="407"/>
      <c r="J51" s="407"/>
      <c r="K51" s="407"/>
      <c r="L51" s="407"/>
      <c r="M51" s="407"/>
      <c r="N51" s="407"/>
      <c r="O51" s="407"/>
      <c r="P51" s="406"/>
      <c r="Q51" s="406"/>
      <c r="R51" s="406"/>
      <c r="S51" s="406"/>
    </row>
    <row r="52" spans="2:19" ht="15.75" customHeight="1">
      <c r="B52" s="450"/>
      <c r="C52" s="181" t="s">
        <v>144</v>
      </c>
      <c r="D52" s="189">
        <v>0.36294607917542349</v>
      </c>
      <c r="E52" s="189">
        <v>6.5106270046939299E-3</v>
      </c>
      <c r="F52" s="189">
        <v>5.3469713898599506E-3</v>
      </c>
      <c r="G52" s="188"/>
      <c r="I52" s="407"/>
      <c r="J52" s="407"/>
      <c r="K52" s="407"/>
      <c r="L52" s="407"/>
      <c r="M52" s="407"/>
      <c r="N52" s="407"/>
      <c r="O52" s="407"/>
      <c r="P52" s="406"/>
      <c r="Q52" s="406"/>
      <c r="R52" s="406"/>
      <c r="S52" s="406"/>
    </row>
    <row r="53" spans="2:19" ht="15.75" customHeight="1">
      <c r="B53" s="450"/>
      <c r="C53" s="181" t="s">
        <v>61</v>
      </c>
      <c r="D53" s="189">
        <v>3.2338106368354951E-3</v>
      </c>
      <c r="E53" s="189">
        <v>8.4468317695461162E-3</v>
      </c>
      <c r="F53" s="189">
        <v>3.6253329853647771E-2</v>
      </c>
      <c r="G53" s="188"/>
      <c r="I53" s="407"/>
      <c r="J53" s="407"/>
      <c r="K53" s="407"/>
      <c r="L53" s="407"/>
      <c r="M53" s="407"/>
      <c r="N53" s="407"/>
      <c r="O53" s="407"/>
      <c r="P53" s="406"/>
      <c r="Q53" s="406"/>
      <c r="R53" s="406"/>
      <c r="S53" s="406"/>
    </row>
    <row r="54" spans="2:19" ht="15.75" customHeight="1">
      <c r="B54" s="450"/>
      <c r="C54" s="181" t="s">
        <v>63</v>
      </c>
      <c r="D54" s="189">
        <v>1.001363070855203E-2</v>
      </c>
      <c r="E54" s="189">
        <v>6.7590147484701737E-3</v>
      </c>
      <c r="F54" s="189">
        <v>5.5887070132201006E-4</v>
      </c>
      <c r="G54" s="188"/>
      <c r="I54" s="407"/>
      <c r="J54" s="407"/>
      <c r="K54" s="407"/>
      <c r="L54" s="407"/>
      <c r="M54" s="407"/>
      <c r="N54" s="407"/>
      <c r="O54" s="407"/>
      <c r="P54" s="406"/>
      <c r="Q54" s="406"/>
      <c r="R54" s="406"/>
      <c r="S54" s="406"/>
    </row>
    <row r="55" spans="2:19" ht="15.75" customHeight="1">
      <c r="B55" s="450"/>
      <c r="C55" s="181" t="s">
        <v>65</v>
      </c>
      <c r="D55" s="189">
        <v>4.70459203309593E-2</v>
      </c>
      <c r="E55" s="189">
        <v>0.11616450914465266</v>
      </c>
      <c r="F55" s="189">
        <v>8.8612890890736165E-2</v>
      </c>
      <c r="G55" s="188"/>
      <c r="I55" s="407"/>
      <c r="J55" s="407"/>
      <c r="K55" s="407"/>
      <c r="L55" s="407"/>
      <c r="M55" s="407"/>
      <c r="N55" s="407"/>
      <c r="O55" s="407"/>
      <c r="P55" s="406"/>
      <c r="Q55" s="406"/>
      <c r="R55" s="406"/>
      <c r="S55" s="406"/>
    </row>
    <row r="56" spans="2:19" ht="15.75" customHeight="1">
      <c r="B56" s="450"/>
      <c r="C56" s="181" t="s">
        <v>67</v>
      </c>
      <c r="D56" s="189">
        <v>0.11992684506439588</v>
      </c>
      <c r="E56" s="189">
        <v>7.6011152432060997E-2</v>
      </c>
      <c r="F56" s="189">
        <v>0.10476093148202245</v>
      </c>
      <c r="G56" s="188"/>
      <c r="I56" s="407"/>
      <c r="J56" s="407"/>
      <c r="K56" s="407"/>
      <c r="L56" s="407"/>
      <c r="M56" s="407"/>
      <c r="N56" s="407"/>
      <c r="O56" s="407"/>
      <c r="P56" s="406"/>
      <c r="Q56" s="406"/>
      <c r="R56" s="406"/>
      <c r="S56" s="406"/>
    </row>
    <row r="57" spans="2:19" ht="15.75" customHeight="1">
      <c r="B57" s="450"/>
      <c r="C57" s="181" t="s">
        <v>69</v>
      </c>
      <c r="D57" s="189">
        <v>1.4821950357068439E-2</v>
      </c>
      <c r="E57" s="189">
        <v>1.7780752817583172E-2</v>
      </c>
      <c r="F57" s="189">
        <v>1.4574505569798099E-2</v>
      </c>
      <c r="G57" s="188"/>
      <c r="I57" s="407"/>
      <c r="J57" s="407"/>
      <c r="K57" s="407"/>
      <c r="L57" s="407"/>
      <c r="M57" s="407"/>
      <c r="N57" s="407"/>
      <c r="O57" s="407"/>
      <c r="P57" s="406"/>
      <c r="Q57" s="406"/>
      <c r="R57" s="406"/>
      <c r="S57" s="406"/>
    </row>
    <row r="58" spans="2:19" ht="15.75" customHeight="1">
      <c r="B58" s="450"/>
      <c r="C58" s="181" t="s">
        <v>145</v>
      </c>
      <c r="D58" s="189">
        <v>4.9045191634677215E-2</v>
      </c>
      <c r="E58" s="189">
        <v>4.202187643065064E-2</v>
      </c>
      <c r="F58" s="189">
        <v>4.4536127492231889E-2</v>
      </c>
      <c r="G58" s="188"/>
      <c r="I58" s="407"/>
      <c r="J58" s="407"/>
      <c r="K58" s="407"/>
      <c r="L58" s="407"/>
      <c r="M58" s="407"/>
      <c r="N58" s="407"/>
      <c r="O58" s="407"/>
      <c r="P58" s="406"/>
      <c r="Q58" s="406"/>
      <c r="R58" s="406"/>
      <c r="S58" s="406"/>
    </row>
    <row r="59" spans="2:19" ht="15.75" customHeight="1">
      <c r="B59" s="450"/>
      <c r="C59" s="181" t="s">
        <v>73</v>
      </c>
      <c r="D59" s="189">
        <v>9.4007722224187643E-2</v>
      </c>
      <c r="E59" s="189">
        <v>0.42416175434168002</v>
      </c>
      <c r="F59" s="189">
        <v>4.0768843271760065E-2</v>
      </c>
      <c r="G59" s="188"/>
      <c r="I59" s="407"/>
      <c r="J59" s="407"/>
      <c r="K59" s="407"/>
      <c r="L59" s="407"/>
      <c r="M59" s="407"/>
      <c r="N59" s="407"/>
      <c r="O59" s="407"/>
      <c r="P59" s="406"/>
      <c r="Q59" s="406"/>
      <c r="R59" s="406"/>
      <c r="S59" s="406"/>
    </row>
    <row r="60" spans="2:19" ht="15.75" customHeight="1">
      <c r="B60" s="450"/>
      <c r="C60" s="181" t="s">
        <v>75</v>
      </c>
      <c r="D60" s="189">
        <v>2.5269648737979277E-3</v>
      </c>
      <c r="E60" s="189">
        <v>4.3009303396114055E-3</v>
      </c>
      <c r="F60" s="189">
        <v>2.5419926093153407E-4</v>
      </c>
      <c r="G60" s="188"/>
      <c r="I60" s="407"/>
      <c r="J60" s="407"/>
      <c r="K60" s="407"/>
      <c r="L60" s="407"/>
      <c r="M60" s="407"/>
      <c r="N60" s="407"/>
      <c r="O60" s="407"/>
      <c r="P60" s="406"/>
      <c r="Q60" s="406"/>
      <c r="R60" s="406"/>
      <c r="S60" s="406"/>
    </row>
    <row r="61" spans="2:19" ht="15.75" customHeight="1">
      <c r="B61" s="450"/>
      <c r="C61" s="181" t="s">
        <v>146</v>
      </c>
      <c r="D61" s="189">
        <v>0.16465644192180917</v>
      </c>
      <c r="E61" s="189">
        <v>0.16582631037191028</v>
      </c>
      <c r="F61" s="189">
        <v>4.4525299330690354E-2</v>
      </c>
      <c r="G61" s="188"/>
      <c r="I61" s="407"/>
      <c r="J61" s="407"/>
      <c r="K61" s="407"/>
      <c r="L61" s="407"/>
      <c r="M61" s="407"/>
      <c r="N61" s="407"/>
      <c r="O61" s="407"/>
      <c r="P61" s="406"/>
      <c r="Q61" s="406"/>
      <c r="R61" s="406"/>
      <c r="S61" s="406"/>
    </row>
    <row r="62" spans="2:19" ht="15.75" customHeight="1">
      <c r="B62" s="450"/>
      <c r="C62" s="181" t="s">
        <v>83</v>
      </c>
      <c r="D62" s="189">
        <v>6.2760146357713778E-2</v>
      </c>
      <c r="E62" s="189">
        <v>2.0750973677719696E-4</v>
      </c>
      <c r="F62" s="189">
        <v>0.13200362967327106</v>
      </c>
      <c r="G62" s="188"/>
      <c r="I62" s="407"/>
      <c r="J62" s="407"/>
      <c r="K62" s="407"/>
      <c r="L62" s="407"/>
      <c r="M62" s="407"/>
      <c r="N62" s="407"/>
      <c r="O62" s="407"/>
      <c r="P62" s="406"/>
      <c r="Q62" s="406"/>
      <c r="R62" s="406"/>
      <c r="S62" s="406"/>
    </row>
    <row r="63" spans="2:19" ht="15.75" customHeight="1">
      <c r="B63" s="450"/>
      <c r="C63" s="181" t="s">
        <v>85</v>
      </c>
      <c r="D63" s="189">
        <v>2.7460706977374093E-3</v>
      </c>
      <c r="E63" s="189">
        <v>4.4765489444177522E-4</v>
      </c>
      <c r="F63" s="189">
        <v>0.61100518352083411</v>
      </c>
      <c r="G63" s="188"/>
      <c r="I63" s="407"/>
      <c r="J63" s="407"/>
      <c r="K63" s="407"/>
      <c r="L63" s="407"/>
      <c r="M63" s="407"/>
      <c r="N63" s="407"/>
      <c r="O63" s="407"/>
      <c r="P63" s="406"/>
      <c r="Q63" s="406"/>
      <c r="R63" s="406"/>
      <c r="S63" s="406"/>
    </row>
    <row r="64" spans="2:19" ht="15.75" customHeight="1">
      <c r="B64" s="450"/>
      <c r="C64" s="181" t="s">
        <v>88</v>
      </c>
      <c r="D64" s="189">
        <v>1.7020487223560687E-3</v>
      </c>
      <c r="E64" s="189">
        <v>4.1527903521379554E-4</v>
      </c>
      <c r="F64" s="189">
        <v>4.0905491879477326E-2</v>
      </c>
      <c r="G64" s="188"/>
      <c r="I64" s="407"/>
      <c r="J64" s="407"/>
      <c r="K64" s="407"/>
      <c r="L64" s="407"/>
      <c r="M64" s="407"/>
      <c r="N64" s="407"/>
      <c r="O64" s="407"/>
      <c r="P64" s="406"/>
      <c r="Q64" s="406"/>
      <c r="R64" s="406"/>
      <c r="S64" s="406"/>
    </row>
    <row r="65" spans="2:23" ht="15.75" customHeight="1">
      <c r="B65" s="451"/>
      <c r="C65" s="185" t="s">
        <v>147</v>
      </c>
      <c r="D65" s="190">
        <v>0</v>
      </c>
      <c r="E65" s="190">
        <v>0</v>
      </c>
      <c r="F65" s="190">
        <v>0</v>
      </c>
      <c r="G65" s="191"/>
      <c r="I65" s="407"/>
      <c r="J65" s="407"/>
      <c r="K65" s="407"/>
      <c r="L65" s="407"/>
      <c r="M65" s="407"/>
      <c r="N65" s="407"/>
      <c r="O65" s="407"/>
      <c r="P65" s="406"/>
      <c r="Q65" s="406"/>
      <c r="R65" s="406"/>
      <c r="S65" s="406"/>
    </row>
    <row r="66" spans="2:23" ht="15.75" customHeight="1"/>
    <row r="67" spans="2:23" ht="15.75" customHeight="1"/>
    <row r="68" spans="2:23" ht="15.75" customHeight="1"/>
    <row r="69" spans="2:23" ht="15.75" customHeight="1"/>
    <row r="70" spans="2:23" ht="15.75" customHeight="1"/>
    <row r="71" spans="2:23" ht="15.75" customHeight="1">
      <c r="B71" s="456" t="s">
        <v>139</v>
      </c>
      <c r="C71" s="457"/>
      <c r="D71" s="457"/>
      <c r="E71" s="457"/>
      <c r="F71" s="457"/>
      <c r="G71" s="457"/>
      <c r="H71" s="457"/>
      <c r="I71" s="457"/>
      <c r="J71" s="457"/>
      <c r="K71" s="457"/>
      <c r="L71" s="457"/>
      <c r="M71" s="457"/>
      <c r="N71" s="457"/>
      <c r="O71" s="457"/>
      <c r="P71" s="457"/>
      <c r="Q71" s="457"/>
      <c r="R71" s="457"/>
      <c r="S71" s="457"/>
      <c r="T71" s="457"/>
      <c r="U71" s="457"/>
      <c r="V71" s="457"/>
      <c r="W71" s="457"/>
    </row>
    <row r="72" spans="2:23" ht="15.75" customHeight="1">
      <c r="B72" s="454" t="s">
        <v>1171</v>
      </c>
      <c r="C72" s="455"/>
      <c r="D72" s="455"/>
      <c r="E72" s="455"/>
      <c r="F72" s="455"/>
      <c r="G72" s="455"/>
      <c r="H72" s="455"/>
      <c r="I72" s="455"/>
      <c r="J72" s="455"/>
      <c r="K72" s="455"/>
      <c r="L72" s="455"/>
      <c r="M72" s="455"/>
      <c r="N72" s="455"/>
      <c r="O72" s="455"/>
      <c r="P72" s="455"/>
      <c r="Q72" s="455"/>
      <c r="R72" s="455"/>
      <c r="S72" s="455"/>
      <c r="T72" s="455"/>
      <c r="U72" s="455"/>
      <c r="V72" s="455"/>
      <c r="W72" s="455"/>
    </row>
    <row r="73" spans="2:23" ht="15.75" customHeight="1">
      <c r="B73" s="8"/>
      <c r="C73" s="308" t="s">
        <v>139</v>
      </c>
      <c r="D73" s="179" t="s">
        <v>37</v>
      </c>
      <c r="E73" s="179" t="s">
        <v>140</v>
      </c>
      <c r="F73" s="179" t="s">
        <v>48</v>
      </c>
      <c r="G73" s="179" t="s">
        <v>141</v>
      </c>
      <c r="H73" s="179" t="s">
        <v>142</v>
      </c>
      <c r="I73" s="179" t="s">
        <v>143</v>
      </c>
      <c r="J73" s="179" t="s">
        <v>144</v>
      </c>
      <c r="K73" s="179" t="s">
        <v>61</v>
      </c>
      <c r="L73" s="179" t="s">
        <v>63</v>
      </c>
      <c r="M73" s="179" t="s">
        <v>65</v>
      </c>
      <c r="N73" s="179" t="s">
        <v>67</v>
      </c>
      <c r="O73" s="179" t="s">
        <v>69</v>
      </c>
      <c r="P73" s="179" t="s">
        <v>145</v>
      </c>
      <c r="Q73" s="179" t="s">
        <v>73</v>
      </c>
      <c r="R73" s="179" t="s">
        <v>75</v>
      </c>
      <c r="S73" s="179" t="s">
        <v>146</v>
      </c>
      <c r="T73" s="179" t="s">
        <v>83</v>
      </c>
      <c r="U73" s="179" t="s">
        <v>85</v>
      </c>
      <c r="V73" s="179" t="s">
        <v>88</v>
      </c>
      <c r="W73" s="179" t="s">
        <v>147</v>
      </c>
    </row>
    <row r="74" spans="2:23" ht="15.75" customHeight="1">
      <c r="B74" s="308" t="s">
        <v>139</v>
      </c>
      <c r="C74">
        <v>9.0738727855661463E-2</v>
      </c>
      <c r="D74">
        <v>3.4008214817033208E-4</v>
      </c>
      <c r="E74">
        <v>2.725058660103951E-2</v>
      </c>
      <c r="F74">
        <v>1.063755061209653E-4</v>
      </c>
      <c r="G74">
        <v>2.7579493221971179E-4</v>
      </c>
      <c r="H74">
        <v>1.035196188815131E-3</v>
      </c>
      <c r="I74">
        <v>2.029532194676865E-3</v>
      </c>
      <c r="J74">
        <v>1.688631033513834E-3</v>
      </c>
      <c r="K74">
        <v>7.7185684445079089E-4</v>
      </c>
      <c r="L74">
        <v>3.1538645908582048E-4</v>
      </c>
      <c r="M74">
        <v>6.8093414869108016E-3</v>
      </c>
      <c r="N74">
        <v>1.392885958802906E-3</v>
      </c>
      <c r="O74">
        <v>1.536156664120846E-2</v>
      </c>
      <c r="P74">
        <v>6.388665159493853E-4</v>
      </c>
      <c r="Q74">
        <v>7.9399952547940986E-5</v>
      </c>
      <c r="R74">
        <v>9.0913537669181586E-5</v>
      </c>
      <c r="S74">
        <v>2.1649374341415769E-3</v>
      </c>
      <c r="T74">
        <v>3.6175801459538881E-4</v>
      </c>
      <c r="U74">
        <v>2.332266041447626E-4</v>
      </c>
      <c r="V74">
        <v>5.6248482273633504E-4</v>
      </c>
      <c r="W74">
        <v>0</v>
      </c>
    </row>
    <row r="75" spans="2:23" ht="15.75" customHeight="1">
      <c r="B75" s="309" t="s">
        <v>37</v>
      </c>
      <c r="C75">
        <v>1.7284549117602829E-4</v>
      </c>
      <c r="D75">
        <v>4.630204481647182E-3</v>
      </c>
      <c r="E75">
        <v>1.472060503818799E-3</v>
      </c>
      <c r="F75">
        <v>5.5802347117956001E-2</v>
      </c>
      <c r="G75">
        <v>5.9286640105416161E-4</v>
      </c>
      <c r="H75">
        <v>4.5961515158082613E-3</v>
      </c>
      <c r="I75">
        <v>2.150660895137364E-2</v>
      </c>
      <c r="J75">
        <v>1.930552084049547E-4</v>
      </c>
      <c r="K75">
        <v>1.0159147359706309E-3</v>
      </c>
      <c r="L75">
        <v>1.1539495299798829E-3</v>
      </c>
      <c r="M75">
        <v>1.132722887948951E-3</v>
      </c>
      <c r="N75">
        <v>3.8080914688585783E-4</v>
      </c>
      <c r="O75">
        <v>5.0511842155450011E-4</v>
      </c>
      <c r="P75">
        <v>3.9664036029837747E-4</v>
      </c>
      <c r="Q75">
        <v>1.2931228796424221E-4</v>
      </c>
      <c r="R75">
        <v>1.8258423456558149E-4</v>
      </c>
      <c r="S75">
        <v>5.5232470999586677E-4</v>
      </c>
      <c r="T75">
        <v>2.375046886816347E-4</v>
      </c>
      <c r="U75">
        <v>1.8068532455830499E-4</v>
      </c>
      <c r="V75">
        <v>3.2619029533113468E-4</v>
      </c>
      <c r="W75">
        <v>0</v>
      </c>
    </row>
    <row r="76" spans="2:23" ht="15.75" customHeight="1">
      <c r="B76" s="309" t="s">
        <v>140</v>
      </c>
      <c r="C76">
        <v>0.12798976126837969</v>
      </c>
      <c r="D76">
        <v>7.1442510630232617E-2</v>
      </c>
      <c r="E76">
        <v>0.28612800189691301</v>
      </c>
      <c r="F76">
        <v>5.7553594756957108E-2</v>
      </c>
      <c r="G76">
        <v>0.25466149781929931</v>
      </c>
      <c r="H76">
        <v>1.6168082994186501E-2</v>
      </c>
      <c r="I76">
        <v>3.2942490639905057E-2</v>
      </c>
      <c r="J76">
        <v>0.11658924749712291</v>
      </c>
      <c r="K76">
        <v>6.3598607169903065E-2</v>
      </c>
      <c r="L76">
        <v>0.1244784297691951</v>
      </c>
      <c r="M76">
        <v>4.5545602684059341E-2</v>
      </c>
      <c r="N76">
        <v>4.2282202862671377E-2</v>
      </c>
      <c r="O76">
        <v>0.16198375788492819</v>
      </c>
      <c r="P76">
        <v>5.6940779219646402E-2</v>
      </c>
      <c r="Q76">
        <v>1.6021937869932921E-2</v>
      </c>
      <c r="R76">
        <v>1.0286201624718881E-2</v>
      </c>
      <c r="S76">
        <v>5.4765987358535058E-2</v>
      </c>
      <c r="T76">
        <v>1.012351868706822E-2</v>
      </c>
      <c r="U76">
        <v>8.2401310240037343E-3</v>
      </c>
      <c r="V76">
        <v>4.5372899415037603E-2</v>
      </c>
      <c r="W76">
        <v>0</v>
      </c>
    </row>
    <row r="77" spans="2:23" ht="15.75" customHeight="1">
      <c r="B77" s="309" t="s">
        <v>48</v>
      </c>
      <c r="C77">
        <v>2.2887383267995151E-2</v>
      </c>
      <c r="D77">
        <v>1.7231733209982041E-2</v>
      </c>
      <c r="E77">
        <v>9.8088375236324039E-3</v>
      </c>
      <c r="F77">
        <v>9.7716540819167003E-2</v>
      </c>
      <c r="G77">
        <v>1.870618648862546E-3</v>
      </c>
      <c r="H77">
        <v>3.3882622371737857E-2</v>
      </c>
      <c r="I77">
        <v>4.4639838792952767E-3</v>
      </c>
      <c r="J77">
        <v>4.7094137519123986E-3</v>
      </c>
      <c r="K77">
        <v>2.0084462462955949E-2</v>
      </c>
      <c r="L77">
        <v>6.7980520737620214E-3</v>
      </c>
      <c r="M77">
        <v>3.3081833678234749E-3</v>
      </c>
      <c r="N77">
        <v>6.1530165580764629E-2</v>
      </c>
      <c r="O77">
        <v>6.8446458609775526E-4</v>
      </c>
      <c r="P77">
        <v>6.2594659104972907E-4</v>
      </c>
      <c r="Q77">
        <v>3.2155690348389449E-4</v>
      </c>
      <c r="R77">
        <v>3.4632634688597722E-5</v>
      </c>
      <c r="S77">
        <v>2.7646385894074589E-3</v>
      </c>
      <c r="T77">
        <v>2.1375194508883029E-3</v>
      </c>
      <c r="U77">
        <v>1.176563658730596E-4</v>
      </c>
      <c r="V77">
        <v>6.1952583016709598E-4</v>
      </c>
      <c r="W77">
        <v>0</v>
      </c>
    </row>
    <row r="78" spans="2:23" ht="15.75" customHeight="1">
      <c r="B78" s="309" t="s">
        <v>141</v>
      </c>
      <c r="C78">
        <v>1.526345549999788E-3</v>
      </c>
      <c r="D78">
        <v>6.3007686387951548E-3</v>
      </c>
      <c r="E78">
        <v>5.9205066107990067E-3</v>
      </c>
      <c r="F78">
        <v>1.973846365789904E-3</v>
      </c>
      <c r="G78">
        <v>5.7688925375741738E-2</v>
      </c>
      <c r="H78">
        <v>1.264472379196359E-3</v>
      </c>
      <c r="I78">
        <v>2.5025054592159291E-3</v>
      </c>
      <c r="J78">
        <v>5.597299592102381E-3</v>
      </c>
      <c r="K78">
        <v>4.7435399945610478E-3</v>
      </c>
      <c r="L78">
        <v>3.8067170547696062E-3</v>
      </c>
      <c r="M78">
        <v>6.7547008347684382E-3</v>
      </c>
      <c r="N78">
        <v>1.526691839989232E-2</v>
      </c>
      <c r="O78">
        <v>1.8518473271030881E-3</v>
      </c>
      <c r="P78">
        <v>3.4604179291809079E-3</v>
      </c>
      <c r="Q78">
        <v>9.7713699768856672E-4</v>
      </c>
      <c r="R78">
        <v>9.2707985514541296E-4</v>
      </c>
      <c r="S78">
        <v>5.2524555527018787E-3</v>
      </c>
      <c r="T78">
        <v>1.0436780029359251E-3</v>
      </c>
      <c r="U78">
        <v>5.865942707800032E-4</v>
      </c>
      <c r="V78">
        <v>1.2786117535712521E-3</v>
      </c>
      <c r="W78">
        <v>0</v>
      </c>
    </row>
    <row r="79" spans="2:23" ht="15.75" customHeight="1">
      <c r="B79" s="309" t="s">
        <v>142</v>
      </c>
      <c r="C79">
        <v>1.6985394422450031E-2</v>
      </c>
      <c r="D79">
        <v>1.755305927750812E-2</v>
      </c>
      <c r="E79">
        <v>1.816475756839555E-2</v>
      </c>
      <c r="F79">
        <v>1.850407584750147E-2</v>
      </c>
      <c r="G79">
        <v>7.8636515320602528E-3</v>
      </c>
      <c r="H79">
        <v>0.34601685221730571</v>
      </c>
      <c r="I79">
        <v>1.1509330347088309E-3</v>
      </c>
      <c r="J79">
        <v>2.2396288578758138E-3</v>
      </c>
      <c r="K79">
        <v>2.1356169896874899E-2</v>
      </c>
      <c r="L79">
        <v>2.6681426708168739E-3</v>
      </c>
      <c r="M79">
        <v>1.140909372839158E-2</v>
      </c>
      <c r="N79">
        <v>1.032895315707226E-2</v>
      </c>
      <c r="O79">
        <v>1.4252119672365201E-2</v>
      </c>
      <c r="P79">
        <v>8.0510484524935408E-3</v>
      </c>
      <c r="Q79">
        <v>3.4664204666135009E-3</v>
      </c>
      <c r="R79">
        <v>5.3394950578278852E-4</v>
      </c>
      <c r="S79">
        <v>7.0745101521484431E-3</v>
      </c>
      <c r="T79">
        <v>1.204860017408786E-2</v>
      </c>
      <c r="U79">
        <v>4.3690379575275582E-3</v>
      </c>
      <c r="V79">
        <v>5.9806602459386068E-3</v>
      </c>
      <c r="W79">
        <v>0</v>
      </c>
    </row>
    <row r="80" spans="2:23" ht="15.75" customHeight="1">
      <c r="B80" s="309" t="s">
        <v>143</v>
      </c>
      <c r="C80">
        <v>7.3541209068179135E-4</v>
      </c>
      <c r="D80">
        <v>5.3019759191613117E-3</v>
      </c>
      <c r="E80">
        <v>2.8748048527762029E-3</v>
      </c>
      <c r="F80">
        <v>1.1828885493268681E-3</v>
      </c>
      <c r="G80">
        <v>1.014973278610463E-4</v>
      </c>
      <c r="H80">
        <v>8.444639099885913E-2</v>
      </c>
      <c r="I80">
        <v>1.3277627721683651E-4</v>
      </c>
      <c r="J80">
        <v>3.5535378007225213E-2</v>
      </c>
      <c r="K80">
        <v>5.2797537816994099E-3</v>
      </c>
      <c r="L80">
        <v>8.5778555024856222E-4</v>
      </c>
      <c r="M80">
        <v>5.9747946284955441E-4</v>
      </c>
      <c r="N80">
        <v>8.9642710075969756E-4</v>
      </c>
      <c r="O80">
        <v>3.9892040333285609E-3</v>
      </c>
      <c r="P80">
        <v>2.1608588485139738E-3</v>
      </c>
      <c r="Q80">
        <v>1.0334528252948371E-3</v>
      </c>
      <c r="R80">
        <v>1.438170016301239E-4</v>
      </c>
      <c r="S80">
        <v>1.285355411817946E-3</v>
      </c>
      <c r="T80">
        <v>3.7445731754919358E-3</v>
      </c>
      <c r="U80">
        <v>1.4706751146554729E-3</v>
      </c>
      <c r="V80">
        <v>2.1955082728671192E-3</v>
      </c>
      <c r="W80">
        <v>0</v>
      </c>
    </row>
    <row r="81" spans="2:23" ht="15.75" customHeight="1">
      <c r="B81" s="309" t="s">
        <v>144</v>
      </c>
      <c r="C81">
        <v>2.5654968141938761E-5</v>
      </c>
      <c r="D81">
        <v>3.1378408631276762E-5</v>
      </c>
      <c r="E81">
        <v>3.1267156687898839E-5</v>
      </c>
      <c r="F81">
        <v>7.0581638449252839E-7</v>
      </c>
      <c r="G81">
        <v>4.4719292092199782E-5</v>
      </c>
      <c r="H81">
        <v>3.2539860652214997E-5</v>
      </c>
      <c r="I81">
        <v>2.4562295085929552E-4</v>
      </c>
      <c r="J81">
        <v>4.7783913173934668E-4</v>
      </c>
      <c r="K81">
        <v>8.4975328811271385E-6</v>
      </c>
      <c r="L81">
        <v>1.2457663718210501E-4</v>
      </c>
      <c r="M81">
        <v>1.7928601544624149E-5</v>
      </c>
      <c r="N81">
        <v>1.6355642075293892E-5</v>
      </c>
      <c r="O81">
        <v>6.6447178957295947E-6</v>
      </c>
      <c r="P81">
        <v>2.1906850777043681E-5</v>
      </c>
      <c r="Q81">
        <v>1.318001983422371E-5</v>
      </c>
      <c r="R81">
        <v>4.9612931303918865E-7</v>
      </c>
      <c r="S81">
        <v>1.0640750435597919E-5</v>
      </c>
      <c r="T81">
        <v>1.2458173153174929E-5</v>
      </c>
      <c r="U81">
        <v>1.179705651271885E-5</v>
      </c>
      <c r="V81">
        <v>6.2883900869353078E-6</v>
      </c>
      <c r="W81">
        <v>0</v>
      </c>
    </row>
    <row r="82" spans="2:23" ht="15.75" customHeight="1">
      <c r="B82" s="309" t="s">
        <v>61</v>
      </c>
      <c r="C82">
        <v>7.704411129644719E-3</v>
      </c>
      <c r="D82">
        <v>2.8298524646068478E-2</v>
      </c>
      <c r="E82">
        <v>1.3122666459478721E-2</v>
      </c>
      <c r="F82">
        <v>3.4312632647227688E-3</v>
      </c>
      <c r="G82">
        <v>6.5112517601963087E-3</v>
      </c>
      <c r="H82">
        <v>1.495689039717522E-2</v>
      </c>
      <c r="I82">
        <v>3.3816528321571677E-2</v>
      </c>
      <c r="J82">
        <v>1.6970328214892649E-2</v>
      </c>
      <c r="K82">
        <v>0.20471522532922701</v>
      </c>
      <c r="L82">
        <v>3.6336797033638922E-3</v>
      </c>
      <c r="M82">
        <v>2.999501968691753E-3</v>
      </c>
      <c r="N82">
        <v>4.7878432045224224E-3</v>
      </c>
      <c r="O82">
        <v>3.0935378651750669E-3</v>
      </c>
      <c r="P82">
        <v>7.561910512532832E-3</v>
      </c>
      <c r="Q82">
        <v>1.328162835286283E-3</v>
      </c>
      <c r="R82">
        <v>5.6240963128928846E-4</v>
      </c>
      <c r="S82">
        <v>3.500950551794751E-3</v>
      </c>
      <c r="T82">
        <v>2.3552405297892799E-3</v>
      </c>
      <c r="U82">
        <v>1.0547391678524061E-3</v>
      </c>
      <c r="V82">
        <v>3.0141653936736571E-3</v>
      </c>
      <c r="W82">
        <v>0</v>
      </c>
    </row>
    <row r="83" spans="2:23" ht="15.75" customHeight="1">
      <c r="B83" s="309" t="s">
        <v>63</v>
      </c>
      <c r="C83">
        <v>1.156476381924673E-2</v>
      </c>
      <c r="D83">
        <v>6.5540544071515973E-3</v>
      </c>
      <c r="E83">
        <v>6.6455667010043174E-3</v>
      </c>
      <c r="F83">
        <v>6.6240873793673074E-3</v>
      </c>
      <c r="G83">
        <v>9.9950990836166209E-3</v>
      </c>
      <c r="H83">
        <v>7.9447030935082402E-3</v>
      </c>
      <c r="I83">
        <v>1.4149602178659449E-3</v>
      </c>
      <c r="J83">
        <v>2.657001329480946E-3</v>
      </c>
      <c r="K83">
        <v>1.0474881558866779E-2</v>
      </c>
      <c r="L83">
        <v>0.28921875947861592</v>
      </c>
      <c r="M83">
        <v>8.0209151304043765E-3</v>
      </c>
      <c r="N83">
        <v>1.2574850344664421E-2</v>
      </c>
      <c r="O83">
        <v>7.3775677130098749E-3</v>
      </c>
      <c r="P83">
        <v>1.0597727037149351E-2</v>
      </c>
      <c r="Q83">
        <v>5.024862884423666E-3</v>
      </c>
      <c r="R83">
        <v>7.8698925198866961E-3</v>
      </c>
      <c r="S83">
        <v>1.1768608916583699E-2</v>
      </c>
      <c r="T83">
        <v>1.9238063709951871E-2</v>
      </c>
      <c r="U83">
        <v>6.1748904335701951E-3</v>
      </c>
      <c r="V83">
        <v>1.342705157760146E-2</v>
      </c>
      <c r="W83">
        <v>0</v>
      </c>
    </row>
    <row r="84" spans="2:23" ht="15.75" customHeight="1">
      <c r="B84" s="309" t="s">
        <v>65</v>
      </c>
      <c r="C84">
        <v>3.1291171520806627E-2</v>
      </c>
      <c r="D84">
        <v>2.7007587963122751E-2</v>
      </c>
      <c r="E84">
        <v>5.9328399725609583E-2</v>
      </c>
      <c r="F84">
        <v>6.3305961190755072E-2</v>
      </c>
      <c r="G84">
        <v>7.2939624918907764E-2</v>
      </c>
      <c r="H84">
        <v>2.776534275229545E-2</v>
      </c>
      <c r="I84">
        <v>5.9011076098706851E-2</v>
      </c>
      <c r="J84">
        <v>0.35311007616460699</v>
      </c>
      <c r="K84">
        <v>4.4917798537213859E-2</v>
      </c>
      <c r="L84">
        <v>2.370120609727188E-2</v>
      </c>
      <c r="M84">
        <v>4.7631634280223129E-2</v>
      </c>
      <c r="N84">
        <v>4.1193143072341683E-2</v>
      </c>
      <c r="O84">
        <v>3.2521097115148327E-2</v>
      </c>
      <c r="P84">
        <v>2.6825693347681041E-2</v>
      </c>
      <c r="Q84">
        <v>1.285871144440431E-2</v>
      </c>
      <c r="R84">
        <v>3.537347587858254E-3</v>
      </c>
      <c r="S84">
        <v>3.6297833033968198E-2</v>
      </c>
      <c r="T84">
        <v>5.2976412305195163E-3</v>
      </c>
      <c r="U84">
        <v>3.592025862999928E-3</v>
      </c>
      <c r="V84">
        <v>1.9983990052287869E-2</v>
      </c>
      <c r="W84">
        <v>0</v>
      </c>
    </row>
    <row r="85" spans="2:23" ht="15.75" customHeight="1">
      <c r="B85" s="309" t="s">
        <v>67</v>
      </c>
      <c r="C85">
        <v>1.715160222503288E-2</v>
      </c>
      <c r="D85">
        <v>3.3221405041052372E-2</v>
      </c>
      <c r="E85">
        <v>2.5921956067663159E-2</v>
      </c>
      <c r="F85">
        <v>2.8617417412157811E-2</v>
      </c>
      <c r="G85">
        <v>1.835465356166183E-2</v>
      </c>
      <c r="H85">
        <v>1.7250419994122222E-2</v>
      </c>
      <c r="I85">
        <v>0.1012709831218634</v>
      </c>
      <c r="J85">
        <v>5.3482471455573027E-2</v>
      </c>
      <c r="K85">
        <v>1.64978105790764E-2</v>
      </c>
      <c r="L85">
        <v>1.0894220699657181E-2</v>
      </c>
      <c r="M85">
        <v>3.2417763095490923E-2</v>
      </c>
      <c r="N85">
        <v>7.2956703859390182E-2</v>
      </c>
      <c r="O85">
        <v>9.1154533198254378E-3</v>
      </c>
      <c r="P85">
        <v>8.8707673651806495E-3</v>
      </c>
      <c r="Q85">
        <v>5.5259416118956847E-3</v>
      </c>
      <c r="R85">
        <v>7.8293869554357397E-4</v>
      </c>
      <c r="S85">
        <v>2.964734560482651E-2</v>
      </c>
      <c r="T85">
        <v>1.037878477765169E-2</v>
      </c>
      <c r="U85">
        <v>4.0213203755674644E-3</v>
      </c>
      <c r="V85">
        <v>4.5783078620229428E-3</v>
      </c>
      <c r="W85">
        <v>0</v>
      </c>
    </row>
    <row r="86" spans="2:23" ht="15.75" customHeight="1">
      <c r="B86" s="309" t="s">
        <v>69</v>
      </c>
      <c r="C86">
        <v>8.7387770188667672E-4</v>
      </c>
      <c r="D86">
        <v>4.0339003112672108E-3</v>
      </c>
      <c r="E86">
        <v>4.2976001246911796E-3</v>
      </c>
      <c r="F86">
        <v>1.574004487952186E-3</v>
      </c>
      <c r="G86">
        <v>7.3609941699095526E-3</v>
      </c>
      <c r="H86">
        <v>3.7099843972711929E-3</v>
      </c>
      <c r="I86">
        <v>1.8667807038840419E-2</v>
      </c>
      <c r="J86">
        <v>6.8974250296163098E-3</v>
      </c>
      <c r="K86">
        <v>8.8491732981079579E-4</v>
      </c>
      <c r="L86">
        <v>1.0646488507540181E-2</v>
      </c>
      <c r="M86">
        <v>9.130525186834151E-3</v>
      </c>
      <c r="N86">
        <v>5.1841558951526293E-3</v>
      </c>
      <c r="O86">
        <v>6.2572955368152853E-3</v>
      </c>
      <c r="P86">
        <v>8.8094454103201918E-3</v>
      </c>
      <c r="Q86">
        <v>2.115174737012063E-3</v>
      </c>
      <c r="R86">
        <v>1.7519029900505551E-3</v>
      </c>
      <c r="S86">
        <v>1.1098292639899089E-2</v>
      </c>
      <c r="T86">
        <v>2.8605422964825158E-3</v>
      </c>
      <c r="U86">
        <v>2.6181102973173121E-3</v>
      </c>
      <c r="V86">
        <v>1.1175052058575601E-2</v>
      </c>
      <c r="W86">
        <v>0</v>
      </c>
    </row>
    <row r="87" spans="2:23" ht="15.75" customHeight="1">
      <c r="B87" s="309" t="s">
        <v>145</v>
      </c>
      <c r="C87">
        <v>6.0248164668363713E-3</v>
      </c>
      <c r="D87">
        <v>1.8394553426311459E-2</v>
      </c>
      <c r="E87">
        <v>1.55411927770295E-2</v>
      </c>
      <c r="F87">
        <v>6.4045428199204849E-3</v>
      </c>
      <c r="G87">
        <v>2.8033772058228611E-2</v>
      </c>
      <c r="H87">
        <v>1.4733989477776139E-2</v>
      </c>
      <c r="I87">
        <v>7.2327464745855899E-2</v>
      </c>
      <c r="J87">
        <v>1.4032013361992409E-2</v>
      </c>
      <c r="K87">
        <v>3.2314312297671302E-2</v>
      </c>
      <c r="L87">
        <v>2.0610280248855709E-2</v>
      </c>
      <c r="M87">
        <v>3.508033772519667E-2</v>
      </c>
      <c r="N87">
        <v>1.309637293023481E-2</v>
      </c>
      <c r="O87">
        <v>1.9694872431900011E-2</v>
      </c>
      <c r="P87">
        <v>0.12831231719880021</v>
      </c>
      <c r="Q87">
        <v>4.1760878218729633E-2</v>
      </c>
      <c r="R87">
        <v>5.0274859289741146E-3</v>
      </c>
      <c r="S87">
        <v>5.7494374595272089E-2</v>
      </c>
      <c r="T87">
        <v>2.0379943973237381E-2</v>
      </c>
      <c r="U87">
        <v>9.1619179094287462E-3</v>
      </c>
      <c r="V87">
        <v>2.2354239723262059E-2</v>
      </c>
      <c r="W87">
        <v>0</v>
      </c>
    </row>
    <row r="88" spans="2:23" ht="15.75" customHeight="1">
      <c r="B88" s="309" t="s">
        <v>73</v>
      </c>
      <c r="C88">
        <v>1.441877883751632E-2</v>
      </c>
      <c r="D88">
        <v>1.157521012485074E-2</v>
      </c>
      <c r="E88">
        <v>1.8945925044746161E-2</v>
      </c>
      <c r="F88">
        <v>6.0765763889052563E-3</v>
      </c>
      <c r="G88">
        <v>1.3024733673883871E-2</v>
      </c>
      <c r="H88">
        <v>9.972419696423148E-3</v>
      </c>
      <c r="I88">
        <v>1.5854081462915271E-2</v>
      </c>
      <c r="J88">
        <v>3.685842374885786E-3</v>
      </c>
      <c r="K88">
        <v>1.6316723678841589E-2</v>
      </c>
      <c r="L88">
        <v>2.5990694537105861E-2</v>
      </c>
      <c r="M88">
        <v>4.8254260775648122E-2</v>
      </c>
      <c r="N88">
        <v>1.8304178763300809E-2</v>
      </c>
      <c r="O88">
        <v>2.599869516476663E-2</v>
      </c>
      <c r="P88">
        <v>2.33879073783257E-2</v>
      </c>
      <c r="Q88">
        <v>0.18416444833229059</v>
      </c>
      <c r="R88">
        <v>4.3596456624117208E-2</v>
      </c>
      <c r="S88">
        <v>2.3972229029299789E-2</v>
      </c>
      <c r="T88">
        <v>2.9222731205994491E-2</v>
      </c>
      <c r="U88">
        <v>6.066230572822978E-3</v>
      </c>
      <c r="V88">
        <v>1.212004936168873E-2</v>
      </c>
      <c r="W88">
        <v>0</v>
      </c>
    </row>
    <row r="89" spans="2:23" ht="15.75" customHeight="1">
      <c r="B89" s="309" t="s">
        <v>75</v>
      </c>
      <c r="C89">
        <v>1.0905805190845671E-3</v>
      </c>
      <c r="D89">
        <v>3.4814703327431182E-3</v>
      </c>
      <c r="E89">
        <v>1.009213405596669E-2</v>
      </c>
      <c r="F89">
        <v>6.6869441977229478E-4</v>
      </c>
      <c r="G89">
        <v>6.4899329570549912E-3</v>
      </c>
      <c r="H89">
        <v>5.8238256334493732E-3</v>
      </c>
      <c r="I89">
        <v>2.4595985170017421E-2</v>
      </c>
      <c r="J89">
        <v>8.5128573373094065E-3</v>
      </c>
      <c r="K89">
        <v>7.02635094324421E-3</v>
      </c>
      <c r="L89">
        <v>8.2584304914131174E-3</v>
      </c>
      <c r="M89">
        <v>5.0133589023496371E-2</v>
      </c>
      <c r="N89">
        <v>1.9983677448123922E-2</v>
      </c>
      <c r="O89">
        <v>5.1540378606778597E-2</v>
      </c>
      <c r="P89">
        <v>2.343206261226935E-2</v>
      </c>
      <c r="Q89">
        <v>2.8960476783420001E-2</v>
      </c>
      <c r="R89">
        <v>7.7247162300315151E-3</v>
      </c>
      <c r="S89">
        <v>1.8590699329604259E-2</v>
      </c>
      <c r="T89">
        <v>1.0580835518650531E-2</v>
      </c>
      <c r="U89">
        <v>9.7643035059087457E-3</v>
      </c>
      <c r="V89">
        <v>1.1062066795003409E-2</v>
      </c>
      <c r="W89">
        <v>0</v>
      </c>
    </row>
    <row r="90" spans="2:23" ht="15.75" customHeight="1">
      <c r="B90" s="309" t="s">
        <v>146</v>
      </c>
      <c r="C90">
        <v>1.536540797485101E-2</v>
      </c>
      <c r="D90">
        <v>7.9790963672644696E-2</v>
      </c>
      <c r="E90">
        <v>5.4356562905165773E-2</v>
      </c>
      <c r="F90">
        <v>3.4252293913449007E-2</v>
      </c>
      <c r="G90">
        <v>8.1599557371163797E-2</v>
      </c>
      <c r="H90">
        <v>1.8911903199391081E-2</v>
      </c>
      <c r="I90">
        <v>7.1309071707256838E-2</v>
      </c>
      <c r="J90">
        <v>1.9092037504992471E-2</v>
      </c>
      <c r="K90">
        <v>0.13275998461850161</v>
      </c>
      <c r="L90">
        <v>7.8766091657375858E-2</v>
      </c>
      <c r="M90">
        <v>0.12532109535159791</v>
      </c>
      <c r="N90">
        <v>0.13305378134876869</v>
      </c>
      <c r="O90">
        <v>6.9756441583001566E-2</v>
      </c>
      <c r="P90">
        <v>0.13930493568634089</v>
      </c>
      <c r="Q90">
        <v>6.1906479369181082E-2</v>
      </c>
      <c r="R90">
        <v>3.5362817081170762E-2</v>
      </c>
      <c r="S90">
        <v>0.16372970024252129</v>
      </c>
      <c r="T90">
        <v>6.0470890171141101E-2</v>
      </c>
      <c r="U90">
        <v>5.8273919614910102E-2</v>
      </c>
      <c r="V90">
        <v>7.4911960539523481E-2</v>
      </c>
      <c r="W90">
        <v>0</v>
      </c>
    </row>
    <row r="91" spans="2:23" ht="15.75" customHeight="1">
      <c r="B91" s="309" t="s">
        <v>83</v>
      </c>
      <c r="C91">
        <v>3.0486102412611549E-5</v>
      </c>
      <c r="D91">
        <v>5.0776730508680771E-4</v>
      </c>
      <c r="E91">
        <v>7.9601376394217941E-4</v>
      </c>
      <c r="F91">
        <v>9.3121268289786114E-4</v>
      </c>
      <c r="G91">
        <v>2.6913588068775049E-3</v>
      </c>
      <c r="H91">
        <v>4.06145672214753E-4</v>
      </c>
      <c r="I91">
        <v>9.7043669507819485E-4</v>
      </c>
      <c r="J91">
        <v>1.3001006848587391E-4</v>
      </c>
      <c r="K91">
        <v>7.6325224500342799E-4</v>
      </c>
      <c r="L91">
        <v>2.754947274030024E-4</v>
      </c>
      <c r="M91">
        <v>2.2392237803891108E-3</v>
      </c>
      <c r="N91">
        <v>5.0870301375871628E-4</v>
      </c>
      <c r="O91">
        <v>4.9411345526945464E-4</v>
      </c>
      <c r="P91">
        <v>1.759949271339511E-3</v>
      </c>
      <c r="Q91">
        <v>7.3246582627562536E-4</v>
      </c>
      <c r="R91">
        <v>2.8303493597767838E-4</v>
      </c>
      <c r="S91">
        <v>1.405838185513934E-3</v>
      </c>
      <c r="T91">
        <v>1.879116923323E-3</v>
      </c>
      <c r="U91">
        <v>8.872979463489958E-4</v>
      </c>
      <c r="V91">
        <v>9.1073466451992765E-4</v>
      </c>
      <c r="W91">
        <v>0</v>
      </c>
    </row>
    <row r="92" spans="2:23" ht="15.75" customHeight="1">
      <c r="B92" s="309" t="s">
        <v>85</v>
      </c>
      <c r="C92">
        <v>7.9779180644268149E-5</v>
      </c>
      <c r="D92">
        <v>1.517269390936164E-3</v>
      </c>
      <c r="E92">
        <v>7.1089480449349472E-4</v>
      </c>
      <c r="F92">
        <v>1.2341074434815829E-4</v>
      </c>
      <c r="G92">
        <v>9.8677151583105452E-4</v>
      </c>
      <c r="H92">
        <v>1.6403211104021629E-4</v>
      </c>
      <c r="I92">
        <v>1.0880024671363309E-3</v>
      </c>
      <c r="J92">
        <v>3.7020623014410439E-4</v>
      </c>
      <c r="K92">
        <v>2.3417115987371352E-3</v>
      </c>
      <c r="L92">
        <v>5.5362862871401945E-4</v>
      </c>
      <c r="M92">
        <v>1.850035840596863E-3</v>
      </c>
      <c r="N92">
        <v>4.9714855998347224E-4</v>
      </c>
      <c r="O92">
        <v>5.3687150654799394E-4</v>
      </c>
      <c r="P92">
        <v>3.4734705916298928E-3</v>
      </c>
      <c r="Q92">
        <v>4.2265954480714068E-4</v>
      </c>
      <c r="R92">
        <v>5.5845308395068398E-5</v>
      </c>
      <c r="S92">
        <v>1.602361341136294E-3</v>
      </c>
      <c r="T92">
        <v>6.4298100525246992E-3</v>
      </c>
      <c r="U92">
        <v>4.9980712321685602E-3</v>
      </c>
      <c r="V92">
        <v>2.5084540285122991E-3</v>
      </c>
      <c r="W92">
        <v>0</v>
      </c>
    </row>
    <row r="93" spans="2:23" ht="15.75" customHeight="1">
      <c r="B93" s="309" t="s">
        <v>88</v>
      </c>
      <c r="C93">
        <v>8.4898586830347878E-5</v>
      </c>
      <c r="D93">
        <v>5.5721045710454425E-4</v>
      </c>
      <c r="E93">
        <v>5.7011738034822089E-4</v>
      </c>
      <c r="F93">
        <v>2.8832160689608462E-4</v>
      </c>
      <c r="G93">
        <v>8.8799681129820846E-4</v>
      </c>
      <c r="H93">
        <v>1.826716248619812E-4</v>
      </c>
      <c r="I93">
        <v>6.2131887918433139E-4</v>
      </c>
      <c r="J93">
        <v>8.6098316344345837E-4</v>
      </c>
      <c r="K93">
        <v>7.2237766267791966E-4</v>
      </c>
      <c r="L93">
        <v>4.3988283693066897E-4</v>
      </c>
      <c r="M93">
        <v>3.3657727851796971E-4</v>
      </c>
      <c r="N93">
        <v>3.3362323227998221E-4</v>
      </c>
      <c r="O93">
        <v>3.0543673865698608E-4</v>
      </c>
      <c r="P93">
        <v>8.674896681169546E-4</v>
      </c>
      <c r="Q93">
        <v>2.7152490940515338E-4</v>
      </c>
      <c r="R93">
        <v>8.6387440485337168E-5</v>
      </c>
      <c r="S93">
        <v>8.1932078501585355E-4</v>
      </c>
      <c r="T93">
        <v>5.0576710558488547E-3</v>
      </c>
      <c r="U93">
        <v>1.99288054782092E-3</v>
      </c>
      <c r="V93">
        <v>7.8198778146965478E-2</v>
      </c>
      <c r="W93">
        <v>0</v>
      </c>
    </row>
    <row r="94" spans="2:23" ht="15.75" customHeight="1">
      <c r="B94" s="309" t="s">
        <v>147</v>
      </c>
      <c r="C94">
        <v>0</v>
      </c>
      <c r="D94">
        <v>0</v>
      </c>
      <c r="E94">
        <v>0</v>
      </c>
      <c r="F94">
        <v>0</v>
      </c>
      <c r="G94">
        <v>0</v>
      </c>
      <c r="H94">
        <v>0</v>
      </c>
      <c r="I94">
        <v>0</v>
      </c>
      <c r="J94">
        <v>0</v>
      </c>
      <c r="K94">
        <v>0</v>
      </c>
      <c r="L94">
        <v>0</v>
      </c>
      <c r="M94">
        <v>0</v>
      </c>
      <c r="N94">
        <v>0</v>
      </c>
      <c r="O94">
        <v>0</v>
      </c>
      <c r="P94">
        <v>0</v>
      </c>
      <c r="Q94">
        <v>0</v>
      </c>
      <c r="R94">
        <v>0</v>
      </c>
      <c r="S94">
        <v>0</v>
      </c>
      <c r="T94">
        <v>0</v>
      </c>
      <c r="U94">
        <v>0</v>
      </c>
      <c r="V94">
        <v>0</v>
      </c>
      <c r="W94">
        <v>0</v>
      </c>
    </row>
    <row r="95" spans="2:23" ht="15.75" customHeight="1">
      <c r="B95" s="454" t="s">
        <v>1172</v>
      </c>
      <c r="C95" s="455"/>
      <c r="D95" s="455"/>
      <c r="E95" s="455"/>
      <c r="F95" s="455"/>
      <c r="G95" s="455"/>
      <c r="H95" s="455"/>
      <c r="I95" s="455"/>
      <c r="J95" s="455"/>
      <c r="K95" s="455"/>
      <c r="L95" s="455"/>
      <c r="M95" s="455"/>
      <c r="N95" s="455"/>
      <c r="O95" s="455"/>
      <c r="P95" s="455"/>
      <c r="Q95" s="455"/>
      <c r="R95" s="455"/>
      <c r="S95" s="455"/>
      <c r="T95" s="455"/>
      <c r="U95" s="455"/>
      <c r="V95" s="455"/>
      <c r="W95" s="455"/>
    </row>
    <row r="96" spans="2:23" ht="14.5">
      <c r="B96" s="8"/>
      <c r="C96" s="308" t="s">
        <v>139</v>
      </c>
      <c r="D96" s="179" t="s">
        <v>37</v>
      </c>
      <c r="E96" s="179" t="s">
        <v>140</v>
      </c>
      <c r="F96" s="179" t="s">
        <v>48</v>
      </c>
      <c r="G96" s="179" t="s">
        <v>141</v>
      </c>
      <c r="H96" s="179" t="s">
        <v>142</v>
      </c>
      <c r="I96" s="179" t="s">
        <v>143</v>
      </c>
      <c r="J96" s="179" t="s">
        <v>144</v>
      </c>
      <c r="K96" s="179" t="s">
        <v>61</v>
      </c>
      <c r="L96" s="179" t="s">
        <v>63</v>
      </c>
      <c r="M96" s="179" t="s">
        <v>65</v>
      </c>
      <c r="N96" s="179" t="s">
        <v>67</v>
      </c>
      <c r="O96" s="179" t="s">
        <v>69</v>
      </c>
      <c r="P96" s="179" t="s">
        <v>145</v>
      </c>
      <c r="Q96" s="179" t="s">
        <v>73</v>
      </c>
      <c r="R96" s="179" t="s">
        <v>75</v>
      </c>
      <c r="S96" s="179" t="s">
        <v>146</v>
      </c>
      <c r="T96" s="179" t="s">
        <v>83</v>
      </c>
      <c r="U96" s="179" t="s">
        <v>85</v>
      </c>
      <c r="V96" s="179" t="s">
        <v>88</v>
      </c>
      <c r="W96" s="308" t="s">
        <v>147</v>
      </c>
    </row>
    <row r="97" spans="2:23" ht="15.75" customHeight="1">
      <c r="B97" s="308" t="s">
        <v>139</v>
      </c>
      <c r="C97">
        <v>0.20858998216233979</v>
      </c>
      <c r="D97">
        <v>0.19090972551467619</v>
      </c>
      <c r="E97">
        <v>0.21807365211495711</v>
      </c>
      <c r="F97">
        <v>0.56555218184325884</v>
      </c>
      <c r="G97">
        <v>0.31689931939690902</v>
      </c>
      <c r="H97">
        <v>5.1206886070911672E-2</v>
      </c>
      <c r="I97">
        <v>2.1797430279663028E-2</v>
      </c>
      <c r="J97">
        <v>4.2601899293332461E-2</v>
      </c>
      <c r="K97">
        <v>0.13777466702162999</v>
      </c>
      <c r="L97">
        <v>0.20994904138404161</v>
      </c>
      <c r="M97">
        <v>0.2084899097670278</v>
      </c>
      <c r="N97">
        <v>9.1650186708768705E-2</v>
      </c>
      <c r="O97">
        <v>0.1636043443963347</v>
      </c>
      <c r="P97">
        <v>0.1662205331688599</v>
      </c>
      <c r="Q97">
        <v>9.1959086794070957E-2</v>
      </c>
      <c r="R97">
        <v>0.1386810500520107</v>
      </c>
      <c r="S97">
        <v>0.24227745660143041</v>
      </c>
      <c r="T97">
        <v>9.8806125761941047E-2</v>
      </c>
      <c r="U97">
        <v>8.6983812082519277E-2</v>
      </c>
      <c r="V97">
        <v>0.1175667418026133</v>
      </c>
      <c r="W97" s="310">
        <v>0</v>
      </c>
    </row>
    <row r="98" spans="2:23" ht="15.75" customHeight="1">
      <c r="B98" s="309" t="s">
        <v>37</v>
      </c>
      <c r="C98">
        <v>2.536016219568157</v>
      </c>
      <c r="D98">
        <v>6.5973340228253434</v>
      </c>
      <c r="E98">
        <v>5.7017742353834437</v>
      </c>
      <c r="F98">
        <v>7.1080154920312317</v>
      </c>
      <c r="G98">
        <v>1.863199235324877</v>
      </c>
      <c r="H98">
        <v>4.29829835492367</v>
      </c>
      <c r="I98">
        <v>8.8186176626264512</v>
      </c>
      <c r="J98">
        <v>289.91309634265701</v>
      </c>
      <c r="K98">
        <v>5.6759886405616466</v>
      </c>
      <c r="L98">
        <v>2.867954195610146</v>
      </c>
      <c r="M98">
        <v>5.3034128947502666</v>
      </c>
      <c r="N98">
        <v>4.6214848150444032</v>
      </c>
      <c r="O98">
        <v>3.4518175511399192</v>
      </c>
      <c r="P98">
        <v>0.99672921912956969</v>
      </c>
      <c r="Q98">
        <v>1.8427520745281289</v>
      </c>
      <c r="R98">
        <v>0.8564611225216977</v>
      </c>
      <c r="S98">
        <v>1.2923224213883311</v>
      </c>
      <c r="T98">
        <v>5.6139403128725922</v>
      </c>
      <c r="U98">
        <v>0.27566794346919538</v>
      </c>
      <c r="V98">
        <v>1.7906623711244369</v>
      </c>
      <c r="W98" s="310">
        <v>0</v>
      </c>
    </row>
    <row r="99" spans="2:23" ht="15.75" customHeight="1">
      <c r="B99" s="309" t="s">
        <v>140</v>
      </c>
      <c r="C99">
        <v>0.2455301346673037</v>
      </c>
      <c r="D99">
        <v>0.48420210800205948</v>
      </c>
      <c r="E99">
        <v>0.37159471815635647</v>
      </c>
      <c r="F99">
        <v>0.46759220363661758</v>
      </c>
      <c r="G99">
        <v>0.3271181747911836</v>
      </c>
      <c r="H99">
        <v>0.47080878270743082</v>
      </c>
      <c r="I99">
        <v>0.59211860690622242</v>
      </c>
      <c r="J99">
        <v>0.58714274984537163</v>
      </c>
      <c r="K99">
        <v>0.17853917939412811</v>
      </c>
      <c r="L99">
        <v>0.27223161775459609</v>
      </c>
      <c r="M99">
        <v>0.28265539302337778</v>
      </c>
      <c r="N99">
        <v>0.21720823434936351</v>
      </c>
      <c r="O99">
        <v>0.1040928363405092</v>
      </c>
      <c r="P99">
        <v>0.32340988972999912</v>
      </c>
      <c r="Q99">
        <v>0.16785827187894931</v>
      </c>
      <c r="R99">
        <v>0.27488309419711121</v>
      </c>
      <c r="S99">
        <v>0.30324518613703477</v>
      </c>
      <c r="T99">
        <v>0.23742440931785219</v>
      </c>
      <c r="U99">
        <v>0.23665057295659531</v>
      </c>
      <c r="V99">
        <v>0.72526444247441668</v>
      </c>
      <c r="W99" s="310">
        <v>0</v>
      </c>
    </row>
    <row r="100" spans="2:23" ht="15.75" customHeight="1">
      <c r="B100" s="309" t="s">
        <v>48</v>
      </c>
      <c r="C100">
        <v>0.30381467420868608</v>
      </c>
      <c r="D100">
        <v>0.32996259836856118</v>
      </c>
      <c r="E100">
        <v>0.36557863666814622</v>
      </c>
      <c r="F100">
        <v>0.29199831013054778</v>
      </c>
      <c r="G100">
        <v>0.44181808318220461</v>
      </c>
      <c r="H100">
        <v>0.1998906733870634</v>
      </c>
      <c r="I100">
        <v>1.329781569286036</v>
      </c>
      <c r="J100">
        <v>2.4389531493382841</v>
      </c>
      <c r="K100">
        <v>0.27809981057618882</v>
      </c>
      <c r="L100">
        <v>0.28192288356656131</v>
      </c>
      <c r="M100">
        <v>0.29423940345815969</v>
      </c>
      <c r="N100">
        <v>0.27609323097756722</v>
      </c>
      <c r="O100">
        <v>0.23087504155830321</v>
      </c>
      <c r="P100">
        <v>0.3471278993570911</v>
      </c>
      <c r="Q100">
        <v>0.23602160359309701</v>
      </c>
      <c r="R100">
        <v>0.4214358981750585</v>
      </c>
      <c r="S100">
        <v>0.2890446804308891</v>
      </c>
      <c r="T100">
        <v>0.26460474675375117</v>
      </c>
      <c r="U100">
        <v>0.27172632527828838</v>
      </c>
      <c r="V100">
        <v>0.73241906097610732</v>
      </c>
      <c r="W100" s="310">
        <v>0</v>
      </c>
    </row>
    <row r="101" spans="2:23" ht="15.75" customHeight="1">
      <c r="B101" s="309" t="s">
        <v>141</v>
      </c>
      <c r="C101">
        <v>0.32148599641273351</v>
      </c>
      <c r="D101">
        <v>0.78603642749967617</v>
      </c>
      <c r="E101">
        <v>0.65342352097394552</v>
      </c>
      <c r="F101">
        <v>0.60647570902172865</v>
      </c>
      <c r="G101">
        <v>1.041344063731376</v>
      </c>
      <c r="H101">
        <v>0.3804609790548748</v>
      </c>
      <c r="I101">
        <v>1.2437402323788489</v>
      </c>
      <c r="J101">
        <v>0.28606406036808968</v>
      </c>
      <c r="K101">
        <v>0.76206469895980833</v>
      </c>
      <c r="L101">
        <v>0.63953924572438803</v>
      </c>
      <c r="M101">
        <v>1.131469243281862</v>
      </c>
      <c r="N101">
        <v>0.70282610495737152</v>
      </c>
      <c r="O101">
        <v>0.58267492822329492</v>
      </c>
      <c r="P101">
        <v>0.46256802960247251</v>
      </c>
      <c r="Q101">
        <v>0.59162871807900264</v>
      </c>
      <c r="R101">
        <v>0.9779098785982856</v>
      </c>
      <c r="S101">
        <v>0.79003680011127353</v>
      </c>
      <c r="T101">
        <v>0.1588001184922162</v>
      </c>
      <c r="U101">
        <v>0.1552696829287013</v>
      </c>
      <c r="V101">
        <v>0.26070390915883151</v>
      </c>
      <c r="W101" s="310">
        <v>0</v>
      </c>
    </row>
    <row r="102" spans="2:23" ht="15.75" customHeight="1">
      <c r="B102" s="309" t="s">
        <v>142</v>
      </c>
      <c r="C102">
        <v>5.4420807998879243E-3</v>
      </c>
      <c r="D102">
        <v>1.7521139175225589E-4</v>
      </c>
      <c r="E102">
        <v>2.7231692852846168E-3</v>
      </c>
      <c r="F102">
        <v>6.2860549609531843E-4</v>
      </c>
      <c r="G102">
        <v>1.3538586867065459E-2</v>
      </c>
      <c r="H102">
        <v>5.8235159337733681E-3</v>
      </c>
      <c r="I102">
        <v>0.10719605299559209</v>
      </c>
      <c r="J102">
        <v>6.9386493332539032E-2</v>
      </c>
      <c r="K102">
        <v>5.6963008884063613E-4</v>
      </c>
      <c r="L102">
        <v>1.877151431617512E-2</v>
      </c>
      <c r="M102">
        <v>9.8810178467578051E-3</v>
      </c>
      <c r="N102">
        <v>3.6451618621578018E-3</v>
      </c>
      <c r="O102">
        <v>1.021253502340035E-3</v>
      </c>
      <c r="P102">
        <v>2.8633081333707421E-3</v>
      </c>
      <c r="Q102">
        <v>8.9741483539038866E-3</v>
      </c>
      <c r="R102">
        <v>1.851814318190691E-3</v>
      </c>
      <c r="S102">
        <v>4.4739995702139899E-3</v>
      </c>
      <c r="T102">
        <v>7.7902438935230764E-3</v>
      </c>
      <c r="U102">
        <v>6.6725689603165514E-3</v>
      </c>
      <c r="V102">
        <v>1.7650194368307589E-3</v>
      </c>
      <c r="W102" s="310">
        <v>0</v>
      </c>
    </row>
    <row r="103" spans="2:23" ht="15.75" customHeight="1">
      <c r="B103" s="309" t="s">
        <v>143</v>
      </c>
      <c r="C103">
        <v>0.8105905037914628</v>
      </c>
      <c r="D103">
        <v>0.1960991183947268</v>
      </c>
      <c r="E103">
        <v>0.28782944725077669</v>
      </c>
      <c r="F103">
        <v>1.559116662095372</v>
      </c>
      <c r="G103">
        <v>2.439810296743727</v>
      </c>
      <c r="H103">
        <v>0.1807114492021363</v>
      </c>
      <c r="I103">
        <v>0.29171446703438669</v>
      </c>
      <c r="J103">
        <v>1.071416499198502</v>
      </c>
      <c r="K103">
        <v>0.23422366244112261</v>
      </c>
      <c r="L103">
        <v>8.3419961504291665E-2</v>
      </c>
      <c r="M103">
        <v>0.56946387934257481</v>
      </c>
      <c r="N103">
        <v>0.44890537597186558</v>
      </c>
      <c r="O103">
        <v>0.177217984007046</v>
      </c>
      <c r="P103">
        <v>0.1865852811099061</v>
      </c>
      <c r="Q103">
        <v>8.4445222603311249E-2</v>
      </c>
      <c r="R103">
        <v>0.217350257495671</v>
      </c>
      <c r="S103">
        <v>0.22788456436357629</v>
      </c>
      <c r="T103">
        <v>0.1465028281427373</v>
      </c>
      <c r="U103">
        <v>0.14488717590876221</v>
      </c>
      <c r="V103">
        <v>0.14745195196400121</v>
      </c>
      <c r="W103" s="310">
        <v>0</v>
      </c>
    </row>
    <row r="104" spans="2:23" ht="15.75" customHeight="1">
      <c r="B104" s="309" t="s">
        <v>144</v>
      </c>
      <c r="C104">
        <v>0.25140579315524009</v>
      </c>
      <c r="D104">
        <v>6.1205725670384799E-3</v>
      </c>
      <c r="E104">
        <v>0.11703027736647451</v>
      </c>
      <c r="F104">
        <v>1.434739012006319</v>
      </c>
      <c r="G104">
        <v>0.11553884283816961</v>
      </c>
      <c r="H104">
        <v>8.5720702575237673E-2</v>
      </c>
      <c r="I104">
        <v>2.7589989838029929E-2</v>
      </c>
      <c r="J104">
        <v>1.486458057294112E-2</v>
      </c>
      <c r="K104">
        <v>7.9351572255404651E-2</v>
      </c>
      <c r="L104">
        <v>1.881091276018473E-2</v>
      </c>
      <c r="M104">
        <v>0.37253201114986711</v>
      </c>
      <c r="N104">
        <v>0.15814727140008189</v>
      </c>
      <c r="O104">
        <v>0.14695984504730361</v>
      </c>
      <c r="P104">
        <v>6.5143782401267517E-2</v>
      </c>
      <c r="Q104">
        <v>0.1520608232062696</v>
      </c>
      <c r="R104">
        <v>0.13887756420954939</v>
      </c>
      <c r="S104">
        <v>0.16156240342078829</v>
      </c>
      <c r="T104">
        <v>0.38515030531752009</v>
      </c>
      <c r="U104">
        <v>0.17742615747486629</v>
      </c>
      <c r="V104">
        <v>0.1188547517874429</v>
      </c>
      <c r="W104" s="310">
        <v>0</v>
      </c>
    </row>
    <row r="105" spans="2:23" ht="15.75" customHeight="1">
      <c r="B105" s="309" t="s">
        <v>61</v>
      </c>
      <c r="C105">
        <v>5.8890726440988063E-2</v>
      </c>
      <c r="D105">
        <v>0.11657758370506691</v>
      </c>
      <c r="E105">
        <v>0.12119542826489201</v>
      </c>
      <c r="F105">
        <v>0.16300961162905189</v>
      </c>
      <c r="G105">
        <v>0.11225879117282769</v>
      </c>
      <c r="H105">
        <v>8.9725161404107037E-2</v>
      </c>
      <c r="I105">
        <v>7.7800980435910563E-2</v>
      </c>
      <c r="J105">
        <v>0.1917958214837793</v>
      </c>
      <c r="K105">
        <v>0.12462565270578881</v>
      </c>
      <c r="L105">
        <v>6.9019095270308042E-2</v>
      </c>
      <c r="M105">
        <v>6.7987605743387344E-2</v>
      </c>
      <c r="N105">
        <v>9.3261078104160081E-2</v>
      </c>
      <c r="O105">
        <v>3.5953143339693801E-2</v>
      </c>
      <c r="P105">
        <v>8.9513240605913813E-2</v>
      </c>
      <c r="Q105">
        <v>6.808386045169372E-2</v>
      </c>
      <c r="R105">
        <v>3.1094378349975971E-2</v>
      </c>
      <c r="S105">
        <v>6.5342947485262398E-2</v>
      </c>
      <c r="T105">
        <v>2.4352458562868651E-2</v>
      </c>
      <c r="U105">
        <v>1.193389929752863E-2</v>
      </c>
      <c r="V105">
        <v>7.3094213370031733E-2</v>
      </c>
      <c r="W105" s="310">
        <v>0</v>
      </c>
    </row>
    <row r="106" spans="2:23" ht="15.75" customHeight="1">
      <c r="B106" s="309" t="s">
        <v>63</v>
      </c>
      <c r="C106">
        <v>6.3251928107254688E-3</v>
      </c>
      <c r="D106">
        <v>2.5927605042759389E-2</v>
      </c>
      <c r="E106">
        <v>3.1337851213572403E-2</v>
      </c>
      <c r="F106">
        <v>8.2327626997018385E-2</v>
      </c>
      <c r="G106">
        <v>2.8020859341879329E-2</v>
      </c>
      <c r="H106">
        <v>1.5117396753947011E-2</v>
      </c>
      <c r="I106">
        <v>9.3413570426603101E-2</v>
      </c>
      <c r="J106">
        <v>7.7665222776867299E-2</v>
      </c>
      <c r="K106">
        <v>1.2817659594710019E-2</v>
      </c>
      <c r="L106">
        <v>3.9033628565433671E-3</v>
      </c>
      <c r="M106">
        <v>9.8123499942785204E-3</v>
      </c>
      <c r="N106">
        <v>9.0563994459206005E-3</v>
      </c>
      <c r="O106">
        <v>8.5620217209527102E-3</v>
      </c>
      <c r="P106">
        <v>8.0913124483484103E-3</v>
      </c>
      <c r="Q106">
        <v>5.570690934123438E-3</v>
      </c>
      <c r="R106">
        <v>3.872527186810781E-3</v>
      </c>
      <c r="S106">
        <v>6.5706070435863776E-3</v>
      </c>
      <c r="T106">
        <v>4.0698921049326046E-3</v>
      </c>
      <c r="U106">
        <v>3.9649399512750568E-3</v>
      </c>
      <c r="V106">
        <v>4.4997770787249649E-3</v>
      </c>
      <c r="W106" s="310">
        <v>0</v>
      </c>
    </row>
    <row r="107" spans="2:23" ht="15.75" customHeight="1">
      <c r="B107" s="309" t="s">
        <v>65</v>
      </c>
      <c r="C107">
        <v>0.15796615224459321</v>
      </c>
      <c r="D107">
        <v>0.24457108131763869</v>
      </c>
      <c r="E107">
        <v>0.1609385494680392</v>
      </c>
      <c r="F107">
        <v>0.61731273304270462</v>
      </c>
      <c r="G107">
        <v>0.12977006625071619</v>
      </c>
      <c r="H107">
        <v>0.22419119322822839</v>
      </c>
      <c r="I107">
        <v>0.17873496421610191</v>
      </c>
      <c r="J107">
        <v>0.16130135367978499</v>
      </c>
      <c r="K107">
        <v>8.670709891068859E-2</v>
      </c>
      <c r="L107">
        <v>0.14561042404423949</v>
      </c>
      <c r="M107">
        <v>6.6788559268246436E-2</v>
      </c>
      <c r="N107">
        <v>6.1870939877462443E-2</v>
      </c>
      <c r="O107">
        <v>7.6907229950071571E-2</v>
      </c>
      <c r="P107">
        <v>8.6407322575686479E-2</v>
      </c>
      <c r="Q107">
        <v>5.227013622142325E-2</v>
      </c>
      <c r="R107">
        <v>9.6068674702423834E-2</v>
      </c>
      <c r="S107">
        <v>6.8234212172680969E-2</v>
      </c>
      <c r="T107">
        <v>9.0847495473368928E-2</v>
      </c>
      <c r="U107">
        <v>7.7224860727630559E-2</v>
      </c>
      <c r="V107">
        <v>0.19530006478294121</v>
      </c>
      <c r="W107" s="310">
        <v>0</v>
      </c>
    </row>
    <row r="108" spans="2:23" ht="15.75" customHeight="1">
      <c r="B108" s="309" t="s">
        <v>67</v>
      </c>
      <c r="C108">
        <v>5.9175976587636903E-2</v>
      </c>
      <c r="D108">
        <v>0.1662543267667711</v>
      </c>
      <c r="E108">
        <v>9.9935954658515583E-2</v>
      </c>
      <c r="F108">
        <v>1.1350063796616201</v>
      </c>
      <c r="G108">
        <v>0.1126834851608445</v>
      </c>
      <c r="H108">
        <v>0.51257145587429853</v>
      </c>
      <c r="I108">
        <v>0.2374876787145333</v>
      </c>
      <c r="J108">
        <v>0.25910807528768831</v>
      </c>
      <c r="K108">
        <v>0.1130939618459514</v>
      </c>
      <c r="L108">
        <v>9.267835400970445E-2</v>
      </c>
      <c r="M108">
        <v>6.132857411981267E-2</v>
      </c>
      <c r="N108">
        <v>0.10644984679429199</v>
      </c>
      <c r="O108">
        <v>8.5307977998441462E-2</v>
      </c>
      <c r="P108">
        <v>0.13359315076517131</v>
      </c>
      <c r="Q108">
        <v>0.46409115897201492</v>
      </c>
      <c r="R108">
        <v>7.2765962347899102E-2</v>
      </c>
      <c r="S108">
        <v>9.5951355111363518E-2</v>
      </c>
      <c r="T108">
        <v>0.23224548341304699</v>
      </c>
      <c r="U108">
        <v>0.10608524452295071</v>
      </c>
      <c r="V108">
        <v>0.13781519844770471</v>
      </c>
      <c r="W108" s="310">
        <v>0</v>
      </c>
    </row>
    <row r="109" spans="2:23" ht="15.75" customHeight="1">
      <c r="B109" s="309" t="s">
        <v>69</v>
      </c>
      <c r="C109">
        <v>0.1151219588311465</v>
      </c>
      <c r="D109">
        <v>8.9610718066899631E-2</v>
      </c>
      <c r="E109">
        <v>9.0365038541589726E-2</v>
      </c>
      <c r="F109">
        <v>8.9222683954983908E-2</v>
      </c>
      <c r="G109">
        <v>8.722659681455347E-2</v>
      </c>
      <c r="H109">
        <v>0.1064543486160599</v>
      </c>
      <c r="I109">
        <v>7.479103347431923E-2</v>
      </c>
      <c r="J109">
        <v>0.13020596950814109</v>
      </c>
      <c r="K109">
        <v>0.1007435308222506</v>
      </c>
      <c r="L109">
        <v>8.6966783688778929E-2</v>
      </c>
      <c r="M109">
        <v>8.7396787180474042E-2</v>
      </c>
      <c r="N109">
        <v>8.8482944423861551E-2</v>
      </c>
      <c r="O109">
        <v>9.5621090093291242E-2</v>
      </c>
      <c r="P109">
        <v>8.355011476415504E-2</v>
      </c>
      <c r="Q109">
        <v>8.7354385163924381E-2</v>
      </c>
      <c r="R109">
        <v>8.6864255952504493E-2</v>
      </c>
      <c r="S109">
        <v>8.721904549752682E-2</v>
      </c>
      <c r="T109">
        <v>8.6177882678560455E-2</v>
      </c>
      <c r="U109">
        <v>8.7220296558400953E-2</v>
      </c>
      <c r="V109">
        <v>8.6675608501113263E-2</v>
      </c>
      <c r="W109" s="310">
        <v>0</v>
      </c>
    </row>
    <row r="110" spans="2:23" ht="15.75" customHeight="1">
      <c r="B110" s="309" t="s">
        <v>145</v>
      </c>
      <c r="C110">
        <v>2.2704863530416359E-2</v>
      </c>
      <c r="D110">
        <v>6.3846955641390687E-2</v>
      </c>
      <c r="E110">
        <v>5.9135035289352017E-2</v>
      </c>
      <c r="F110">
        <v>6.2464739468840048E-2</v>
      </c>
      <c r="G110">
        <v>6.5011879274506523E-2</v>
      </c>
      <c r="H110">
        <v>6.8883377305855864E-2</v>
      </c>
      <c r="I110">
        <v>6.2003879354818547E-2</v>
      </c>
      <c r="J110">
        <v>6.166477494892484E-2</v>
      </c>
      <c r="K110">
        <v>7.6834466666297757E-2</v>
      </c>
      <c r="L110">
        <v>5.6112190992399197E-2</v>
      </c>
      <c r="M110">
        <v>6.4534606350584459E-2</v>
      </c>
      <c r="N110">
        <v>7.3729272593867703E-2</v>
      </c>
      <c r="O110">
        <v>6.2117515207488858E-2</v>
      </c>
      <c r="P110">
        <v>4.0093248348754093E-2</v>
      </c>
      <c r="Q110">
        <v>6.8835188552172549E-2</v>
      </c>
      <c r="R110">
        <v>5.7729469701495499E-2</v>
      </c>
      <c r="S110">
        <v>5.6074685917447027E-2</v>
      </c>
      <c r="T110">
        <v>5.8150313651420607E-2</v>
      </c>
      <c r="U110">
        <v>6.5411731100260162E-2</v>
      </c>
      <c r="V110">
        <v>5.2301133641855922E-2</v>
      </c>
      <c r="W110" s="310">
        <v>0</v>
      </c>
    </row>
    <row r="111" spans="2:23" ht="15.75" customHeight="1">
      <c r="B111" s="309" t="s">
        <v>73</v>
      </c>
      <c r="C111">
        <v>9.1036862248493208E-2</v>
      </c>
      <c r="D111">
        <v>8.807608797918301E-2</v>
      </c>
      <c r="E111">
        <v>5.1709426350263377E-2</v>
      </c>
      <c r="F111">
        <v>5.818053887481963E-2</v>
      </c>
      <c r="G111">
        <v>5.5337458516405993E-2</v>
      </c>
      <c r="H111">
        <v>4.1204456273214382E-2</v>
      </c>
      <c r="I111">
        <v>4.1283516020659952E-2</v>
      </c>
      <c r="J111">
        <v>5.4082144353640962E-2</v>
      </c>
      <c r="K111">
        <v>7.4356911399343861E-2</v>
      </c>
      <c r="L111">
        <v>5.443642538023654E-2</v>
      </c>
      <c r="M111">
        <v>4.8058033563939402E-2</v>
      </c>
      <c r="N111">
        <v>7.5782457593182098E-2</v>
      </c>
      <c r="O111">
        <v>4.742074003242798E-2</v>
      </c>
      <c r="P111">
        <v>5.587680476689285E-2</v>
      </c>
      <c r="Q111">
        <v>4.93104134634684E-2</v>
      </c>
      <c r="R111">
        <v>3.2476170319046413E-2</v>
      </c>
      <c r="S111">
        <v>6.2532912203270494E-2</v>
      </c>
      <c r="T111">
        <v>3.2016543987046599E-2</v>
      </c>
      <c r="U111">
        <v>4.7839355303324123E-2</v>
      </c>
      <c r="V111">
        <v>6.0542311393386249E-2</v>
      </c>
      <c r="W111" s="310">
        <v>0</v>
      </c>
    </row>
    <row r="112" spans="2:23" ht="15.75" customHeight="1">
      <c r="B112" s="309" t="s">
        <v>75</v>
      </c>
      <c r="C112">
        <v>1.4897222550556401E-2</v>
      </c>
      <c r="D112">
        <v>1.6338117978205741E-2</v>
      </c>
      <c r="E112">
        <v>1.1468595884147829E-2</v>
      </c>
      <c r="F112">
        <v>2.3904174195094559E-2</v>
      </c>
      <c r="G112">
        <v>1.2777795926250691E-2</v>
      </c>
      <c r="H112">
        <v>1.3764807468949879E-2</v>
      </c>
      <c r="I112">
        <v>1.067569100649836E-2</v>
      </c>
      <c r="J112">
        <v>1.7840265837154971E-2</v>
      </c>
      <c r="K112">
        <v>1.406203266243535E-2</v>
      </c>
      <c r="L112">
        <v>1.0215996473671961E-2</v>
      </c>
      <c r="M112">
        <v>1.03600712066458E-2</v>
      </c>
      <c r="N112">
        <v>1.0866774680601E-2</v>
      </c>
      <c r="O112">
        <v>1.024019439060604E-2</v>
      </c>
      <c r="P112">
        <v>1.088409625816694E-2</v>
      </c>
      <c r="Q112">
        <v>1.0764590070596739E-2</v>
      </c>
      <c r="R112">
        <v>1.037166320773456E-2</v>
      </c>
      <c r="S112">
        <v>1.101566716749248E-2</v>
      </c>
      <c r="T112">
        <v>1.061555552328541E-2</v>
      </c>
      <c r="U112">
        <v>1.052246709924369E-2</v>
      </c>
      <c r="V112">
        <v>1.091757946548429E-2</v>
      </c>
      <c r="W112" s="310">
        <v>0</v>
      </c>
    </row>
    <row r="113" spans="2:23" ht="15.75" customHeight="1">
      <c r="B113" s="309" t="s">
        <v>146</v>
      </c>
      <c r="C113">
        <v>5.1753604747145777E-2</v>
      </c>
      <c r="D113">
        <v>0.1213202881947873</v>
      </c>
      <c r="E113">
        <v>6.623017707261071E-2</v>
      </c>
      <c r="F113">
        <v>7.5353138575690357E-2</v>
      </c>
      <c r="G113">
        <v>5.725803098438495E-2</v>
      </c>
      <c r="H113">
        <v>5.7451568125374122E-2</v>
      </c>
      <c r="I113">
        <v>6.717142506422176E-2</v>
      </c>
      <c r="J113">
        <v>4.5463653874537012E-2</v>
      </c>
      <c r="K113">
        <v>5.4530119336336377E-2</v>
      </c>
      <c r="L113">
        <v>5.8879454443801729E-2</v>
      </c>
      <c r="M113">
        <v>6.4622909160653816E-2</v>
      </c>
      <c r="N113">
        <v>7.9083380024646779E-2</v>
      </c>
      <c r="O113">
        <v>7.1836777756253883E-2</v>
      </c>
      <c r="P113">
        <v>6.6293981910910779E-2</v>
      </c>
      <c r="Q113">
        <v>4.8542630325895418E-2</v>
      </c>
      <c r="R113">
        <v>4.070335968670824E-2</v>
      </c>
      <c r="S113">
        <v>5.5177143190338868E-2</v>
      </c>
      <c r="T113">
        <v>4.2411362342469137E-2</v>
      </c>
      <c r="U113">
        <v>4.2317325981957657E-2</v>
      </c>
      <c r="V113">
        <v>5.4499220489657288E-2</v>
      </c>
      <c r="W113" s="310">
        <v>0</v>
      </c>
    </row>
    <row r="114" spans="2:23" ht="15.75" customHeight="1">
      <c r="B114" s="309" t="s">
        <v>83</v>
      </c>
      <c r="C114">
        <v>3.8548729656085889</v>
      </c>
      <c r="D114">
        <v>1.138802885487886</v>
      </c>
      <c r="E114">
        <v>0.38039433782415438</v>
      </c>
      <c r="F114">
        <v>0.20122783085856091</v>
      </c>
      <c r="G114">
        <v>6.7531448191406593E-2</v>
      </c>
      <c r="H114">
        <v>1.121910382134935</v>
      </c>
      <c r="I114">
        <v>0.85115462563508604</v>
      </c>
      <c r="J114">
        <v>2.8688645047098702</v>
      </c>
      <c r="K114">
        <v>4.664681517763964</v>
      </c>
      <c r="L114">
        <v>0.3781181306892083</v>
      </c>
      <c r="M114">
        <v>7.822521263187987E-2</v>
      </c>
      <c r="N114">
        <v>0.45319504006122779</v>
      </c>
      <c r="O114">
        <v>0.2033708853057315</v>
      </c>
      <c r="P114">
        <v>0.1396270910310724</v>
      </c>
      <c r="Q114">
        <v>0.11709016497423071</v>
      </c>
      <c r="R114">
        <v>7.6107769263323966E-2</v>
      </c>
      <c r="S114">
        <v>0.12623309586161899</v>
      </c>
      <c r="T114">
        <v>3.3000173135665167E-2</v>
      </c>
      <c r="U114">
        <v>4.5662584459536713E-2</v>
      </c>
      <c r="V114">
        <v>0.15651044473501391</v>
      </c>
      <c r="W114" s="310">
        <v>0</v>
      </c>
    </row>
    <row r="115" spans="2:23" ht="15.75" customHeight="1">
      <c r="B115" s="309" t="s">
        <v>85</v>
      </c>
      <c r="C115">
        <v>0.15048133477642431</v>
      </c>
      <c r="D115">
        <v>4.7769106670808047E-2</v>
      </c>
      <c r="E115">
        <v>6.0739646981749287E-2</v>
      </c>
      <c r="F115">
        <v>0.3807460491915608</v>
      </c>
      <c r="G115">
        <v>9.8281255264041134E-2</v>
      </c>
      <c r="H115">
        <v>0.1510388564671134</v>
      </c>
      <c r="I115">
        <v>5.2284700981781333E-2</v>
      </c>
      <c r="J115">
        <v>1.061235391492652</v>
      </c>
      <c r="K115">
        <v>1.9298581093640521E-2</v>
      </c>
      <c r="L115">
        <v>5.0657015721479723E-2</v>
      </c>
      <c r="M115">
        <v>2.894987964653031E-2</v>
      </c>
      <c r="N115">
        <v>9.7735087045535365E-2</v>
      </c>
      <c r="O115">
        <v>4.6340847959213727E-2</v>
      </c>
      <c r="P115">
        <v>2.4005902406127641E-2</v>
      </c>
      <c r="Q115">
        <v>5.426323722142997E-2</v>
      </c>
      <c r="R115">
        <v>0.13254424700270839</v>
      </c>
      <c r="S115">
        <v>3.874585427040355E-2</v>
      </c>
      <c r="T115">
        <v>1.0402631267252381E-2</v>
      </c>
      <c r="U115">
        <v>1.102179404151634E-2</v>
      </c>
      <c r="V115">
        <v>2.1583980941148519E-2</v>
      </c>
      <c r="W115" s="310">
        <v>0</v>
      </c>
    </row>
    <row r="116" spans="2:23" ht="15.75" customHeight="1">
      <c r="B116" s="309" t="s">
        <v>88</v>
      </c>
      <c r="C116">
        <v>0.11815591807439969</v>
      </c>
      <c r="D116">
        <v>7.1072781438070165E-2</v>
      </c>
      <c r="E116">
        <v>5.3887874889749492E-2</v>
      </c>
      <c r="F116">
        <v>4.7117071877461038E-2</v>
      </c>
      <c r="G116">
        <v>5.0392051501640223E-2</v>
      </c>
      <c r="H116">
        <v>8.7065084424853931E-2</v>
      </c>
      <c r="I116">
        <v>3.6567628476828887E-2</v>
      </c>
      <c r="J116">
        <v>0.1085588710959914</v>
      </c>
      <c r="K116">
        <v>3.4678130722460301E-2</v>
      </c>
      <c r="L116">
        <v>6.6087755899547088E-2</v>
      </c>
      <c r="M116">
        <v>7.2932470209054315E-2</v>
      </c>
      <c r="N116">
        <v>8.5988603351293463E-2</v>
      </c>
      <c r="O116">
        <v>6.5013011407067042E-2</v>
      </c>
      <c r="P116">
        <v>5.1756019147136942E-2</v>
      </c>
      <c r="Q116">
        <v>4.7731188484524192E-2</v>
      </c>
      <c r="R116">
        <v>6.000274647157678E-2</v>
      </c>
      <c r="S116">
        <v>4.3448834822895473E-2</v>
      </c>
      <c r="T116">
        <v>8.8173740596600471E-3</v>
      </c>
      <c r="U116">
        <v>1.1125538265082819E-2</v>
      </c>
      <c r="V116">
        <v>5.8159727180346638E-3</v>
      </c>
      <c r="W116" s="310">
        <v>0</v>
      </c>
    </row>
    <row r="117" spans="2:23" ht="14.5">
      <c r="B117" s="309" t="s">
        <v>147</v>
      </c>
      <c r="C117" s="8">
        <v>0</v>
      </c>
      <c r="D117" s="8">
        <v>0</v>
      </c>
      <c r="E117" s="8">
        <v>0</v>
      </c>
      <c r="F117" s="8">
        <v>0</v>
      </c>
      <c r="G117" s="8">
        <v>0</v>
      </c>
      <c r="H117" s="8">
        <v>0</v>
      </c>
      <c r="I117" s="8">
        <v>0</v>
      </c>
      <c r="J117" s="8">
        <v>0</v>
      </c>
      <c r="K117" s="8">
        <v>0</v>
      </c>
      <c r="L117" s="8">
        <v>0</v>
      </c>
      <c r="M117" s="8">
        <v>0</v>
      </c>
      <c r="N117" s="8">
        <v>0</v>
      </c>
      <c r="O117" s="8">
        <v>0</v>
      </c>
      <c r="P117" s="8">
        <v>0</v>
      </c>
      <c r="Q117" s="8">
        <v>0</v>
      </c>
      <c r="R117" s="8">
        <v>0</v>
      </c>
      <c r="S117" s="8">
        <v>0</v>
      </c>
      <c r="T117" s="8">
        <v>0</v>
      </c>
      <c r="U117" s="8">
        <v>0</v>
      </c>
      <c r="V117" s="8">
        <v>0</v>
      </c>
      <c r="W117" s="310">
        <v>0</v>
      </c>
    </row>
    <row r="118" spans="2:23" ht="15.75" customHeight="1">
      <c r="B118" s="454" t="s">
        <v>1173</v>
      </c>
      <c r="C118" s="455"/>
      <c r="D118" s="455"/>
      <c r="E118" s="455"/>
      <c r="F118" s="455"/>
      <c r="G118" s="455"/>
      <c r="H118" s="455"/>
      <c r="I118" s="455"/>
      <c r="J118" s="455"/>
      <c r="K118" s="455"/>
      <c r="L118" s="455"/>
      <c r="M118" s="455"/>
      <c r="N118" s="455"/>
      <c r="O118" s="455"/>
      <c r="P118" s="455"/>
      <c r="Q118" s="455"/>
      <c r="R118" s="455"/>
      <c r="S118" s="455"/>
      <c r="T118" s="455"/>
      <c r="U118" s="455"/>
      <c r="V118" s="455"/>
      <c r="W118" s="455"/>
    </row>
    <row r="119" spans="2:23" ht="14.5">
      <c r="B119" s="8"/>
      <c r="C119" s="308" t="s">
        <v>139</v>
      </c>
      <c r="D119" s="179" t="s">
        <v>37</v>
      </c>
      <c r="E119" s="179" t="s">
        <v>140</v>
      </c>
      <c r="F119" s="179" t="s">
        <v>48</v>
      </c>
      <c r="G119" s="179" t="s">
        <v>141</v>
      </c>
      <c r="H119" s="179" t="s">
        <v>142</v>
      </c>
      <c r="I119" s="179" t="s">
        <v>143</v>
      </c>
      <c r="J119" s="179" t="s">
        <v>144</v>
      </c>
      <c r="K119" s="179" t="s">
        <v>61</v>
      </c>
      <c r="L119" s="179" t="s">
        <v>63</v>
      </c>
      <c r="M119" s="179" t="s">
        <v>65</v>
      </c>
      <c r="N119" s="179" t="s">
        <v>67</v>
      </c>
      <c r="O119" s="179" t="s">
        <v>69</v>
      </c>
      <c r="P119" s="179" t="s">
        <v>145</v>
      </c>
      <c r="Q119" s="179" t="s">
        <v>73</v>
      </c>
      <c r="R119" s="179" t="s">
        <v>75</v>
      </c>
      <c r="S119" s="179" t="s">
        <v>146</v>
      </c>
      <c r="T119" s="179" t="s">
        <v>83</v>
      </c>
      <c r="U119" s="179" t="s">
        <v>85</v>
      </c>
      <c r="V119" s="179" t="s">
        <v>88</v>
      </c>
      <c r="W119" s="308" t="s">
        <v>147</v>
      </c>
    </row>
    <row r="120" spans="2:23" ht="15.75" customHeight="1">
      <c r="B120" s="308" t="s">
        <v>139</v>
      </c>
      <c r="C120" s="22">
        <v>4614972641.9104223</v>
      </c>
      <c r="D120" s="22">
        <v>2870619.4029139928</v>
      </c>
      <c r="E120" s="22">
        <v>20616422183.039757</v>
      </c>
      <c r="F120" s="22">
        <v>5808319.3951015528</v>
      </c>
      <c r="G120" s="22">
        <v>19938549.667900253</v>
      </c>
      <c r="H120" s="22">
        <v>63618291.661464587</v>
      </c>
      <c r="I120" s="22">
        <v>39708200.773428917</v>
      </c>
      <c r="J120" s="22">
        <v>605918.13928332052</v>
      </c>
      <c r="K120" s="22">
        <v>31244551.574181285</v>
      </c>
      <c r="L120" s="22">
        <v>79973839.875067875</v>
      </c>
      <c r="M120" s="22">
        <v>2175430490.0773664</v>
      </c>
      <c r="N120" s="22">
        <v>150773370.1366379</v>
      </c>
      <c r="O120" s="22">
        <v>1511384116.9310389</v>
      </c>
      <c r="P120" s="22">
        <v>132963525.778567</v>
      </c>
      <c r="Q120" s="22">
        <v>10492173.676430542</v>
      </c>
      <c r="R120" s="22">
        <v>19831268.791577678</v>
      </c>
      <c r="S120" s="22">
        <v>701225506.47315717</v>
      </c>
      <c r="T120" s="22">
        <v>49389020.871064439</v>
      </c>
      <c r="U120" s="22">
        <v>17372274.646694534</v>
      </c>
      <c r="V120" s="22">
        <v>80363278.860451162</v>
      </c>
      <c r="W120" s="22">
        <v>0</v>
      </c>
    </row>
    <row r="121" spans="2:23" ht="15.75" customHeight="1">
      <c r="B121" s="309" t="s">
        <v>37</v>
      </c>
      <c r="C121" s="22">
        <v>8790923.4778319672</v>
      </c>
      <c r="D121" s="22">
        <v>39083365.286844097</v>
      </c>
      <c r="E121" s="22">
        <v>1113686882.0485828</v>
      </c>
      <c r="F121" s="22">
        <v>3046921860.8355308</v>
      </c>
      <c r="G121" s="22">
        <v>42861179.821935825</v>
      </c>
      <c r="H121" s="22">
        <v>282457867.22577488</v>
      </c>
      <c r="I121" s="22">
        <v>420781078.73166156</v>
      </c>
      <c r="J121" s="22">
        <v>69272.475948918116</v>
      </c>
      <c r="K121" s="22">
        <v>41123947.51852046</v>
      </c>
      <c r="L121" s="22">
        <v>292611722.1456514</v>
      </c>
      <c r="M121" s="22">
        <v>361879325.92150754</v>
      </c>
      <c r="N121" s="22">
        <v>41220803.535261393</v>
      </c>
      <c r="O121" s="22">
        <v>49697272.246881373</v>
      </c>
      <c r="P121" s="22">
        <v>82550422.435242653</v>
      </c>
      <c r="Q121" s="22">
        <v>17087755.600335196</v>
      </c>
      <c r="R121" s="22">
        <v>39827699.214062601</v>
      </c>
      <c r="S121" s="22">
        <v>178898553.09285736</v>
      </c>
      <c r="T121" s="22">
        <v>32425332.827505074</v>
      </c>
      <c r="U121" s="22">
        <v>13458649.343904631</v>
      </c>
      <c r="V121" s="22">
        <v>46603429.293871947</v>
      </c>
      <c r="W121" s="22">
        <v>0</v>
      </c>
    </row>
    <row r="122" spans="2:23" ht="15.75" customHeight="1">
      <c r="B122" s="309" t="s">
        <v>140</v>
      </c>
      <c r="C122" s="22">
        <v>6509560588.4821196</v>
      </c>
      <c r="D122" s="22">
        <v>603043289.1329459</v>
      </c>
      <c r="E122" s="22">
        <v>216470044181.40979</v>
      </c>
      <c r="F122" s="22">
        <v>3142543550.434536</v>
      </c>
      <c r="G122" s="22">
        <v>18410711472.852295</v>
      </c>
      <c r="H122" s="22">
        <v>993614380.19611061</v>
      </c>
      <c r="I122" s="22">
        <v>644526376.93408048</v>
      </c>
      <c r="J122" s="22">
        <v>41834799.018764153</v>
      </c>
      <c r="K122" s="22">
        <v>2574454027.3916283</v>
      </c>
      <c r="L122" s="22">
        <v>31564506729.670994</v>
      </c>
      <c r="M122" s="22">
        <v>14550789229.518072</v>
      </c>
      <c r="N122" s="22">
        <v>4576850087.4866209</v>
      </c>
      <c r="O122" s="22">
        <v>15937155668.181501</v>
      </c>
      <c r="P122" s="22">
        <v>11850749063.55394</v>
      </c>
      <c r="Q122" s="22">
        <v>2117192131.3531702</v>
      </c>
      <c r="R122" s="22">
        <v>2243762969.673902</v>
      </c>
      <c r="S122" s="22">
        <v>17738760768.492432</v>
      </c>
      <c r="T122" s="22">
        <v>1382113610.6229508</v>
      </c>
      <c r="U122" s="22">
        <v>613779975.05331206</v>
      </c>
      <c r="V122" s="22">
        <v>6482512631.4689531</v>
      </c>
      <c r="W122" s="22">
        <v>0</v>
      </c>
    </row>
    <row r="123" spans="2:23" ht="15.75" customHeight="1">
      <c r="B123" s="309" t="s">
        <v>48</v>
      </c>
      <c r="C123" s="22">
        <v>1164052550.9100552</v>
      </c>
      <c r="D123" s="22">
        <v>145452350.15875241</v>
      </c>
      <c r="E123" s="22">
        <v>7420872749.3717051</v>
      </c>
      <c r="F123" s="22">
        <v>5335522245.288187</v>
      </c>
      <c r="G123" s="22">
        <v>135236070.29273972</v>
      </c>
      <c r="H123" s="22">
        <v>2082266700.3514538</v>
      </c>
      <c r="I123" s="22">
        <v>87338731.848315969</v>
      </c>
      <c r="J123" s="22">
        <v>1689841.7481622486</v>
      </c>
      <c r="K123" s="22">
        <v>813013485.30510139</v>
      </c>
      <c r="L123" s="22">
        <v>1723809987.2305505</v>
      </c>
      <c r="M123" s="22">
        <v>1056889712.3112204</v>
      </c>
      <c r="N123" s="22">
        <v>6660351747.4254065</v>
      </c>
      <c r="O123" s="22">
        <v>67342669.415945947</v>
      </c>
      <c r="P123" s="22">
        <v>130274577.89263852</v>
      </c>
      <c r="Q123" s="22">
        <v>42491598.16778408</v>
      </c>
      <c r="R123" s="22">
        <v>7554530.4371421132</v>
      </c>
      <c r="S123" s="22">
        <v>895469339.89857876</v>
      </c>
      <c r="T123" s="22">
        <v>291824889.87923104</v>
      </c>
      <c r="U123" s="22">
        <v>8763831.6793829147</v>
      </c>
      <c r="V123" s="22">
        <v>88512836.326445356</v>
      </c>
      <c r="W123" s="22">
        <v>0</v>
      </c>
    </row>
    <row r="124" spans="2:23" ht="15.75" customHeight="1">
      <c r="B124" s="309" t="s">
        <v>141</v>
      </c>
      <c r="C124" s="22">
        <v>77629950.538382366</v>
      </c>
      <c r="D124" s="22">
        <v>53184528.517910697</v>
      </c>
      <c r="E124" s="22">
        <v>4479157297.1516886</v>
      </c>
      <c r="F124" s="22">
        <v>107776033.67011057</v>
      </c>
      <c r="G124" s="22">
        <v>4170611456.2528849</v>
      </c>
      <c r="H124" s="22">
        <v>77708528.573365763</v>
      </c>
      <c r="I124" s="22">
        <v>48962016.701079912</v>
      </c>
      <c r="J124" s="22">
        <v>2008434.8129032406</v>
      </c>
      <c r="K124" s="22">
        <v>192017186.95610175</v>
      </c>
      <c r="L124" s="22">
        <v>965284879.60541523</v>
      </c>
      <c r="M124" s="22">
        <v>2157974038.3930593</v>
      </c>
      <c r="N124" s="22">
        <v>1652572290.0754187</v>
      </c>
      <c r="O124" s="22">
        <v>182198385.26473522</v>
      </c>
      <c r="P124" s="22">
        <v>720196405.73511243</v>
      </c>
      <c r="Q124" s="22">
        <v>129122131.14011751</v>
      </c>
      <c r="R124" s="22">
        <v>202226975.9817948</v>
      </c>
      <c r="S124" s="22">
        <v>1701275864.6448071</v>
      </c>
      <c r="T124" s="22">
        <v>142488162.22447911</v>
      </c>
      <c r="U124" s="22">
        <v>43693457.76626125</v>
      </c>
      <c r="V124" s="22">
        <v>182677698.58505619</v>
      </c>
      <c r="W124" s="22">
        <v>0</v>
      </c>
    </row>
    <row r="125" spans="2:23" ht="15.75" customHeight="1">
      <c r="B125" s="309" t="s">
        <v>142</v>
      </c>
      <c r="C125" s="22">
        <v>863877336.87820232</v>
      </c>
      <c r="D125" s="22">
        <v>148164650.25761098</v>
      </c>
      <c r="E125" s="22">
        <v>13742541265.820812</v>
      </c>
      <c r="F125" s="22">
        <v>1010360246.9468341</v>
      </c>
      <c r="G125" s="22">
        <v>568501405.66809535</v>
      </c>
      <c r="H125" s="22">
        <v>21264569230.4356</v>
      </c>
      <c r="I125" s="22">
        <v>22518233.580555018</v>
      </c>
      <c r="J125" s="22">
        <v>803628.33758036816</v>
      </c>
      <c r="K125" s="22">
        <v>864491850.48643649</v>
      </c>
      <c r="L125" s="22">
        <v>676571896.39102685</v>
      </c>
      <c r="M125" s="22">
        <v>3644947225.6022034</v>
      </c>
      <c r="N125" s="22">
        <v>1118060719.63973</v>
      </c>
      <c r="O125" s="22">
        <v>1402228549.2437654</v>
      </c>
      <c r="P125" s="22">
        <v>1675617303.0399168</v>
      </c>
      <c r="Q125" s="22">
        <v>458064323.7699945</v>
      </c>
      <c r="R125" s="22">
        <v>116472160.71207875</v>
      </c>
      <c r="S125" s="22">
        <v>2291441261.1913695</v>
      </c>
      <c r="T125" s="22">
        <v>1644935402.8291409</v>
      </c>
      <c r="U125" s="22">
        <v>325435117.56871104</v>
      </c>
      <c r="V125" s="22">
        <v>854468329.96465039</v>
      </c>
      <c r="W125" s="22">
        <v>0</v>
      </c>
    </row>
    <row r="126" spans="2:23" ht="15.75" customHeight="1">
      <c r="B126" s="309" t="s">
        <v>143</v>
      </c>
      <c r="C126" s="22">
        <v>37403066.576217793</v>
      </c>
      <c r="D126" s="22">
        <v>44753760.317063779</v>
      </c>
      <c r="E126" s="22">
        <v>2174932650.3094354</v>
      </c>
      <c r="F126" s="22">
        <v>64588125.15999563</v>
      </c>
      <c r="G126" s="22">
        <v>7337732.7727851141</v>
      </c>
      <c r="H126" s="22">
        <v>5189678237.1973228</v>
      </c>
      <c r="I126" s="22">
        <v>2597794.2540172609</v>
      </c>
      <c r="J126" s="22">
        <v>12750879.081064176</v>
      </c>
      <c r="K126" s="22">
        <v>213722972.74718666</v>
      </c>
      <c r="L126" s="22">
        <v>217512205.31652084</v>
      </c>
      <c r="M126" s="22">
        <v>190881165.70103726</v>
      </c>
      <c r="N126" s="22">
        <v>97034027.9541004</v>
      </c>
      <c r="O126" s="22">
        <v>392487287.00601578</v>
      </c>
      <c r="P126" s="22">
        <v>449726827.17808175</v>
      </c>
      <c r="Q126" s="22">
        <v>136563891.8089309</v>
      </c>
      <c r="R126" s="22">
        <v>31371275.271499686</v>
      </c>
      <c r="S126" s="22">
        <v>416327966.54349405</v>
      </c>
      <c r="T126" s="22">
        <v>511227934.85155499</v>
      </c>
      <c r="U126" s="22">
        <v>109545701.70732209</v>
      </c>
      <c r="V126" s="22">
        <v>313676452.12989718</v>
      </c>
      <c r="W126" s="22">
        <v>0</v>
      </c>
    </row>
    <row r="127" spans="2:23" ht="15.75" customHeight="1">
      <c r="B127" s="309" t="s">
        <v>144</v>
      </c>
      <c r="C127" s="22">
        <v>1304811.9463661152</v>
      </c>
      <c r="D127" s="22">
        <v>264863.85461312759</v>
      </c>
      <c r="E127" s="22">
        <v>23655156.939498235</v>
      </c>
      <c r="F127" s="22">
        <v>38539.012832207103</v>
      </c>
      <c r="G127" s="22">
        <v>3232973.9321799492</v>
      </c>
      <c r="H127" s="22">
        <v>1999746.8769330257</v>
      </c>
      <c r="I127" s="22">
        <v>4805661.8529453026</v>
      </c>
      <c r="J127" s="22">
        <v>171459.24232944075</v>
      </c>
      <c r="K127" s="22">
        <v>343977.78068107157</v>
      </c>
      <c r="L127" s="22">
        <v>31589409.586747892</v>
      </c>
      <c r="M127" s="22">
        <v>5727782.4176677912</v>
      </c>
      <c r="N127" s="22">
        <v>1770421.5200503678</v>
      </c>
      <c r="O127" s="22">
        <v>653756.30778132018</v>
      </c>
      <c r="P127" s="22">
        <v>4559343.846174337</v>
      </c>
      <c r="Q127" s="22">
        <v>1741651.6348165059</v>
      </c>
      <c r="R127" s="22">
        <v>108222.31775935143</v>
      </c>
      <c r="S127" s="22">
        <v>3446550.2308685509</v>
      </c>
      <c r="T127" s="22">
        <v>1700852.3627753623</v>
      </c>
      <c r="U127" s="22">
        <v>878723.53376256302</v>
      </c>
      <c r="V127" s="22">
        <v>898434.27895754017</v>
      </c>
      <c r="W127" s="22">
        <v>0</v>
      </c>
    </row>
    <row r="128" spans="2:23" ht="15.75" customHeight="1">
      <c r="B128" s="309" t="s">
        <v>61</v>
      </c>
      <c r="C128" s="22">
        <v>391846430.13619381</v>
      </c>
      <c r="D128" s="22">
        <v>238866680.77078056</v>
      </c>
      <c r="E128" s="22">
        <v>9927948922.9603748</v>
      </c>
      <c r="F128" s="22">
        <v>187353966.12379357</v>
      </c>
      <c r="G128" s="22">
        <v>470729884.61387724</v>
      </c>
      <c r="H128" s="22">
        <v>919180176.58581197</v>
      </c>
      <c r="I128" s="22">
        <v>661627097.89735973</v>
      </c>
      <c r="J128" s="22">
        <v>6089328.865168429</v>
      </c>
      <c r="K128" s="22">
        <v>8286815698.7975779</v>
      </c>
      <c r="L128" s="22">
        <v>921407087.66140306</v>
      </c>
      <c r="M128" s="22">
        <v>958272991.63687944</v>
      </c>
      <c r="N128" s="22">
        <v>518261564.10683745</v>
      </c>
      <c r="O128" s="22">
        <v>304365049.72142178</v>
      </c>
      <c r="P128" s="22">
        <v>1573815904.0534759</v>
      </c>
      <c r="Q128" s="22">
        <v>175507852.22434568</v>
      </c>
      <c r="R128" s="22">
        <v>122680261.43317468</v>
      </c>
      <c r="S128" s="22">
        <v>1133961557.0891414</v>
      </c>
      <c r="T128" s="22">
        <v>321549264.94784653</v>
      </c>
      <c r="U128" s="22">
        <v>78564015.334995463</v>
      </c>
      <c r="V128" s="22">
        <v>430639555.54381621</v>
      </c>
      <c r="W128" s="22">
        <v>0</v>
      </c>
    </row>
    <row r="129" spans="2:23" ht="15.75" customHeight="1">
      <c r="B129" s="309" t="s">
        <v>63</v>
      </c>
      <c r="C129" s="22">
        <v>588184008.05526781</v>
      </c>
      <c r="D129" s="22">
        <v>55322503.254420005</v>
      </c>
      <c r="E129" s="22">
        <v>5027701266.0061178</v>
      </c>
      <c r="F129" s="22">
        <v>361688668.78691763</v>
      </c>
      <c r="G129" s="22">
        <v>722594058.96375155</v>
      </c>
      <c r="H129" s="22">
        <v>488244106.79588413</v>
      </c>
      <c r="I129" s="22">
        <v>27683977.896384805</v>
      </c>
      <c r="J129" s="22">
        <v>953390.8057359024</v>
      </c>
      <c r="K129" s="22">
        <v>424020308.23776567</v>
      </c>
      <c r="L129" s="22">
        <v>73338388802.274643</v>
      </c>
      <c r="M129" s="22">
        <v>2562500847.7759032</v>
      </c>
      <c r="N129" s="22">
        <v>1361168553.2808199</v>
      </c>
      <c r="O129" s="22">
        <v>725859472.76463437</v>
      </c>
      <c r="P129" s="22">
        <v>2205642519.8685198</v>
      </c>
      <c r="Q129" s="22">
        <v>664002085.54016316</v>
      </c>
      <c r="R129" s="22">
        <v>1716685522.5743258</v>
      </c>
      <c r="S129" s="22">
        <v>3811864776.26228</v>
      </c>
      <c r="T129" s="22">
        <v>2626477069.6300464</v>
      </c>
      <c r="U129" s="22">
        <v>459947067.01060975</v>
      </c>
      <c r="V129" s="22">
        <v>1918348454.1950886</v>
      </c>
      <c r="W129" s="22">
        <v>0</v>
      </c>
    </row>
    <row r="130" spans="2:23" ht="15.75" customHeight="1">
      <c r="B130" s="309" t="s">
        <v>65</v>
      </c>
      <c r="C130" s="22">
        <v>1591469308.800091</v>
      </c>
      <c r="D130" s="22">
        <v>227969937.41058114</v>
      </c>
      <c r="E130" s="22">
        <v>44884880978.69603</v>
      </c>
      <c r="F130" s="22">
        <v>3456634479.2914639</v>
      </c>
      <c r="G130" s="22">
        <v>5273158293.7321062</v>
      </c>
      <c r="H130" s="22">
        <v>1706327450.1791182</v>
      </c>
      <c r="I130" s="22">
        <v>1154563432.7602398</v>
      </c>
      <c r="J130" s="22">
        <v>126703700.25513178</v>
      </c>
      <c r="K130" s="22">
        <v>1818260060.8967435</v>
      </c>
      <c r="L130" s="22">
        <v>6010012182.3981695</v>
      </c>
      <c r="M130" s="22">
        <v>15217229111.595156</v>
      </c>
      <c r="N130" s="22">
        <v>4458964474.6476278</v>
      </c>
      <c r="O130" s="22">
        <v>3199665163.9132771</v>
      </c>
      <c r="P130" s="22">
        <v>5583073584.0989161</v>
      </c>
      <c r="Q130" s="22">
        <v>1699192876.0704746</v>
      </c>
      <c r="R130" s="22">
        <v>771613256.09525681</v>
      </c>
      <c r="S130" s="22">
        <v>11756906205.104647</v>
      </c>
      <c r="T130" s="22">
        <v>723260585.10183728</v>
      </c>
      <c r="U130" s="22">
        <v>267558068.93853453</v>
      </c>
      <c r="V130" s="22">
        <v>2855150753.2307134</v>
      </c>
      <c r="W130" s="22">
        <v>0</v>
      </c>
    </row>
    <row r="131" spans="2:23" ht="15.75" customHeight="1">
      <c r="B131" s="309" t="s">
        <v>67</v>
      </c>
      <c r="C131" s="22">
        <v>872330667.44519043</v>
      </c>
      <c r="D131" s="22">
        <v>280420511.38522285</v>
      </c>
      <c r="E131" s="22">
        <v>19611247197.180202</v>
      </c>
      <c r="F131" s="22">
        <v>1562569304.2883048</v>
      </c>
      <c r="G131" s="22">
        <v>1326946687.2754233</v>
      </c>
      <c r="H131" s="22">
        <v>1060129724.5162222</v>
      </c>
      <c r="I131" s="22">
        <v>1981386913.1382453</v>
      </c>
      <c r="J131" s="22">
        <v>19190692.901812423</v>
      </c>
      <c r="K131" s="22">
        <v>667826809.08375263</v>
      </c>
      <c r="L131" s="22">
        <v>2762492290.6438231</v>
      </c>
      <c r="M131" s="22">
        <v>10356741601.753593</v>
      </c>
      <c r="N131" s="22">
        <v>7897220907.0113964</v>
      </c>
      <c r="O131" s="22">
        <v>896845464.26748204</v>
      </c>
      <c r="P131" s="22">
        <v>1846220573.1397488</v>
      </c>
      <c r="Q131" s="22">
        <v>730216294.30844748</v>
      </c>
      <c r="R131" s="22">
        <v>170784991.06646395</v>
      </c>
      <c r="S131" s="22">
        <v>9602806348.7998486</v>
      </c>
      <c r="T131" s="22">
        <v>1416963819.2343705</v>
      </c>
      <c r="U131" s="22">
        <v>299534790.47932863</v>
      </c>
      <c r="V131" s="22">
        <v>654111571.6418395</v>
      </c>
      <c r="W131" s="22">
        <v>0</v>
      </c>
    </row>
    <row r="132" spans="2:23" ht="15.75" customHeight="1">
      <c r="B132" s="309" t="s">
        <v>69</v>
      </c>
      <c r="C132" s="22">
        <v>44445429.001360409</v>
      </c>
      <c r="D132" s="22">
        <v>34049986.349605873</v>
      </c>
      <c r="E132" s="22">
        <v>3251347937.6307383</v>
      </c>
      <c r="F132" s="22">
        <v>85943852.384150773</v>
      </c>
      <c r="G132" s="22">
        <v>532161873.60884339</v>
      </c>
      <c r="H132" s="22">
        <v>227998201.68892783</v>
      </c>
      <c r="I132" s="22">
        <v>365239355.08001453</v>
      </c>
      <c r="J132" s="22">
        <v>2474948.5570537909</v>
      </c>
      <c r="K132" s="22">
        <v>35821208.749963902</v>
      </c>
      <c r="L132" s="22">
        <v>2699673821.1328239</v>
      </c>
      <c r="M132" s="22">
        <v>2916996147.1369147</v>
      </c>
      <c r="N132" s="22">
        <v>561160553.51555359</v>
      </c>
      <c r="O132" s="22">
        <v>615638841.41325593</v>
      </c>
      <c r="P132" s="22">
        <v>1833457995.7901373</v>
      </c>
      <c r="Q132" s="22">
        <v>279506221.15711021</v>
      </c>
      <c r="R132" s="22">
        <v>382148357.47436106</v>
      </c>
      <c r="S132" s="22">
        <v>3594748630.9166112</v>
      </c>
      <c r="T132" s="22">
        <v>390535599.72003013</v>
      </c>
      <c r="U132" s="22">
        <v>195014335.12321189</v>
      </c>
      <c r="V132" s="22">
        <v>1596600990.0401123</v>
      </c>
      <c r="W132" s="22">
        <v>0</v>
      </c>
    </row>
    <row r="133" spans="2:23" ht="15.75" customHeight="1">
      <c r="B133" s="309" t="s">
        <v>145</v>
      </c>
      <c r="C133" s="22">
        <v>306422228.12744081</v>
      </c>
      <c r="D133" s="22">
        <v>155267667.70204198</v>
      </c>
      <c r="E133" s="22">
        <v>11757684199.980703</v>
      </c>
      <c r="F133" s="22">
        <v>349701088.47614634</v>
      </c>
      <c r="G133" s="22">
        <v>2026696981.2059355</v>
      </c>
      <c r="H133" s="22">
        <v>905481733.86050606</v>
      </c>
      <c r="I133" s="22">
        <v>1415101223.3727176</v>
      </c>
      <c r="J133" s="22">
        <v>5034996.5492491191</v>
      </c>
      <c r="K133" s="22">
        <v>1308074423.9395812</v>
      </c>
      <c r="L133" s="22">
        <v>5226233419.0883636</v>
      </c>
      <c r="M133" s="22">
        <v>11207373934.219582</v>
      </c>
      <c r="N133" s="22">
        <v>1417620926.3784702</v>
      </c>
      <c r="O133" s="22">
        <v>1937726670.319284</v>
      </c>
      <c r="P133" s="22">
        <v>26704886967.220543</v>
      </c>
      <c r="Q133" s="22">
        <v>5518421272.1867542</v>
      </c>
      <c r="R133" s="22">
        <v>1096662030.3145199</v>
      </c>
      <c r="S133" s="22">
        <v>18622488257.224422</v>
      </c>
      <c r="T133" s="22">
        <v>2782372297.6009908</v>
      </c>
      <c r="U133" s="22">
        <v>682440816.71863484</v>
      </c>
      <c r="V133" s="22">
        <v>3193792842.0087776</v>
      </c>
      <c r="W133" s="22">
        <v>0</v>
      </c>
    </row>
    <row r="134" spans="2:23" ht="15.75" customHeight="1">
      <c r="B134" s="309" t="s">
        <v>73</v>
      </c>
      <c r="C134" s="22">
        <v>733339241.55013406</v>
      </c>
      <c r="D134" s="22">
        <v>97705871.819418788</v>
      </c>
      <c r="E134" s="22">
        <v>14333533258.906563</v>
      </c>
      <c r="F134" s="22">
        <v>331793453.04697359</v>
      </c>
      <c r="G134" s="22">
        <v>941620997.81087029</v>
      </c>
      <c r="H134" s="22">
        <v>612858037.60902405</v>
      </c>
      <c r="I134" s="22">
        <v>310188254.93821245</v>
      </c>
      <c r="J134" s="22">
        <v>1322561.7136948789</v>
      </c>
      <c r="K134" s="22">
        <v>660496461.44937897</v>
      </c>
      <c r="L134" s="22">
        <v>6590567170.12286</v>
      </c>
      <c r="M134" s="22">
        <v>15416144185.054342</v>
      </c>
      <c r="N134" s="22">
        <v>1981341474.7164176</v>
      </c>
      <c r="O134" s="22">
        <v>2557943200.1128821</v>
      </c>
      <c r="P134" s="22">
        <v>4867587434.8861914</v>
      </c>
      <c r="Q134" s="22">
        <v>24336102414.667252</v>
      </c>
      <c r="R134" s="22">
        <v>9509838378.7379951</v>
      </c>
      <c r="S134" s="22">
        <v>7764630135.386157</v>
      </c>
      <c r="T134" s="22">
        <v>3989634018.3551111</v>
      </c>
      <c r="U134" s="22">
        <v>451853355.09942251</v>
      </c>
      <c r="V134" s="22">
        <v>1731614556.1360157</v>
      </c>
      <c r="W134" s="22">
        <v>0</v>
      </c>
    </row>
    <row r="135" spans="2:23" ht="15.75" customHeight="1">
      <c r="B135" s="309" t="s">
        <v>75</v>
      </c>
      <c r="C135" s="22">
        <v>55466936.536533356</v>
      </c>
      <c r="D135" s="22">
        <v>29386947.65841189</v>
      </c>
      <c r="E135" s="22">
        <v>7635200646.2020817</v>
      </c>
      <c r="F135" s="22">
        <v>36512077.915219545</v>
      </c>
      <c r="G135" s="22">
        <v>469188645.2159223</v>
      </c>
      <c r="H135" s="22">
        <v>357904947.61999303</v>
      </c>
      <c r="I135" s="22">
        <v>481225338.48586363</v>
      </c>
      <c r="J135" s="22">
        <v>3054601.3755731569</v>
      </c>
      <c r="K135" s="22">
        <v>284424742.75226474</v>
      </c>
      <c r="L135" s="22">
        <v>2094124141.0745912</v>
      </c>
      <c r="M135" s="22">
        <v>16016547025.636147</v>
      </c>
      <c r="N135" s="22">
        <v>2163139327.7642441</v>
      </c>
      <c r="O135" s="22">
        <v>5070922219.4780931</v>
      </c>
      <c r="P135" s="22">
        <v>4876777203.7035494</v>
      </c>
      <c r="Q135" s="22">
        <v>3826933674.5561666</v>
      </c>
      <c r="R135" s="22">
        <v>1685017741.2945087</v>
      </c>
      <c r="S135" s="22">
        <v>6021547019.0994062</v>
      </c>
      <c r="T135" s="22">
        <v>1444548801.0774601</v>
      </c>
      <c r="U135" s="22">
        <v>727310517.85602319</v>
      </c>
      <c r="V135" s="22">
        <v>1580458570.055512</v>
      </c>
      <c r="W135" s="22">
        <v>0</v>
      </c>
    </row>
    <row r="136" spans="2:23" ht="15.75" customHeight="1">
      <c r="B136" s="309" t="s">
        <v>146</v>
      </c>
      <c r="C136" s="22">
        <v>781484809.31458545</v>
      </c>
      <c r="D136" s="22">
        <v>673512237.3467797</v>
      </c>
      <c r="E136" s="22">
        <v>41123439494.293564</v>
      </c>
      <c r="F136" s="22">
        <v>1870245043.4216502</v>
      </c>
      <c r="G136" s="22">
        <v>5899226698.7251806</v>
      </c>
      <c r="H136" s="22">
        <v>1162236672.2479384</v>
      </c>
      <c r="I136" s="22">
        <v>1395176161.1593573</v>
      </c>
      <c r="J136" s="22">
        <v>6850645.055409397</v>
      </c>
      <c r="K136" s="22">
        <v>5374087457.0488319</v>
      </c>
      <c r="L136" s="22">
        <v>19973041391.982517</v>
      </c>
      <c r="M136" s="22">
        <v>40037253587.856415</v>
      </c>
      <c r="N136" s="22">
        <v>14402447592.061506</v>
      </c>
      <c r="O136" s="22">
        <v>6863152719.0303907</v>
      </c>
      <c r="P136" s="22">
        <v>28992715919.204418</v>
      </c>
      <c r="Q136" s="22">
        <v>8180527977.5907822</v>
      </c>
      <c r="R136" s="22">
        <v>7713807522.4391928</v>
      </c>
      <c r="S136" s="22">
        <v>53032221701.494232</v>
      </c>
      <c r="T136" s="22">
        <v>8255789605.9185257</v>
      </c>
      <c r="U136" s="22">
        <v>4340630606.8807516</v>
      </c>
      <c r="V136" s="22">
        <v>10702814603.128937</v>
      </c>
      <c r="W136" s="22">
        <v>0</v>
      </c>
    </row>
    <row r="137" spans="2:23" ht="15.75" customHeight="1">
      <c r="B137" s="309" t="s">
        <v>83</v>
      </c>
      <c r="C137" s="22">
        <v>1550523.4855891077</v>
      </c>
      <c r="D137" s="22">
        <v>4286042.9046028275</v>
      </c>
      <c r="E137" s="22">
        <v>602223946.99997032</v>
      </c>
      <c r="F137" s="22">
        <v>50846110.014175482</v>
      </c>
      <c r="G137" s="22">
        <v>194571346.2287924</v>
      </c>
      <c r="H137" s="22">
        <v>24959803.862467699</v>
      </c>
      <c r="I137" s="22">
        <v>18986786.82069543</v>
      </c>
      <c r="J137" s="22">
        <v>46650.486235075099</v>
      </c>
      <c r="K137" s="22">
        <v>30896239.768512707</v>
      </c>
      <c r="L137" s="22">
        <v>69858329.617626056</v>
      </c>
      <c r="M137" s="22">
        <v>715381317.75716424</v>
      </c>
      <c r="N137" s="22">
        <v>55064714.593708605</v>
      </c>
      <c r="O137" s="22">
        <v>48614522.574334256</v>
      </c>
      <c r="P137" s="22">
        <v>366287877.77517658</v>
      </c>
      <c r="Q137" s="22">
        <v>96790469.196991399</v>
      </c>
      <c r="R137" s="22">
        <v>61739340.880175956</v>
      </c>
      <c r="S137" s="22">
        <v>455352463.35984665</v>
      </c>
      <c r="T137" s="22">
        <v>256546479.14012799</v>
      </c>
      <c r="U137" s="22">
        <v>66091875.212722942</v>
      </c>
      <c r="V137" s="22">
        <v>130118397.60697336</v>
      </c>
      <c r="W137" s="22">
        <v>0</v>
      </c>
    </row>
    <row r="138" spans="2:23" ht="15.75" customHeight="1">
      <c r="B138" s="309" t="s">
        <v>85</v>
      </c>
      <c r="C138" s="22">
        <v>4057569.9568214221</v>
      </c>
      <c r="D138" s="22">
        <v>12807208.42449916</v>
      </c>
      <c r="E138" s="22">
        <v>537827226.6846658</v>
      </c>
      <c r="F138" s="22">
        <v>6738478.1149356412</v>
      </c>
      <c r="G138" s="22">
        <v>71338485.884841383</v>
      </c>
      <c r="H138" s="22">
        <v>10080642.485697772</v>
      </c>
      <c r="I138" s="22">
        <v>21286984.518082008</v>
      </c>
      <c r="J138" s="22">
        <v>132838.17818581552</v>
      </c>
      <c r="K138" s="22">
        <v>94791837.818917692</v>
      </c>
      <c r="L138" s="22">
        <v>140385885.4034707</v>
      </c>
      <c r="M138" s="22">
        <v>591044579.43644416</v>
      </c>
      <c r="N138" s="22">
        <v>53813999.181745686</v>
      </c>
      <c r="O138" s="22">
        <v>52821374.719215713</v>
      </c>
      <c r="P138" s="22">
        <v>722912979.50551188</v>
      </c>
      <c r="Q138" s="22">
        <v>55851637.284543879</v>
      </c>
      <c r="R138" s="22">
        <v>12181720.675759951</v>
      </c>
      <c r="S138" s="22">
        <v>519006519.66731423</v>
      </c>
      <c r="T138" s="22">
        <v>877829958.33914602</v>
      </c>
      <c r="U138" s="22">
        <v>372289715.69247532</v>
      </c>
      <c r="V138" s="22">
        <v>358387608.79144681</v>
      </c>
      <c r="W138" s="22">
        <v>0</v>
      </c>
    </row>
    <row r="139" spans="2:23" ht="15.75" customHeight="1">
      <c r="B139" s="309" t="s">
        <v>88</v>
      </c>
      <c r="C139" s="22">
        <v>4317943.0086584147</v>
      </c>
      <c r="D139" s="22">
        <v>4703390.5139582371</v>
      </c>
      <c r="E139" s="22">
        <v>431322113.50999725</v>
      </c>
      <c r="F139" s="22">
        <v>15742947.248185335</v>
      </c>
      <c r="G139" s="22">
        <v>64197584.721757717</v>
      </c>
      <c r="H139" s="22">
        <v>11226139.387206079</v>
      </c>
      <c r="I139" s="22">
        <v>12156227.362976797</v>
      </c>
      <c r="J139" s="22">
        <v>308939.78968417045</v>
      </c>
      <c r="K139" s="22">
        <v>29241647.981545813</v>
      </c>
      <c r="L139" s="22">
        <v>111542897.77200368</v>
      </c>
      <c r="M139" s="22">
        <v>107528822.77423143</v>
      </c>
      <c r="N139" s="22">
        <v>36113149.657967798</v>
      </c>
      <c r="O139" s="22">
        <v>30051116.941095382</v>
      </c>
      <c r="P139" s="22">
        <v>180545516.11286429</v>
      </c>
      <c r="Q139" s="22">
        <v>35880204.15044713</v>
      </c>
      <c r="R139" s="22">
        <v>18843976.336231414</v>
      </c>
      <c r="S139" s="22">
        <v>265378861.93673483</v>
      </c>
      <c r="T139" s="22">
        <v>690498651.74564576</v>
      </c>
      <c r="U139" s="22">
        <v>148443048.94698492</v>
      </c>
      <c r="V139" s="22">
        <v>11172408500.196831</v>
      </c>
      <c r="W139" s="22">
        <v>0</v>
      </c>
    </row>
    <row r="140" spans="2:23" ht="15.75" customHeight="1">
      <c r="B140" s="309" t="s">
        <v>147</v>
      </c>
      <c r="C140" s="22">
        <v>0</v>
      </c>
      <c r="D140" s="22">
        <v>0</v>
      </c>
      <c r="E140" s="22">
        <v>0</v>
      </c>
      <c r="F140" s="22">
        <v>0</v>
      </c>
      <c r="G140" s="22">
        <v>0</v>
      </c>
      <c r="H140" s="22">
        <v>0</v>
      </c>
      <c r="I140" s="22">
        <v>0</v>
      </c>
      <c r="J140" s="22">
        <v>0</v>
      </c>
      <c r="K140" s="22">
        <v>0</v>
      </c>
      <c r="L140" s="22">
        <v>0</v>
      </c>
      <c r="M140" s="22">
        <v>0</v>
      </c>
      <c r="N140" s="22">
        <v>0</v>
      </c>
      <c r="O140" s="22">
        <v>0</v>
      </c>
      <c r="P140" s="22">
        <v>0</v>
      </c>
      <c r="Q140" s="22">
        <v>0</v>
      </c>
      <c r="R140" s="22">
        <v>0</v>
      </c>
      <c r="S140" s="22">
        <v>0</v>
      </c>
      <c r="T140" s="22">
        <v>0</v>
      </c>
      <c r="U140" s="22">
        <v>0</v>
      </c>
      <c r="V140" s="22">
        <v>0</v>
      </c>
      <c r="W140" s="22">
        <v>0</v>
      </c>
    </row>
    <row r="141" spans="2:23" ht="15.75" customHeight="1">
      <c r="B141" s="311"/>
      <c r="C141" s="311"/>
      <c r="D141" s="454" t="s">
        <v>1174</v>
      </c>
      <c r="E141" s="455"/>
      <c r="F141" s="455"/>
      <c r="G141" s="455"/>
      <c r="H141" s="455"/>
      <c r="I141" s="455"/>
      <c r="J141" s="455"/>
      <c r="K141" s="455"/>
      <c r="L141" s="455"/>
      <c r="M141" s="455"/>
      <c r="N141" s="455"/>
      <c r="O141" s="455"/>
      <c r="P141" s="455"/>
      <c r="Q141" s="455"/>
      <c r="R141" s="455"/>
      <c r="S141" s="455"/>
      <c r="T141" s="455"/>
      <c r="U141" s="455"/>
      <c r="V141" s="455"/>
      <c r="W141" s="455"/>
    </row>
    <row r="142" spans="2:23" ht="14.5">
      <c r="B142" s="8"/>
      <c r="C142" s="308" t="s">
        <v>139</v>
      </c>
      <c r="D142" s="179" t="s">
        <v>37</v>
      </c>
      <c r="E142" s="179" t="s">
        <v>140</v>
      </c>
      <c r="F142" s="179" t="s">
        <v>48</v>
      </c>
      <c r="G142" s="179" t="s">
        <v>141</v>
      </c>
      <c r="H142" s="179" t="s">
        <v>142</v>
      </c>
      <c r="I142" s="179" t="s">
        <v>143</v>
      </c>
      <c r="J142" s="179" t="s">
        <v>144</v>
      </c>
      <c r="K142" s="179" t="s">
        <v>61</v>
      </c>
      <c r="L142" s="179" t="s">
        <v>63</v>
      </c>
      <c r="M142" s="179" t="s">
        <v>65</v>
      </c>
      <c r="N142" s="179" t="s">
        <v>67</v>
      </c>
      <c r="O142" s="179" t="s">
        <v>69</v>
      </c>
      <c r="P142" s="179" t="s">
        <v>145</v>
      </c>
      <c r="Q142" s="179" t="s">
        <v>73</v>
      </c>
      <c r="R142" s="179" t="s">
        <v>75</v>
      </c>
      <c r="S142" s="179" t="s">
        <v>146</v>
      </c>
      <c r="T142" s="179" t="s">
        <v>83</v>
      </c>
      <c r="U142" s="179" t="s">
        <v>85</v>
      </c>
      <c r="V142" s="179" t="s">
        <v>88</v>
      </c>
      <c r="W142" s="308" t="s">
        <v>147</v>
      </c>
    </row>
    <row r="143" spans="2:23" ht="15.75" customHeight="1">
      <c r="B143" s="308" t="s">
        <v>139</v>
      </c>
      <c r="C143" s="22" cm="1">
        <f t="array" ref="C143:W163">_xlfn.MUNIT(21)</f>
        <v>1</v>
      </c>
      <c r="D143" s="22">
        <v>0</v>
      </c>
      <c r="E143" s="22">
        <v>0</v>
      </c>
      <c r="F143" s="22">
        <v>0</v>
      </c>
      <c r="G143" s="22">
        <v>0</v>
      </c>
      <c r="H143" s="22">
        <v>0</v>
      </c>
      <c r="I143" s="22">
        <v>0</v>
      </c>
      <c r="J143" s="22">
        <v>0</v>
      </c>
      <c r="K143" s="22">
        <v>0</v>
      </c>
      <c r="L143" s="22">
        <v>0</v>
      </c>
      <c r="M143" s="22">
        <v>0</v>
      </c>
      <c r="N143" s="22">
        <v>0</v>
      </c>
      <c r="O143" s="22">
        <v>0</v>
      </c>
      <c r="P143" s="22">
        <v>0</v>
      </c>
      <c r="Q143" s="22">
        <v>0</v>
      </c>
      <c r="R143" s="22">
        <v>0</v>
      </c>
      <c r="S143" s="22">
        <v>0</v>
      </c>
      <c r="T143" s="22">
        <v>0</v>
      </c>
      <c r="U143" s="22">
        <v>0</v>
      </c>
      <c r="V143" s="22">
        <v>0</v>
      </c>
      <c r="W143" s="22">
        <v>0</v>
      </c>
    </row>
    <row r="144" spans="2:23" ht="15.75" customHeight="1">
      <c r="B144" s="309" t="s">
        <v>37</v>
      </c>
      <c r="C144" s="22">
        <v>0</v>
      </c>
      <c r="D144" s="22">
        <v>1</v>
      </c>
      <c r="E144" s="22">
        <v>0</v>
      </c>
      <c r="F144" s="22">
        <v>0</v>
      </c>
      <c r="G144" s="22">
        <v>0</v>
      </c>
      <c r="H144" s="22">
        <v>0</v>
      </c>
      <c r="I144" s="22">
        <v>0</v>
      </c>
      <c r="J144" s="22">
        <v>0</v>
      </c>
      <c r="K144" s="22">
        <v>0</v>
      </c>
      <c r="L144" s="22">
        <v>0</v>
      </c>
      <c r="M144" s="22">
        <v>0</v>
      </c>
      <c r="N144" s="22">
        <v>0</v>
      </c>
      <c r="O144" s="22">
        <v>0</v>
      </c>
      <c r="P144" s="22">
        <v>0</v>
      </c>
      <c r="Q144" s="22">
        <v>0</v>
      </c>
      <c r="R144" s="22">
        <v>0</v>
      </c>
      <c r="S144" s="22">
        <v>0</v>
      </c>
      <c r="T144" s="22">
        <v>0</v>
      </c>
      <c r="U144" s="22">
        <v>0</v>
      </c>
      <c r="V144" s="22">
        <v>0</v>
      </c>
      <c r="W144" s="22">
        <v>0</v>
      </c>
    </row>
    <row r="145" spans="2:23" ht="15.75" customHeight="1">
      <c r="B145" s="309" t="s">
        <v>140</v>
      </c>
      <c r="C145" s="22">
        <v>0</v>
      </c>
      <c r="D145" s="22">
        <v>0</v>
      </c>
      <c r="E145" s="22">
        <v>1</v>
      </c>
      <c r="F145" s="22">
        <v>0</v>
      </c>
      <c r="G145" s="22">
        <v>0</v>
      </c>
      <c r="H145" s="22">
        <v>0</v>
      </c>
      <c r="I145" s="22">
        <v>0</v>
      </c>
      <c r="J145" s="22">
        <v>0</v>
      </c>
      <c r="K145" s="22">
        <v>0</v>
      </c>
      <c r="L145" s="22">
        <v>0</v>
      </c>
      <c r="M145" s="22">
        <v>0</v>
      </c>
      <c r="N145" s="22">
        <v>0</v>
      </c>
      <c r="O145" s="22">
        <v>0</v>
      </c>
      <c r="P145" s="22">
        <v>0</v>
      </c>
      <c r="Q145" s="22">
        <v>0</v>
      </c>
      <c r="R145" s="22">
        <v>0</v>
      </c>
      <c r="S145" s="22">
        <v>0</v>
      </c>
      <c r="T145" s="22">
        <v>0</v>
      </c>
      <c r="U145" s="22">
        <v>0</v>
      </c>
      <c r="V145" s="22">
        <v>0</v>
      </c>
      <c r="W145" s="22">
        <v>0</v>
      </c>
    </row>
    <row r="146" spans="2:23" ht="15.75" customHeight="1">
      <c r="B146" s="309" t="s">
        <v>48</v>
      </c>
      <c r="C146" s="22">
        <v>0</v>
      </c>
      <c r="D146" s="22">
        <v>0</v>
      </c>
      <c r="E146" s="22">
        <v>0</v>
      </c>
      <c r="F146" s="22">
        <v>1</v>
      </c>
      <c r="G146" s="22">
        <v>0</v>
      </c>
      <c r="H146" s="22">
        <v>0</v>
      </c>
      <c r="I146" s="22">
        <v>0</v>
      </c>
      <c r="J146" s="22">
        <v>0</v>
      </c>
      <c r="K146" s="22">
        <v>0</v>
      </c>
      <c r="L146" s="22">
        <v>0</v>
      </c>
      <c r="M146" s="22">
        <v>0</v>
      </c>
      <c r="N146" s="22">
        <v>0</v>
      </c>
      <c r="O146" s="22">
        <v>0</v>
      </c>
      <c r="P146" s="22">
        <v>0</v>
      </c>
      <c r="Q146" s="22">
        <v>0</v>
      </c>
      <c r="R146" s="22">
        <v>0</v>
      </c>
      <c r="S146" s="22">
        <v>0</v>
      </c>
      <c r="T146" s="22">
        <v>0</v>
      </c>
      <c r="U146" s="22">
        <v>0</v>
      </c>
      <c r="V146" s="22">
        <v>0</v>
      </c>
      <c r="W146" s="22">
        <v>0</v>
      </c>
    </row>
    <row r="147" spans="2:23" ht="15.75" customHeight="1">
      <c r="B147" s="309" t="s">
        <v>141</v>
      </c>
      <c r="C147" s="22">
        <v>0</v>
      </c>
      <c r="D147" s="22">
        <v>0</v>
      </c>
      <c r="E147" s="22">
        <v>0</v>
      </c>
      <c r="F147" s="22">
        <v>0</v>
      </c>
      <c r="G147" s="22">
        <v>1</v>
      </c>
      <c r="H147" s="22">
        <v>0</v>
      </c>
      <c r="I147" s="22">
        <v>0</v>
      </c>
      <c r="J147" s="22">
        <v>0</v>
      </c>
      <c r="K147" s="22">
        <v>0</v>
      </c>
      <c r="L147" s="22">
        <v>0</v>
      </c>
      <c r="M147" s="22">
        <v>0</v>
      </c>
      <c r="N147" s="22">
        <v>0</v>
      </c>
      <c r="O147" s="22">
        <v>0</v>
      </c>
      <c r="P147" s="22">
        <v>0</v>
      </c>
      <c r="Q147" s="22">
        <v>0</v>
      </c>
      <c r="R147" s="22">
        <v>0</v>
      </c>
      <c r="S147" s="22">
        <v>0</v>
      </c>
      <c r="T147" s="22">
        <v>0</v>
      </c>
      <c r="U147" s="22">
        <v>0</v>
      </c>
      <c r="V147" s="22">
        <v>0</v>
      </c>
      <c r="W147" s="22">
        <v>0</v>
      </c>
    </row>
    <row r="148" spans="2:23" ht="15.75" customHeight="1">
      <c r="B148" s="309" t="s">
        <v>142</v>
      </c>
      <c r="C148" s="22">
        <v>0</v>
      </c>
      <c r="D148" s="22">
        <v>0</v>
      </c>
      <c r="E148" s="22">
        <v>0</v>
      </c>
      <c r="F148" s="22">
        <v>0</v>
      </c>
      <c r="G148" s="22">
        <v>0</v>
      </c>
      <c r="H148" s="22">
        <v>1</v>
      </c>
      <c r="I148" s="22">
        <v>0</v>
      </c>
      <c r="J148" s="22">
        <v>0</v>
      </c>
      <c r="K148" s="22">
        <v>0</v>
      </c>
      <c r="L148" s="22">
        <v>0</v>
      </c>
      <c r="M148" s="22">
        <v>0</v>
      </c>
      <c r="N148" s="22">
        <v>0</v>
      </c>
      <c r="O148" s="22">
        <v>0</v>
      </c>
      <c r="P148" s="22">
        <v>0</v>
      </c>
      <c r="Q148" s="22">
        <v>0</v>
      </c>
      <c r="R148" s="22">
        <v>0</v>
      </c>
      <c r="S148" s="22">
        <v>0</v>
      </c>
      <c r="T148" s="22">
        <v>0</v>
      </c>
      <c r="U148" s="22">
        <v>0</v>
      </c>
      <c r="V148" s="22">
        <v>0</v>
      </c>
      <c r="W148" s="22">
        <v>0</v>
      </c>
    </row>
    <row r="149" spans="2:23" ht="15.75" customHeight="1">
      <c r="B149" s="309" t="s">
        <v>143</v>
      </c>
      <c r="C149" s="22">
        <v>0</v>
      </c>
      <c r="D149" s="22">
        <v>0</v>
      </c>
      <c r="E149" s="22">
        <v>0</v>
      </c>
      <c r="F149" s="22">
        <v>0</v>
      </c>
      <c r="G149" s="22">
        <v>0</v>
      </c>
      <c r="H149" s="22">
        <v>0</v>
      </c>
      <c r="I149" s="22">
        <v>1</v>
      </c>
      <c r="J149" s="22">
        <v>0</v>
      </c>
      <c r="K149" s="22">
        <v>0</v>
      </c>
      <c r="L149" s="22">
        <v>0</v>
      </c>
      <c r="M149" s="22">
        <v>0</v>
      </c>
      <c r="N149" s="22">
        <v>0</v>
      </c>
      <c r="O149" s="22">
        <v>0</v>
      </c>
      <c r="P149" s="22">
        <v>0</v>
      </c>
      <c r="Q149" s="22">
        <v>0</v>
      </c>
      <c r="R149" s="22">
        <v>0</v>
      </c>
      <c r="S149" s="22">
        <v>0</v>
      </c>
      <c r="T149" s="22">
        <v>0</v>
      </c>
      <c r="U149" s="22">
        <v>0</v>
      </c>
      <c r="V149" s="22">
        <v>0</v>
      </c>
      <c r="W149" s="22">
        <v>0</v>
      </c>
    </row>
    <row r="150" spans="2:23" ht="15.75" customHeight="1">
      <c r="B150" s="309" t="s">
        <v>144</v>
      </c>
      <c r="C150" s="22">
        <v>0</v>
      </c>
      <c r="D150" s="22">
        <v>0</v>
      </c>
      <c r="E150" s="22">
        <v>0</v>
      </c>
      <c r="F150" s="22">
        <v>0</v>
      </c>
      <c r="G150" s="22">
        <v>0</v>
      </c>
      <c r="H150" s="22">
        <v>0</v>
      </c>
      <c r="I150" s="22">
        <v>0</v>
      </c>
      <c r="J150" s="22">
        <v>1</v>
      </c>
      <c r="K150" s="22">
        <v>0</v>
      </c>
      <c r="L150" s="22">
        <v>0</v>
      </c>
      <c r="M150" s="22">
        <v>0</v>
      </c>
      <c r="N150" s="22">
        <v>0</v>
      </c>
      <c r="O150" s="22">
        <v>0</v>
      </c>
      <c r="P150" s="22">
        <v>0</v>
      </c>
      <c r="Q150" s="22">
        <v>0</v>
      </c>
      <c r="R150" s="22">
        <v>0</v>
      </c>
      <c r="S150" s="22">
        <v>0</v>
      </c>
      <c r="T150" s="22">
        <v>0</v>
      </c>
      <c r="U150" s="22">
        <v>0</v>
      </c>
      <c r="V150" s="22">
        <v>0</v>
      </c>
      <c r="W150" s="22">
        <v>0</v>
      </c>
    </row>
    <row r="151" spans="2:23" ht="15.75" customHeight="1">
      <c r="B151" s="309" t="s">
        <v>61</v>
      </c>
      <c r="C151" s="22">
        <v>0</v>
      </c>
      <c r="D151" s="22">
        <v>0</v>
      </c>
      <c r="E151" s="22">
        <v>0</v>
      </c>
      <c r="F151" s="22">
        <v>0</v>
      </c>
      <c r="G151" s="22">
        <v>0</v>
      </c>
      <c r="H151" s="22">
        <v>0</v>
      </c>
      <c r="I151" s="22">
        <v>0</v>
      </c>
      <c r="J151" s="22">
        <v>0</v>
      </c>
      <c r="K151" s="22">
        <v>1</v>
      </c>
      <c r="L151" s="22">
        <v>0</v>
      </c>
      <c r="M151" s="22">
        <v>0</v>
      </c>
      <c r="N151" s="22">
        <v>0</v>
      </c>
      <c r="O151" s="22">
        <v>0</v>
      </c>
      <c r="P151" s="22">
        <v>0</v>
      </c>
      <c r="Q151" s="22">
        <v>0</v>
      </c>
      <c r="R151" s="22">
        <v>0</v>
      </c>
      <c r="S151" s="22">
        <v>0</v>
      </c>
      <c r="T151" s="22">
        <v>0</v>
      </c>
      <c r="U151" s="22">
        <v>0</v>
      </c>
      <c r="V151" s="22">
        <v>0</v>
      </c>
      <c r="W151" s="22">
        <v>0</v>
      </c>
    </row>
    <row r="152" spans="2:23" ht="15.75" customHeight="1">
      <c r="B152" s="309" t="s">
        <v>63</v>
      </c>
      <c r="C152" s="22">
        <v>0</v>
      </c>
      <c r="D152" s="22">
        <v>0</v>
      </c>
      <c r="E152" s="22">
        <v>0</v>
      </c>
      <c r="F152" s="22">
        <v>0</v>
      </c>
      <c r="G152" s="22">
        <v>0</v>
      </c>
      <c r="H152" s="22">
        <v>0</v>
      </c>
      <c r="I152" s="22">
        <v>0</v>
      </c>
      <c r="J152" s="22">
        <v>0</v>
      </c>
      <c r="K152" s="22">
        <v>0</v>
      </c>
      <c r="L152" s="22">
        <v>1</v>
      </c>
      <c r="M152" s="22">
        <v>0</v>
      </c>
      <c r="N152" s="22">
        <v>0</v>
      </c>
      <c r="O152" s="22">
        <v>0</v>
      </c>
      <c r="P152" s="22">
        <v>0</v>
      </c>
      <c r="Q152" s="22">
        <v>0</v>
      </c>
      <c r="R152" s="22">
        <v>0</v>
      </c>
      <c r="S152" s="22">
        <v>0</v>
      </c>
      <c r="T152" s="22">
        <v>0</v>
      </c>
      <c r="U152" s="22">
        <v>0</v>
      </c>
      <c r="V152" s="22">
        <v>0</v>
      </c>
      <c r="W152" s="22">
        <v>0</v>
      </c>
    </row>
    <row r="153" spans="2:23" ht="15.75" customHeight="1">
      <c r="B153" s="309" t="s">
        <v>65</v>
      </c>
      <c r="C153" s="22">
        <v>0</v>
      </c>
      <c r="D153" s="22">
        <v>0</v>
      </c>
      <c r="E153" s="22">
        <v>0</v>
      </c>
      <c r="F153" s="22">
        <v>0</v>
      </c>
      <c r="G153" s="22">
        <v>0</v>
      </c>
      <c r="H153" s="22">
        <v>0</v>
      </c>
      <c r="I153" s="22">
        <v>0</v>
      </c>
      <c r="J153" s="22">
        <v>0</v>
      </c>
      <c r="K153" s="22">
        <v>0</v>
      </c>
      <c r="L153" s="22">
        <v>0</v>
      </c>
      <c r="M153" s="22">
        <v>1</v>
      </c>
      <c r="N153" s="22">
        <v>0</v>
      </c>
      <c r="O153" s="22">
        <v>0</v>
      </c>
      <c r="P153" s="22">
        <v>0</v>
      </c>
      <c r="Q153" s="22">
        <v>0</v>
      </c>
      <c r="R153" s="22">
        <v>0</v>
      </c>
      <c r="S153" s="22">
        <v>0</v>
      </c>
      <c r="T153" s="22">
        <v>0</v>
      </c>
      <c r="U153" s="22">
        <v>0</v>
      </c>
      <c r="V153" s="22">
        <v>0</v>
      </c>
      <c r="W153" s="22">
        <v>0</v>
      </c>
    </row>
    <row r="154" spans="2:23" ht="15.75" customHeight="1">
      <c r="B154" s="309" t="s">
        <v>67</v>
      </c>
      <c r="C154" s="22">
        <v>0</v>
      </c>
      <c r="D154" s="22">
        <v>0</v>
      </c>
      <c r="E154" s="22">
        <v>0</v>
      </c>
      <c r="F154" s="22">
        <v>0</v>
      </c>
      <c r="G154" s="22">
        <v>0</v>
      </c>
      <c r="H154" s="22">
        <v>0</v>
      </c>
      <c r="I154" s="22">
        <v>0</v>
      </c>
      <c r="J154" s="22">
        <v>0</v>
      </c>
      <c r="K154" s="22">
        <v>0</v>
      </c>
      <c r="L154" s="22">
        <v>0</v>
      </c>
      <c r="M154" s="22">
        <v>0</v>
      </c>
      <c r="N154" s="22">
        <v>1</v>
      </c>
      <c r="O154" s="22">
        <v>0</v>
      </c>
      <c r="P154" s="22">
        <v>0</v>
      </c>
      <c r="Q154" s="22">
        <v>0</v>
      </c>
      <c r="R154" s="22">
        <v>0</v>
      </c>
      <c r="S154" s="22">
        <v>0</v>
      </c>
      <c r="T154" s="22">
        <v>0</v>
      </c>
      <c r="U154" s="22">
        <v>0</v>
      </c>
      <c r="V154" s="22">
        <v>0</v>
      </c>
      <c r="W154" s="22">
        <v>0</v>
      </c>
    </row>
    <row r="155" spans="2:23" ht="15.75" customHeight="1">
      <c r="B155" s="309" t="s">
        <v>69</v>
      </c>
      <c r="C155" s="22">
        <v>0</v>
      </c>
      <c r="D155" s="22">
        <v>0</v>
      </c>
      <c r="E155" s="22">
        <v>0</v>
      </c>
      <c r="F155" s="22">
        <v>0</v>
      </c>
      <c r="G155" s="22">
        <v>0</v>
      </c>
      <c r="H155" s="22">
        <v>0</v>
      </c>
      <c r="I155" s="22">
        <v>0</v>
      </c>
      <c r="J155" s="22">
        <v>0</v>
      </c>
      <c r="K155" s="22">
        <v>0</v>
      </c>
      <c r="L155" s="22">
        <v>0</v>
      </c>
      <c r="M155" s="22">
        <v>0</v>
      </c>
      <c r="N155" s="22">
        <v>0</v>
      </c>
      <c r="O155" s="22">
        <v>1</v>
      </c>
      <c r="P155" s="22">
        <v>0</v>
      </c>
      <c r="Q155" s="22">
        <v>0</v>
      </c>
      <c r="R155" s="22">
        <v>0</v>
      </c>
      <c r="S155" s="22">
        <v>0</v>
      </c>
      <c r="T155" s="22">
        <v>0</v>
      </c>
      <c r="U155" s="22">
        <v>0</v>
      </c>
      <c r="V155" s="22">
        <v>0</v>
      </c>
      <c r="W155" s="22">
        <v>0</v>
      </c>
    </row>
    <row r="156" spans="2:23" ht="15.75" customHeight="1">
      <c r="B156" s="309" t="s">
        <v>145</v>
      </c>
      <c r="C156" s="22">
        <v>0</v>
      </c>
      <c r="D156" s="22">
        <v>0</v>
      </c>
      <c r="E156" s="22">
        <v>0</v>
      </c>
      <c r="F156" s="22">
        <v>0</v>
      </c>
      <c r="G156" s="22">
        <v>0</v>
      </c>
      <c r="H156" s="22">
        <v>0</v>
      </c>
      <c r="I156" s="22">
        <v>0</v>
      </c>
      <c r="J156" s="22">
        <v>0</v>
      </c>
      <c r="K156" s="22">
        <v>0</v>
      </c>
      <c r="L156" s="22">
        <v>0</v>
      </c>
      <c r="M156" s="22">
        <v>0</v>
      </c>
      <c r="N156" s="22">
        <v>0</v>
      </c>
      <c r="O156" s="22">
        <v>0</v>
      </c>
      <c r="P156" s="22">
        <v>1</v>
      </c>
      <c r="Q156" s="22">
        <v>0</v>
      </c>
      <c r="R156" s="22">
        <v>0</v>
      </c>
      <c r="S156" s="22">
        <v>0</v>
      </c>
      <c r="T156" s="22">
        <v>0</v>
      </c>
      <c r="U156" s="22">
        <v>0</v>
      </c>
      <c r="V156" s="22">
        <v>0</v>
      </c>
      <c r="W156" s="22">
        <v>0</v>
      </c>
    </row>
    <row r="157" spans="2:23" ht="15.75" customHeight="1">
      <c r="B157" s="309" t="s">
        <v>73</v>
      </c>
      <c r="C157" s="22">
        <v>0</v>
      </c>
      <c r="D157" s="22">
        <v>0</v>
      </c>
      <c r="E157" s="22">
        <v>0</v>
      </c>
      <c r="F157" s="22">
        <v>0</v>
      </c>
      <c r="G157" s="22">
        <v>0</v>
      </c>
      <c r="H157" s="22">
        <v>0</v>
      </c>
      <c r="I157" s="22">
        <v>0</v>
      </c>
      <c r="J157" s="22">
        <v>0</v>
      </c>
      <c r="K157" s="22">
        <v>0</v>
      </c>
      <c r="L157" s="22">
        <v>0</v>
      </c>
      <c r="M157" s="22">
        <v>0</v>
      </c>
      <c r="N157" s="22">
        <v>0</v>
      </c>
      <c r="O157" s="22">
        <v>0</v>
      </c>
      <c r="P157" s="22">
        <v>0</v>
      </c>
      <c r="Q157" s="22">
        <v>1</v>
      </c>
      <c r="R157" s="22">
        <v>0</v>
      </c>
      <c r="S157" s="22">
        <v>0</v>
      </c>
      <c r="T157" s="22">
        <v>0</v>
      </c>
      <c r="U157" s="22">
        <v>0</v>
      </c>
      <c r="V157" s="22">
        <v>0</v>
      </c>
      <c r="W157" s="22">
        <v>0</v>
      </c>
    </row>
    <row r="158" spans="2:23" ht="15.75" customHeight="1">
      <c r="B158" s="309" t="s">
        <v>75</v>
      </c>
      <c r="C158" s="22">
        <v>0</v>
      </c>
      <c r="D158" s="22">
        <v>0</v>
      </c>
      <c r="E158" s="22">
        <v>0</v>
      </c>
      <c r="F158" s="22">
        <v>0</v>
      </c>
      <c r="G158" s="22">
        <v>0</v>
      </c>
      <c r="H158" s="22">
        <v>0</v>
      </c>
      <c r="I158" s="22">
        <v>0</v>
      </c>
      <c r="J158" s="22">
        <v>0</v>
      </c>
      <c r="K158" s="22">
        <v>0</v>
      </c>
      <c r="L158" s="22">
        <v>0</v>
      </c>
      <c r="M158" s="22">
        <v>0</v>
      </c>
      <c r="N158" s="22">
        <v>0</v>
      </c>
      <c r="O158" s="22">
        <v>0</v>
      </c>
      <c r="P158" s="22">
        <v>0</v>
      </c>
      <c r="Q158" s="22">
        <v>0</v>
      </c>
      <c r="R158" s="22">
        <v>1</v>
      </c>
      <c r="S158" s="22">
        <v>0</v>
      </c>
      <c r="T158" s="22">
        <v>0</v>
      </c>
      <c r="U158" s="22">
        <v>0</v>
      </c>
      <c r="V158" s="22">
        <v>0</v>
      </c>
      <c r="W158" s="22">
        <v>0</v>
      </c>
    </row>
    <row r="159" spans="2:23" ht="15.75" customHeight="1">
      <c r="B159" s="309" t="s">
        <v>146</v>
      </c>
      <c r="C159" s="22">
        <v>0</v>
      </c>
      <c r="D159" s="22">
        <v>0</v>
      </c>
      <c r="E159" s="22">
        <v>0</v>
      </c>
      <c r="F159" s="22">
        <v>0</v>
      </c>
      <c r="G159" s="22">
        <v>0</v>
      </c>
      <c r="H159" s="22">
        <v>0</v>
      </c>
      <c r="I159" s="22">
        <v>0</v>
      </c>
      <c r="J159" s="22">
        <v>0</v>
      </c>
      <c r="K159" s="22">
        <v>0</v>
      </c>
      <c r="L159" s="22">
        <v>0</v>
      </c>
      <c r="M159" s="22">
        <v>0</v>
      </c>
      <c r="N159" s="22">
        <v>0</v>
      </c>
      <c r="O159" s="22">
        <v>0</v>
      </c>
      <c r="P159" s="22">
        <v>0</v>
      </c>
      <c r="Q159" s="22">
        <v>0</v>
      </c>
      <c r="R159" s="22">
        <v>0</v>
      </c>
      <c r="S159" s="22">
        <v>1</v>
      </c>
      <c r="T159" s="22">
        <v>0</v>
      </c>
      <c r="U159" s="22">
        <v>0</v>
      </c>
      <c r="V159" s="22">
        <v>0</v>
      </c>
      <c r="W159" s="22">
        <v>0</v>
      </c>
    </row>
    <row r="160" spans="2:23" ht="15.75" customHeight="1">
      <c r="B160" s="309" t="s">
        <v>83</v>
      </c>
      <c r="C160" s="22">
        <v>0</v>
      </c>
      <c r="D160" s="22">
        <v>0</v>
      </c>
      <c r="E160" s="22">
        <v>0</v>
      </c>
      <c r="F160" s="22">
        <v>0</v>
      </c>
      <c r="G160" s="22">
        <v>0</v>
      </c>
      <c r="H160" s="22">
        <v>0</v>
      </c>
      <c r="I160" s="22">
        <v>0</v>
      </c>
      <c r="J160" s="22">
        <v>0</v>
      </c>
      <c r="K160" s="22">
        <v>0</v>
      </c>
      <c r="L160" s="22">
        <v>0</v>
      </c>
      <c r="M160" s="22">
        <v>0</v>
      </c>
      <c r="N160" s="22">
        <v>0</v>
      </c>
      <c r="O160" s="22">
        <v>0</v>
      </c>
      <c r="P160" s="22">
        <v>0</v>
      </c>
      <c r="Q160" s="22">
        <v>0</v>
      </c>
      <c r="R160" s="22">
        <v>0</v>
      </c>
      <c r="S160" s="22">
        <v>0</v>
      </c>
      <c r="T160" s="22">
        <v>1</v>
      </c>
      <c r="U160" s="22">
        <v>0</v>
      </c>
      <c r="V160" s="22">
        <v>0</v>
      </c>
      <c r="W160" s="22">
        <v>0</v>
      </c>
    </row>
    <row r="161" spans="2:23" ht="15.75" customHeight="1">
      <c r="B161" s="309" t="s">
        <v>85</v>
      </c>
      <c r="C161" s="22">
        <v>0</v>
      </c>
      <c r="D161" s="22">
        <v>0</v>
      </c>
      <c r="E161" s="22">
        <v>0</v>
      </c>
      <c r="F161" s="22">
        <v>0</v>
      </c>
      <c r="G161" s="22">
        <v>0</v>
      </c>
      <c r="H161" s="22">
        <v>0</v>
      </c>
      <c r="I161" s="22">
        <v>0</v>
      </c>
      <c r="J161" s="22">
        <v>0</v>
      </c>
      <c r="K161" s="22">
        <v>0</v>
      </c>
      <c r="L161" s="22">
        <v>0</v>
      </c>
      <c r="M161" s="22">
        <v>0</v>
      </c>
      <c r="N161" s="22">
        <v>0</v>
      </c>
      <c r="O161" s="22">
        <v>0</v>
      </c>
      <c r="P161" s="22">
        <v>0</v>
      </c>
      <c r="Q161" s="22">
        <v>0</v>
      </c>
      <c r="R161" s="22">
        <v>0</v>
      </c>
      <c r="S161" s="22">
        <v>0</v>
      </c>
      <c r="T161" s="22">
        <v>0</v>
      </c>
      <c r="U161" s="22">
        <v>1</v>
      </c>
      <c r="V161" s="22">
        <v>0</v>
      </c>
      <c r="W161" s="22">
        <v>0</v>
      </c>
    </row>
    <row r="162" spans="2:23" ht="15.75" customHeight="1">
      <c r="B162" s="309" t="s">
        <v>88</v>
      </c>
      <c r="C162" s="22">
        <v>0</v>
      </c>
      <c r="D162" s="22">
        <v>0</v>
      </c>
      <c r="E162" s="22">
        <v>0</v>
      </c>
      <c r="F162" s="22">
        <v>0</v>
      </c>
      <c r="G162" s="22">
        <v>0</v>
      </c>
      <c r="H162" s="22">
        <v>0</v>
      </c>
      <c r="I162" s="22">
        <v>0</v>
      </c>
      <c r="J162" s="22">
        <v>0</v>
      </c>
      <c r="K162" s="22">
        <v>0</v>
      </c>
      <c r="L162" s="22">
        <v>0</v>
      </c>
      <c r="M162" s="22">
        <v>0</v>
      </c>
      <c r="N162" s="22">
        <v>0</v>
      </c>
      <c r="O162" s="22">
        <v>0</v>
      </c>
      <c r="P162" s="22">
        <v>0</v>
      </c>
      <c r="Q162" s="22">
        <v>0</v>
      </c>
      <c r="R162" s="22">
        <v>0</v>
      </c>
      <c r="S162" s="22">
        <v>0</v>
      </c>
      <c r="T162" s="22">
        <v>0</v>
      </c>
      <c r="U162" s="22">
        <v>0</v>
      </c>
      <c r="V162" s="22">
        <v>1</v>
      </c>
      <c r="W162" s="22">
        <v>0</v>
      </c>
    </row>
    <row r="163" spans="2:23" ht="15.75" customHeight="1">
      <c r="B163" s="309" t="s">
        <v>147</v>
      </c>
      <c r="C163" s="22">
        <v>0</v>
      </c>
      <c r="D163" s="22">
        <v>0</v>
      </c>
      <c r="E163" s="22">
        <v>0</v>
      </c>
      <c r="F163" s="22">
        <v>0</v>
      </c>
      <c r="G163" s="22">
        <v>0</v>
      </c>
      <c r="H163" s="22">
        <v>0</v>
      </c>
      <c r="I163" s="22">
        <v>0</v>
      </c>
      <c r="J163" s="22">
        <v>0</v>
      </c>
      <c r="K163" s="22">
        <v>0</v>
      </c>
      <c r="L163" s="22">
        <v>0</v>
      </c>
      <c r="M163" s="22">
        <v>0</v>
      </c>
      <c r="N163" s="22">
        <v>0</v>
      </c>
      <c r="O163" s="22">
        <v>0</v>
      </c>
      <c r="P163" s="22">
        <v>0</v>
      </c>
      <c r="Q163" s="22">
        <v>0</v>
      </c>
      <c r="R163" s="22">
        <v>0</v>
      </c>
      <c r="S163" s="22">
        <v>0</v>
      </c>
      <c r="T163" s="22">
        <v>0</v>
      </c>
      <c r="U163" s="22">
        <v>0</v>
      </c>
      <c r="V163" s="22">
        <v>0</v>
      </c>
      <c r="W163" s="22">
        <v>1</v>
      </c>
    </row>
    <row r="164" spans="2:23" ht="15.75" customHeight="1"/>
    <row r="165" spans="2:23" ht="15.75" customHeight="1"/>
    <row r="166" spans="2:23" ht="15.75" customHeight="1"/>
    <row r="167" spans="2:23" ht="15.75" customHeight="1">
      <c r="B167" s="456" t="s">
        <v>1175</v>
      </c>
      <c r="C167" s="457"/>
    </row>
    <row r="168" spans="2:23" ht="15.75" customHeight="1">
      <c r="B168" s="308" t="s">
        <v>139</v>
      </c>
      <c r="C168" s="312">
        <v>50860010394.365303</v>
      </c>
    </row>
    <row r="169" spans="2:23" ht="15.75" customHeight="1">
      <c r="B169" s="309" t="s">
        <v>37</v>
      </c>
      <c r="C169" s="312">
        <v>8440958804.6833525</v>
      </c>
    </row>
    <row r="170" spans="2:23" ht="15.75" customHeight="1">
      <c r="B170" s="309" t="s">
        <v>140</v>
      </c>
      <c r="C170" s="312">
        <v>756549665696.125</v>
      </c>
    </row>
    <row r="171" spans="2:23" ht="15.75" customHeight="1">
      <c r="B171" s="309" t="s">
        <v>48</v>
      </c>
      <c r="C171" s="312">
        <v>54602037695.563118</v>
      </c>
    </row>
    <row r="172" spans="2:23" ht="15.75" customHeight="1">
      <c r="B172" s="309" t="s">
        <v>141</v>
      </c>
      <c r="C172" s="312">
        <v>72294836991.479675</v>
      </c>
    </row>
    <row r="173" spans="2:23" ht="15.75" customHeight="1">
      <c r="B173" s="309" t="s">
        <v>142</v>
      </c>
      <c r="C173" s="312">
        <v>61455299342.128616</v>
      </c>
    </row>
    <row r="174" spans="2:23" ht="15.75" customHeight="1">
      <c r="B174" s="309" t="s">
        <v>143</v>
      </c>
      <c r="C174" s="312">
        <v>19565198757.416664</v>
      </c>
    </row>
    <row r="175" spans="2:23" ht="15.75" customHeight="1">
      <c r="B175" s="309" t="s">
        <v>144</v>
      </c>
      <c r="C175" s="312">
        <v>358822103.38304585</v>
      </c>
    </row>
    <row r="176" spans="2:23" ht="15.75" customHeight="1">
      <c r="B176" s="309" t="s">
        <v>61</v>
      </c>
      <c r="C176" s="312">
        <v>40479723408.313004</v>
      </c>
    </row>
    <row r="177" spans="2:3" ht="15.75" customHeight="1">
      <c r="B177" s="309" t="s">
        <v>63</v>
      </c>
      <c r="C177" s="312">
        <v>253574107483.4985</v>
      </c>
    </row>
    <row r="178" spans="2:3" ht="15.75" customHeight="1">
      <c r="B178" s="309" t="s">
        <v>65</v>
      </c>
      <c r="C178" s="312">
        <v>319477367122.66077</v>
      </c>
    </row>
    <row r="179" spans="2:3" ht="15.75" customHeight="1">
      <c r="B179" s="309" t="s">
        <v>67</v>
      </c>
      <c r="C179" s="312">
        <v>108245308371.27382</v>
      </c>
    </row>
    <row r="180" spans="2:3" ht="15.75" customHeight="1">
      <c r="B180" s="309" t="s">
        <v>69</v>
      </c>
      <c r="C180" s="312">
        <v>98387368439.143845</v>
      </c>
    </row>
    <row r="181" spans="2:3" ht="15.75" customHeight="1">
      <c r="B181" s="309" t="s">
        <v>145</v>
      </c>
      <c r="C181" s="312">
        <v>208124111154.85849</v>
      </c>
    </row>
    <row r="182" spans="2:3" ht="15.75" customHeight="1">
      <c r="B182" s="309" t="s">
        <v>73</v>
      </c>
      <c r="C182" s="312">
        <v>132143324268.30428</v>
      </c>
    </row>
    <row r="183" spans="2:3" ht="15.75" customHeight="1">
      <c r="B183" s="309" t="s">
        <v>75</v>
      </c>
      <c r="C183" s="312">
        <v>218133286857.01559</v>
      </c>
    </row>
    <row r="184" spans="2:3" ht="15.75" customHeight="1">
      <c r="B184" s="309" t="s">
        <v>146</v>
      </c>
      <c r="C184" s="312">
        <v>323901049247.27368</v>
      </c>
    </row>
    <row r="185" spans="2:3" ht="15.75" customHeight="1">
      <c r="B185" s="309" t="s">
        <v>83</v>
      </c>
      <c r="C185" s="312">
        <v>136525021916.38792</v>
      </c>
    </row>
    <row r="186" spans="2:3" ht="15.75" customHeight="1">
      <c r="B186" s="309" t="s">
        <v>85</v>
      </c>
      <c r="C186" s="312">
        <v>74486676639.64975</v>
      </c>
    </row>
    <row r="187" spans="2:3" ht="15.75" customHeight="1">
      <c r="B187" s="309" t="s">
        <v>88</v>
      </c>
      <c r="C187" s="312">
        <v>142871906248.9646</v>
      </c>
    </row>
    <row r="188" spans="2:3" ht="15.75" customHeight="1">
      <c r="B188" s="309" t="s">
        <v>147</v>
      </c>
      <c r="C188" s="312">
        <v>18006400381.835899</v>
      </c>
    </row>
    <row r="189" spans="2:3" ht="15.75" customHeight="1"/>
    <row r="190" spans="2:3" ht="15.75" customHeight="1"/>
    <row r="191" spans="2:3" ht="15.75" customHeight="1"/>
    <row r="192" spans="2:3" ht="15.75" customHeight="1"/>
    <row r="193" spans="2:23" ht="15.75" customHeight="1"/>
    <row r="194" spans="2:23" ht="15.75" customHeight="1"/>
    <row r="195" spans="2:23" ht="15.75" customHeight="1"/>
    <row r="196" spans="2:23" ht="15.75" customHeight="1"/>
    <row r="197" spans="2:23" ht="15.75" customHeight="1">
      <c r="B197" t="s">
        <v>1176</v>
      </c>
      <c r="G197"/>
      <c r="H197"/>
      <c r="I197"/>
      <c r="J197"/>
      <c r="K197"/>
      <c r="L197"/>
      <c r="M197"/>
      <c r="N197"/>
      <c r="O197"/>
      <c r="P197"/>
      <c r="Q197"/>
      <c r="R197"/>
      <c r="S197"/>
      <c r="T197"/>
      <c r="U197"/>
      <c r="V197"/>
      <c r="W197"/>
    </row>
    <row r="198" spans="2:23" ht="15.75" customHeight="1">
      <c r="C198" s="232" t="s">
        <v>139</v>
      </c>
      <c r="D198" s="303" t="s">
        <v>37</v>
      </c>
      <c r="E198" s="303" t="s">
        <v>140</v>
      </c>
      <c r="F198" s="303" t="s">
        <v>48</v>
      </c>
      <c r="G198" s="303" t="s">
        <v>141</v>
      </c>
      <c r="H198" s="303" t="s">
        <v>142</v>
      </c>
      <c r="I198" s="303" t="s">
        <v>143</v>
      </c>
      <c r="J198" s="303" t="s">
        <v>144</v>
      </c>
      <c r="K198" s="303" t="s">
        <v>61</v>
      </c>
      <c r="L198" s="303" t="s">
        <v>63</v>
      </c>
      <c r="M198" s="303" t="s">
        <v>65</v>
      </c>
      <c r="N198" s="303" t="s">
        <v>67</v>
      </c>
      <c r="O198" s="303" t="s">
        <v>69</v>
      </c>
      <c r="P198" s="303" t="s">
        <v>145</v>
      </c>
      <c r="Q198" s="303" t="s">
        <v>73</v>
      </c>
      <c r="R198" s="303" t="s">
        <v>75</v>
      </c>
      <c r="S198" s="303" t="s">
        <v>146</v>
      </c>
      <c r="T198" s="303" t="s">
        <v>83</v>
      </c>
      <c r="U198" s="303" t="s">
        <v>85</v>
      </c>
      <c r="V198" s="303" t="s">
        <v>88</v>
      </c>
      <c r="W198" s="244" t="s">
        <v>147</v>
      </c>
    </row>
    <row r="199" spans="2:23" ht="15.75" customHeight="1">
      <c r="B199" s="238" t="s">
        <v>139</v>
      </c>
      <c r="C199" s="233">
        <v>1</v>
      </c>
      <c r="D199" s="42">
        <v>0</v>
      </c>
      <c r="E199" s="42">
        <v>0</v>
      </c>
      <c r="F199" s="42">
        <v>0</v>
      </c>
      <c r="G199" s="42">
        <v>0</v>
      </c>
      <c r="H199" s="42">
        <v>0</v>
      </c>
      <c r="I199" s="42">
        <v>0</v>
      </c>
      <c r="J199" s="42">
        <v>0</v>
      </c>
      <c r="K199" s="42">
        <v>0</v>
      </c>
      <c r="L199" s="42">
        <v>0</v>
      </c>
      <c r="M199" s="42">
        <v>0</v>
      </c>
      <c r="N199" s="42">
        <v>0</v>
      </c>
      <c r="O199" s="42">
        <v>0</v>
      </c>
      <c r="P199" s="42">
        <v>0</v>
      </c>
      <c r="Q199" s="42">
        <v>0</v>
      </c>
      <c r="R199" s="42">
        <v>0</v>
      </c>
      <c r="S199" s="42">
        <v>0</v>
      </c>
      <c r="T199" s="42">
        <v>0</v>
      </c>
      <c r="U199" s="42">
        <v>0</v>
      </c>
      <c r="V199" s="42">
        <v>0</v>
      </c>
      <c r="W199" s="234">
        <v>0</v>
      </c>
    </row>
    <row r="200" spans="2:23" ht="15.75" customHeight="1">
      <c r="B200" s="158" t="s">
        <v>37</v>
      </c>
      <c r="C200" s="235">
        <v>0</v>
      </c>
      <c r="D200">
        <v>1</v>
      </c>
      <c r="E200">
        <v>0</v>
      </c>
      <c r="F200">
        <v>0</v>
      </c>
      <c r="G200">
        <v>0</v>
      </c>
      <c r="H200">
        <v>0</v>
      </c>
      <c r="I200">
        <v>0</v>
      </c>
      <c r="J200">
        <v>0</v>
      </c>
      <c r="K200">
        <v>0</v>
      </c>
      <c r="L200">
        <v>0</v>
      </c>
      <c r="M200">
        <v>0</v>
      </c>
      <c r="N200">
        <v>0</v>
      </c>
      <c r="O200">
        <v>0</v>
      </c>
      <c r="P200">
        <v>0</v>
      </c>
      <c r="Q200">
        <v>0</v>
      </c>
      <c r="R200">
        <v>0</v>
      </c>
      <c r="S200">
        <v>0</v>
      </c>
      <c r="T200">
        <v>0</v>
      </c>
      <c r="U200">
        <v>0</v>
      </c>
      <c r="V200">
        <v>0</v>
      </c>
      <c r="W200" s="159">
        <v>0</v>
      </c>
    </row>
    <row r="201" spans="2:23" ht="15.75" customHeight="1">
      <c r="B201" s="158" t="s">
        <v>140</v>
      </c>
      <c r="C201" s="235">
        <v>0</v>
      </c>
      <c r="D201">
        <v>0</v>
      </c>
      <c r="E201">
        <v>1</v>
      </c>
      <c r="F201">
        <v>0</v>
      </c>
      <c r="G201">
        <v>0</v>
      </c>
      <c r="H201">
        <v>0</v>
      </c>
      <c r="I201">
        <v>0</v>
      </c>
      <c r="J201">
        <v>0</v>
      </c>
      <c r="K201">
        <v>0</v>
      </c>
      <c r="L201">
        <v>0</v>
      </c>
      <c r="M201">
        <v>0</v>
      </c>
      <c r="N201">
        <v>0</v>
      </c>
      <c r="O201">
        <v>0</v>
      </c>
      <c r="P201">
        <v>0</v>
      </c>
      <c r="Q201">
        <v>0</v>
      </c>
      <c r="R201">
        <v>0</v>
      </c>
      <c r="S201">
        <v>0</v>
      </c>
      <c r="T201">
        <v>0</v>
      </c>
      <c r="U201">
        <v>0</v>
      </c>
      <c r="V201">
        <v>0</v>
      </c>
      <c r="W201" s="159">
        <v>0</v>
      </c>
    </row>
    <row r="202" spans="2:23" ht="15.75" customHeight="1">
      <c r="B202" s="158" t="s">
        <v>48</v>
      </c>
      <c r="C202" s="235">
        <v>0</v>
      </c>
      <c r="D202">
        <v>0</v>
      </c>
      <c r="E202">
        <v>0</v>
      </c>
      <c r="F202">
        <v>1</v>
      </c>
      <c r="G202">
        <v>0</v>
      </c>
      <c r="H202">
        <v>0</v>
      </c>
      <c r="I202">
        <v>0</v>
      </c>
      <c r="J202">
        <v>0</v>
      </c>
      <c r="K202">
        <v>0</v>
      </c>
      <c r="L202">
        <v>0</v>
      </c>
      <c r="M202">
        <v>0</v>
      </c>
      <c r="N202">
        <v>0</v>
      </c>
      <c r="O202">
        <v>0</v>
      </c>
      <c r="P202">
        <v>0</v>
      </c>
      <c r="Q202">
        <v>0</v>
      </c>
      <c r="R202">
        <v>0</v>
      </c>
      <c r="S202">
        <v>0</v>
      </c>
      <c r="T202">
        <v>0</v>
      </c>
      <c r="U202">
        <v>0</v>
      </c>
      <c r="V202">
        <v>0</v>
      </c>
      <c r="W202" s="159">
        <v>0</v>
      </c>
    </row>
    <row r="203" spans="2:23" ht="15.75" customHeight="1">
      <c r="B203" s="158" t="s">
        <v>141</v>
      </c>
      <c r="C203" s="235">
        <v>0</v>
      </c>
      <c r="D203">
        <v>0</v>
      </c>
      <c r="E203">
        <v>0</v>
      </c>
      <c r="F203">
        <v>0</v>
      </c>
      <c r="G203">
        <v>1</v>
      </c>
      <c r="H203">
        <v>0</v>
      </c>
      <c r="I203">
        <v>0</v>
      </c>
      <c r="J203">
        <v>0</v>
      </c>
      <c r="K203">
        <v>0</v>
      </c>
      <c r="L203">
        <v>0</v>
      </c>
      <c r="M203">
        <v>0</v>
      </c>
      <c r="N203">
        <v>0</v>
      </c>
      <c r="O203">
        <v>0</v>
      </c>
      <c r="P203">
        <v>0</v>
      </c>
      <c r="Q203">
        <v>0</v>
      </c>
      <c r="R203">
        <v>0</v>
      </c>
      <c r="S203">
        <v>0</v>
      </c>
      <c r="T203">
        <v>0</v>
      </c>
      <c r="U203">
        <v>0</v>
      </c>
      <c r="V203">
        <v>0</v>
      </c>
      <c r="W203" s="159">
        <v>0</v>
      </c>
    </row>
    <row r="204" spans="2:23" ht="15.75" customHeight="1">
      <c r="B204" s="158" t="s">
        <v>142</v>
      </c>
      <c r="C204" s="235">
        <v>0</v>
      </c>
      <c r="D204">
        <v>0</v>
      </c>
      <c r="E204">
        <v>0</v>
      </c>
      <c r="F204">
        <v>0</v>
      </c>
      <c r="G204">
        <v>0</v>
      </c>
      <c r="H204">
        <v>1</v>
      </c>
      <c r="I204">
        <v>0</v>
      </c>
      <c r="J204">
        <v>0</v>
      </c>
      <c r="K204">
        <v>0</v>
      </c>
      <c r="L204">
        <v>0</v>
      </c>
      <c r="M204">
        <v>0</v>
      </c>
      <c r="N204">
        <v>0</v>
      </c>
      <c r="O204">
        <v>0</v>
      </c>
      <c r="P204">
        <v>0</v>
      </c>
      <c r="Q204">
        <v>0</v>
      </c>
      <c r="R204">
        <v>0</v>
      </c>
      <c r="S204">
        <v>0</v>
      </c>
      <c r="T204">
        <v>0</v>
      </c>
      <c r="U204">
        <v>0</v>
      </c>
      <c r="V204">
        <v>0</v>
      </c>
      <c r="W204" s="159">
        <v>0</v>
      </c>
    </row>
    <row r="205" spans="2:23" ht="15.75" customHeight="1">
      <c r="B205" s="158" t="s">
        <v>143</v>
      </c>
      <c r="C205" s="235">
        <v>0</v>
      </c>
      <c r="D205">
        <v>0</v>
      </c>
      <c r="E205">
        <v>0</v>
      </c>
      <c r="F205">
        <v>0</v>
      </c>
      <c r="G205">
        <v>0</v>
      </c>
      <c r="H205">
        <v>0</v>
      </c>
      <c r="I205">
        <v>1</v>
      </c>
      <c r="J205">
        <v>0</v>
      </c>
      <c r="K205">
        <v>0</v>
      </c>
      <c r="L205">
        <v>0</v>
      </c>
      <c r="M205">
        <v>0</v>
      </c>
      <c r="N205">
        <v>0</v>
      </c>
      <c r="O205">
        <v>0</v>
      </c>
      <c r="P205">
        <v>0</v>
      </c>
      <c r="Q205">
        <v>0</v>
      </c>
      <c r="R205">
        <v>0</v>
      </c>
      <c r="S205">
        <v>0</v>
      </c>
      <c r="T205">
        <v>0</v>
      </c>
      <c r="U205">
        <v>0</v>
      </c>
      <c r="V205">
        <v>0</v>
      </c>
      <c r="W205" s="159">
        <v>0</v>
      </c>
    </row>
    <row r="206" spans="2:23" ht="15.75" customHeight="1">
      <c r="B206" s="158" t="s">
        <v>144</v>
      </c>
      <c r="C206" s="235">
        <v>0</v>
      </c>
      <c r="D206">
        <v>0</v>
      </c>
      <c r="E206">
        <v>0</v>
      </c>
      <c r="F206">
        <v>0</v>
      </c>
      <c r="G206">
        <v>0</v>
      </c>
      <c r="H206">
        <v>0</v>
      </c>
      <c r="I206">
        <v>0</v>
      </c>
      <c r="J206">
        <v>1</v>
      </c>
      <c r="K206">
        <v>0</v>
      </c>
      <c r="L206">
        <v>0</v>
      </c>
      <c r="M206">
        <v>0</v>
      </c>
      <c r="N206">
        <v>0</v>
      </c>
      <c r="O206">
        <v>0</v>
      </c>
      <c r="P206">
        <v>0</v>
      </c>
      <c r="Q206">
        <v>0</v>
      </c>
      <c r="R206">
        <v>0</v>
      </c>
      <c r="S206">
        <v>0</v>
      </c>
      <c r="T206">
        <v>0</v>
      </c>
      <c r="U206">
        <v>0</v>
      </c>
      <c r="V206">
        <v>0</v>
      </c>
      <c r="W206" s="159">
        <v>0</v>
      </c>
    </row>
    <row r="207" spans="2:23" ht="15.75" customHeight="1">
      <c r="B207" s="158" t="s">
        <v>61</v>
      </c>
      <c r="C207" s="235">
        <v>0</v>
      </c>
      <c r="D207">
        <v>0</v>
      </c>
      <c r="E207">
        <v>0</v>
      </c>
      <c r="F207">
        <v>0</v>
      </c>
      <c r="G207">
        <v>0</v>
      </c>
      <c r="H207">
        <v>0</v>
      </c>
      <c r="I207">
        <v>0</v>
      </c>
      <c r="J207">
        <v>0</v>
      </c>
      <c r="K207">
        <v>1</v>
      </c>
      <c r="L207">
        <v>0</v>
      </c>
      <c r="M207">
        <v>0</v>
      </c>
      <c r="N207">
        <v>0</v>
      </c>
      <c r="O207">
        <v>0</v>
      </c>
      <c r="P207">
        <v>0</v>
      </c>
      <c r="Q207">
        <v>0</v>
      </c>
      <c r="R207">
        <v>0</v>
      </c>
      <c r="S207">
        <v>0</v>
      </c>
      <c r="T207">
        <v>0</v>
      </c>
      <c r="U207">
        <v>0</v>
      </c>
      <c r="V207">
        <v>0</v>
      </c>
      <c r="W207" s="159">
        <v>0</v>
      </c>
    </row>
    <row r="208" spans="2:23" ht="15.75" customHeight="1">
      <c r="B208" s="158" t="s">
        <v>63</v>
      </c>
      <c r="C208" s="235">
        <v>0</v>
      </c>
      <c r="D208">
        <v>0</v>
      </c>
      <c r="E208">
        <v>0</v>
      </c>
      <c r="F208">
        <v>0</v>
      </c>
      <c r="G208">
        <v>0</v>
      </c>
      <c r="H208">
        <v>0</v>
      </c>
      <c r="I208">
        <v>0</v>
      </c>
      <c r="J208">
        <v>0</v>
      </c>
      <c r="K208">
        <v>0</v>
      </c>
      <c r="L208">
        <v>1</v>
      </c>
      <c r="M208">
        <v>0</v>
      </c>
      <c r="N208">
        <v>0</v>
      </c>
      <c r="O208">
        <v>0</v>
      </c>
      <c r="P208">
        <v>0</v>
      </c>
      <c r="Q208">
        <v>0</v>
      </c>
      <c r="R208">
        <v>0</v>
      </c>
      <c r="S208">
        <v>0</v>
      </c>
      <c r="T208">
        <v>0</v>
      </c>
      <c r="U208">
        <v>0</v>
      </c>
      <c r="V208">
        <v>0</v>
      </c>
      <c r="W208" s="159">
        <v>0</v>
      </c>
    </row>
    <row r="209" spans="2:23" ht="15.75" customHeight="1">
      <c r="B209" s="158" t="s">
        <v>65</v>
      </c>
      <c r="C209" s="235">
        <v>0</v>
      </c>
      <c r="D209">
        <v>0</v>
      </c>
      <c r="E209">
        <v>0</v>
      </c>
      <c r="F209">
        <v>0</v>
      </c>
      <c r="G209">
        <v>0</v>
      </c>
      <c r="H209">
        <v>0</v>
      </c>
      <c r="I209">
        <v>0</v>
      </c>
      <c r="J209">
        <v>0</v>
      </c>
      <c r="K209">
        <v>0</v>
      </c>
      <c r="L209">
        <v>0</v>
      </c>
      <c r="M209">
        <v>1</v>
      </c>
      <c r="N209">
        <v>0</v>
      </c>
      <c r="O209">
        <v>0</v>
      </c>
      <c r="P209">
        <v>0</v>
      </c>
      <c r="Q209">
        <v>0</v>
      </c>
      <c r="R209">
        <v>0</v>
      </c>
      <c r="S209">
        <v>0</v>
      </c>
      <c r="T209">
        <v>0</v>
      </c>
      <c r="U209">
        <v>0</v>
      </c>
      <c r="V209">
        <v>0</v>
      </c>
      <c r="W209" s="159">
        <v>0</v>
      </c>
    </row>
    <row r="210" spans="2:23" ht="15.75" customHeight="1">
      <c r="B210" s="158" t="s">
        <v>67</v>
      </c>
      <c r="C210" s="235">
        <v>0</v>
      </c>
      <c r="D210">
        <v>0</v>
      </c>
      <c r="E210">
        <v>0</v>
      </c>
      <c r="F210">
        <v>0</v>
      </c>
      <c r="G210">
        <v>0</v>
      </c>
      <c r="H210">
        <v>0</v>
      </c>
      <c r="I210">
        <v>0</v>
      </c>
      <c r="J210">
        <v>0</v>
      </c>
      <c r="K210">
        <v>0</v>
      </c>
      <c r="L210">
        <v>0</v>
      </c>
      <c r="M210">
        <v>0</v>
      </c>
      <c r="N210">
        <v>1</v>
      </c>
      <c r="O210">
        <v>0</v>
      </c>
      <c r="P210">
        <v>0</v>
      </c>
      <c r="Q210">
        <v>0</v>
      </c>
      <c r="R210">
        <v>0</v>
      </c>
      <c r="S210">
        <v>0</v>
      </c>
      <c r="T210">
        <v>0</v>
      </c>
      <c r="U210">
        <v>0</v>
      </c>
      <c r="V210">
        <v>0</v>
      </c>
      <c r="W210" s="159">
        <v>0</v>
      </c>
    </row>
    <row r="211" spans="2:23" ht="15.75" customHeight="1">
      <c r="B211" s="158" t="s">
        <v>69</v>
      </c>
      <c r="C211" s="235">
        <v>0</v>
      </c>
      <c r="D211">
        <v>0</v>
      </c>
      <c r="E211">
        <v>0</v>
      </c>
      <c r="F211">
        <v>0</v>
      </c>
      <c r="G211">
        <v>0</v>
      </c>
      <c r="H211">
        <v>0</v>
      </c>
      <c r="I211">
        <v>0</v>
      </c>
      <c r="J211">
        <v>0</v>
      </c>
      <c r="K211">
        <v>0</v>
      </c>
      <c r="L211">
        <v>0</v>
      </c>
      <c r="M211">
        <v>0</v>
      </c>
      <c r="N211">
        <v>0</v>
      </c>
      <c r="O211">
        <v>1</v>
      </c>
      <c r="P211">
        <v>0</v>
      </c>
      <c r="Q211">
        <v>0</v>
      </c>
      <c r="R211">
        <v>0</v>
      </c>
      <c r="S211">
        <v>0</v>
      </c>
      <c r="T211">
        <v>0</v>
      </c>
      <c r="U211">
        <v>0</v>
      </c>
      <c r="V211">
        <v>0</v>
      </c>
      <c r="W211" s="159">
        <v>0</v>
      </c>
    </row>
    <row r="212" spans="2:23" ht="15.75" customHeight="1">
      <c r="B212" s="158" t="s">
        <v>145</v>
      </c>
      <c r="C212" s="235">
        <v>0</v>
      </c>
      <c r="D212">
        <v>0</v>
      </c>
      <c r="E212">
        <v>0</v>
      </c>
      <c r="F212">
        <v>0</v>
      </c>
      <c r="G212">
        <v>0</v>
      </c>
      <c r="H212">
        <v>0</v>
      </c>
      <c r="I212">
        <v>0</v>
      </c>
      <c r="J212">
        <v>0</v>
      </c>
      <c r="K212">
        <v>0</v>
      </c>
      <c r="L212">
        <v>0</v>
      </c>
      <c r="M212">
        <v>0</v>
      </c>
      <c r="N212">
        <v>0</v>
      </c>
      <c r="O212">
        <v>0</v>
      </c>
      <c r="P212">
        <v>1</v>
      </c>
      <c r="Q212">
        <v>0</v>
      </c>
      <c r="R212">
        <v>0</v>
      </c>
      <c r="S212">
        <v>0</v>
      </c>
      <c r="T212">
        <v>0</v>
      </c>
      <c r="U212">
        <v>0</v>
      </c>
      <c r="V212">
        <v>0</v>
      </c>
      <c r="W212" s="159">
        <v>0</v>
      </c>
    </row>
    <row r="213" spans="2:23" ht="15.75" customHeight="1">
      <c r="B213" s="158" t="s">
        <v>73</v>
      </c>
      <c r="C213" s="235">
        <v>0</v>
      </c>
      <c r="D213">
        <v>0</v>
      </c>
      <c r="E213">
        <v>0</v>
      </c>
      <c r="F213">
        <v>0</v>
      </c>
      <c r="G213">
        <v>0</v>
      </c>
      <c r="H213">
        <v>0</v>
      </c>
      <c r="I213">
        <v>0</v>
      </c>
      <c r="J213">
        <v>0</v>
      </c>
      <c r="K213">
        <v>0</v>
      </c>
      <c r="L213">
        <v>0</v>
      </c>
      <c r="M213">
        <v>0</v>
      </c>
      <c r="N213">
        <v>0</v>
      </c>
      <c r="O213">
        <v>0</v>
      </c>
      <c r="P213">
        <v>0</v>
      </c>
      <c r="Q213">
        <v>1</v>
      </c>
      <c r="R213">
        <v>0</v>
      </c>
      <c r="S213">
        <v>0</v>
      </c>
      <c r="T213">
        <v>0</v>
      </c>
      <c r="U213">
        <v>0</v>
      </c>
      <c r="V213">
        <v>0</v>
      </c>
      <c r="W213" s="159">
        <v>0</v>
      </c>
    </row>
    <row r="214" spans="2:23" ht="15.75" customHeight="1">
      <c r="B214" s="158" t="s">
        <v>75</v>
      </c>
      <c r="C214" s="235">
        <v>0</v>
      </c>
      <c r="D214">
        <v>0</v>
      </c>
      <c r="E214">
        <v>0</v>
      </c>
      <c r="F214">
        <v>0</v>
      </c>
      <c r="G214">
        <v>0</v>
      </c>
      <c r="H214">
        <v>0</v>
      </c>
      <c r="I214">
        <v>0</v>
      </c>
      <c r="J214">
        <v>0</v>
      </c>
      <c r="K214">
        <v>0</v>
      </c>
      <c r="L214">
        <v>0</v>
      </c>
      <c r="M214">
        <v>0</v>
      </c>
      <c r="N214">
        <v>0</v>
      </c>
      <c r="O214">
        <v>0</v>
      </c>
      <c r="P214">
        <v>0</v>
      </c>
      <c r="Q214">
        <v>0</v>
      </c>
      <c r="R214">
        <v>1</v>
      </c>
      <c r="S214">
        <v>0</v>
      </c>
      <c r="T214">
        <v>0</v>
      </c>
      <c r="U214">
        <v>0</v>
      </c>
      <c r="V214">
        <v>0</v>
      </c>
      <c r="W214" s="159">
        <v>0</v>
      </c>
    </row>
    <row r="215" spans="2:23" ht="15.75" customHeight="1">
      <c r="B215" s="158" t="s">
        <v>146</v>
      </c>
      <c r="C215" s="235">
        <v>0</v>
      </c>
      <c r="D215">
        <v>0</v>
      </c>
      <c r="E215">
        <v>0</v>
      </c>
      <c r="F215">
        <v>0</v>
      </c>
      <c r="G215">
        <v>0</v>
      </c>
      <c r="H215">
        <v>0</v>
      </c>
      <c r="I215">
        <v>0</v>
      </c>
      <c r="J215">
        <v>0</v>
      </c>
      <c r="K215">
        <v>0</v>
      </c>
      <c r="L215">
        <v>0</v>
      </c>
      <c r="M215">
        <v>0</v>
      </c>
      <c r="N215">
        <v>0</v>
      </c>
      <c r="O215">
        <v>0</v>
      </c>
      <c r="P215">
        <v>0</v>
      </c>
      <c r="Q215">
        <v>0</v>
      </c>
      <c r="R215">
        <v>0</v>
      </c>
      <c r="S215">
        <v>1</v>
      </c>
      <c r="T215">
        <v>0</v>
      </c>
      <c r="U215">
        <v>0</v>
      </c>
      <c r="V215">
        <v>0</v>
      </c>
      <c r="W215" s="159">
        <v>0</v>
      </c>
    </row>
    <row r="216" spans="2:23" ht="15.75" customHeight="1">
      <c r="B216" s="158" t="s">
        <v>83</v>
      </c>
      <c r="C216" s="235">
        <v>0</v>
      </c>
      <c r="D216">
        <v>0</v>
      </c>
      <c r="E216">
        <v>0</v>
      </c>
      <c r="F216">
        <v>0</v>
      </c>
      <c r="G216">
        <v>0</v>
      </c>
      <c r="H216">
        <v>0</v>
      </c>
      <c r="I216">
        <v>0</v>
      </c>
      <c r="J216">
        <v>0</v>
      </c>
      <c r="K216">
        <v>0</v>
      </c>
      <c r="L216">
        <v>0</v>
      </c>
      <c r="M216">
        <v>0</v>
      </c>
      <c r="N216">
        <v>0</v>
      </c>
      <c r="O216">
        <v>0</v>
      </c>
      <c r="P216">
        <v>0</v>
      </c>
      <c r="Q216">
        <v>0</v>
      </c>
      <c r="R216">
        <v>0</v>
      </c>
      <c r="S216">
        <v>0</v>
      </c>
      <c r="T216">
        <v>1</v>
      </c>
      <c r="U216">
        <v>0</v>
      </c>
      <c r="V216">
        <v>0</v>
      </c>
      <c r="W216" s="159">
        <v>0</v>
      </c>
    </row>
    <row r="217" spans="2:23" ht="15.75" customHeight="1">
      <c r="B217" s="158" t="s">
        <v>85</v>
      </c>
      <c r="C217" s="235">
        <v>0</v>
      </c>
      <c r="D217">
        <v>0</v>
      </c>
      <c r="E217">
        <v>0</v>
      </c>
      <c r="F217">
        <v>0</v>
      </c>
      <c r="G217">
        <v>0</v>
      </c>
      <c r="H217">
        <v>0</v>
      </c>
      <c r="I217">
        <v>0</v>
      </c>
      <c r="J217">
        <v>0</v>
      </c>
      <c r="K217">
        <v>0</v>
      </c>
      <c r="L217">
        <v>0</v>
      </c>
      <c r="M217">
        <v>0</v>
      </c>
      <c r="N217">
        <v>0</v>
      </c>
      <c r="O217">
        <v>0</v>
      </c>
      <c r="P217">
        <v>0</v>
      </c>
      <c r="Q217">
        <v>0</v>
      </c>
      <c r="R217">
        <v>0</v>
      </c>
      <c r="S217">
        <v>0</v>
      </c>
      <c r="T217">
        <v>0</v>
      </c>
      <c r="U217">
        <v>1</v>
      </c>
      <c r="V217">
        <v>0</v>
      </c>
      <c r="W217" s="159">
        <v>0</v>
      </c>
    </row>
    <row r="218" spans="2:23" ht="15.75" customHeight="1">
      <c r="B218" s="158" t="s">
        <v>88</v>
      </c>
      <c r="C218" s="235">
        <v>0</v>
      </c>
      <c r="D218">
        <v>0</v>
      </c>
      <c r="E218">
        <v>0</v>
      </c>
      <c r="F218">
        <v>0</v>
      </c>
      <c r="G218">
        <v>0</v>
      </c>
      <c r="H218">
        <v>0</v>
      </c>
      <c r="I218">
        <v>0</v>
      </c>
      <c r="J218">
        <v>0</v>
      </c>
      <c r="K218">
        <v>0</v>
      </c>
      <c r="L218">
        <v>0</v>
      </c>
      <c r="M218">
        <v>0</v>
      </c>
      <c r="N218">
        <v>0</v>
      </c>
      <c r="O218">
        <v>0</v>
      </c>
      <c r="P218">
        <v>0</v>
      </c>
      <c r="Q218">
        <v>0</v>
      </c>
      <c r="R218">
        <v>0</v>
      </c>
      <c r="S218">
        <v>0</v>
      </c>
      <c r="T218">
        <v>0</v>
      </c>
      <c r="U218">
        <v>0</v>
      </c>
      <c r="V218">
        <v>1</v>
      </c>
      <c r="W218" s="159">
        <v>0</v>
      </c>
    </row>
    <row r="219" spans="2:23" ht="15.75" customHeight="1">
      <c r="B219" s="160" t="s">
        <v>147</v>
      </c>
      <c r="C219" s="236">
        <v>0</v>
      </c>
      <c r="D219" s="237">
        <v>0</v>
      </c>
      <c r="E219" s="237">
        <v>0</v>
      </c>
      <c r="F219" s="237">
        <v>0</v>
      </c>
      <c r="G219" s="237">
        <v>0</v>
      </c>
      <c r="H219" s="237">
        <v>0</v>
      </c>
      <c r="I219" s="237">
        <v>0</v>
      </c>
      <c r="J219" s="237">
        <v>0</v>
      </c>
      <c r="K219" s="237">
        <v>0</v>
      </c>
      <c r="L219" s="237">
        <v>0</v>
      </c>
      <c r="M219" s="237">
        <v>0</v>
      </c>
      <c r="N219" s="237">
        <v>0</v>
      </c>
      <c r="O219" s="237">
        <v>0</v>
      </c>
      <c r="P219" s="237">
        <v>0</v>
      </c>
      <c r="Q219" s="237">
        <v>0</v>
      </c>
      <c r="R219" s="237">
        <v>0</v>
      </c>
      <c r="S219" s="237">
        <v>0</v>
      </c>
      <c r="T219" s="237">
        <v>0</v>
      </c>
      <c r="U219" s="237">
        <v>0</v>
      </c>
      <c r="V219" s="237">
        <v>0</v>
      </c>
      <c r="W219" s="161">
        <v>1</v>
      </c>
    </row>
    <row r="220" spans="2:23" ht="15.75" customHeight="1">
      <c r="G220"/>
      <c r="H220"/>
      <c r="I220"/>
      <c r="J220"/>
      <c r="K220"/>
      <c r="L220"/>
      <c r="M220"/>
      <c r="N220"/>
      <c r="O220"/>
      <c r="P220"/>
      <c r="Q220"/>
      <c r="R220"/>
      <c r="S220"/>
      <c r="T220"/>
      <c r="U220"/>
      <c r="V220"/>
      <c r="W220"/>
    </row>
    <row r="221" spans="2:23" ht="15.75" customHeight="1">
      <c r="B221" t="s">
        <v>1177</v>
      </c>
      <c r="G221"/>
      <c r="H221"/>
      <c r="I221"/>
      <c r="J221"/>
      <c r="K221"/>
      <c r="L221"/>
      <c r="M221"/>
      <c r="N221"/>
      <c r="O221"/>
      <c r="P221"/>
      <c r="Q221"/>
      <c r="R221"/>
      <c r="S221"/>
      <c r="T221"/>
      <c r="U221"/>
      <c r="V221"/>
      <c r="W221"/>
    </row>
    <row r="222" spans="2:23" ht="15.75" customHeight="1">
      <c r="C222" s="232" t="s">
        <v>139</v>
      </c>
      <c r="D222" s="303" t="s">
        <v>37</v>
      </c>
      <c r="E222" s="303" t="s">
        <v>140</v>
      </c>
      <c r="F222" s="303" t="s">
        <v>48</v>
      </c>
      <c r="G222" s="303" t="s">
        <v>141</v>
      </c>
      <c r="H222" s="303" t="s">
        <v>142</v>
      </c>
      <c r="I222" s="303" t="s">
        <v>143</v>
      </c>
      <c r="J222" s="303" t="s">
        <v>144</v>
      </c>
      <c r="K222" s="303" t="s">
        <v>61</v>
      </c>
      <c r="L222" s="303" t="s">
        <v>63</v>
      </c>
      <c r="M222" s="303" t="s">
        <v>65</v>
      </c>
      <c r="N222" s="303" t="s">
        <v>67</v>
      </c>
      <c r="O222" s="303" t="s">
        <v>69</v>
      </c>
      <c r="P222" s="303" t="s">
        <v>145</v>
      </c>
      <c r="Q222" s="303" t="s">
        <v>73</v>
      </c>
      <c r="R222" s="303" t="s">
        <v>75</v>
      </c>
      <c r="S222" s="303" t="s">
        <v>146</v>
      </c>
      <c r="T222" s="303" t="s">
        <v>83</v>
      </c>
      <c r="U222" s="303" t="s">
        <v>85</v>
      </c>
      <c r="V222" s="303" t="s">
        <v>88</v>
      </c>
      <c r="W222" s="244" t="s">
        <v>147</v>
      </c>
    </row>
    <row r="223" spans="2:23" ht="15.75" customHeight="1">
      <c r="B223" s="238" t="s">
        <v>139</v>
      </c>
      <c r="C223" s="233">
        <v>0.20859</v>
      </c>
      <c r="D223" s="42">
        <v>0.19091</v>
      </c>
      <c r="E223" s="42">
        <v>0.21807399999999999</v>
      </c>
      <c r="F223" s="42">
        <v>0.56555200000000005</v>
      </c>
      <c r="G223" s="42">
        <v>0.31689899999999999</v>
      </c>
      <c r="H223" s="42">
        <v>5.1207000000000003E-2</v>
      </c>
      <c r="I223" s="42">
        <v>2.1797E-2</v>
      </c>
      <c r="J223" s="42">
        <v>4.2602000000000001E-2</v>
      </c>
      <c r="K223" s="42">
        <v>0.13777500000000001</v>
      </c>
      <c r="L223" s="42">
        <v>0.209949</v>
      </c>
      <c r="M223" s="42">
        <v>0.20849000000000001</v>
      </c>
      <c r="N223" s="42">
        <v>9.1649999999999995E-2</v>
      </c>
      <c r="O223" s="42">
        <v>0.163604</v>
      </c>
      <c r="P223" s="42">
        <v>0.16622100000000001</v>
      </c>
      <c r="Q223" s="42">
        <v>9.1958999999999999E-2</v>
      </c>
      <c r="R223" s="42">
        <v>0.138681</v>
      </c>
      <c r="S223" s="42">
        <v>0.24227699999999999</v>
      </c>
      <c r="T223" s="42">
        <v>9.8806000000000005E-2</v>
      </c>
      <c r="U223" s="42">
        <v>8.6984000000000006E-2</v>
      </c>
      <c r="V223" s="42">
        <v>0.117567</v>
      </c>
      <c r="W223" s="234">
        <v>0</v>
      </c>
    </row>
    <row r="224" spans="2:23" ht="15.75" customHeight="1">
      <c r="B224" s="158" t="s">
        <v>37</v>
      </c>
      <c r="C224" s="235">
        <v>2.5360200000000002</v>
      </c>
      <c r="D224">
        <v>6.5973300000000004</v>
      </c>
      <c r="E224">
        <v>5.7017699999999998</v>
      </c>
      <c r="F224">
        <v>7.1080199999999998</v>
      </c>
      <c r="G224">
        <v>1.8632</v>
      </c>
      <c r="H224">
        <v>4.2983000000000002</v>
      </c>
      <c r="I224">
        <v>8.8186199999999992</v>
      </c>
      <c r="J224">
        <v>289.91300000000001</v>
      </c>
      <c r="K224">
        <v>5.6759899999999996</v>
      </c>
      <c r="L224">
        <v>2.86795</v>
      </c>
      <c r="M224">
        <v>5.3034100000000004</v>
      </c>
      <c r="N224">
        <v>4.6214899999999997</v>
      </c>
      <c r="O224">
        <v>3.4518200000000001</v>
      </c>
      <c r="P224">
        <v>0.99672899999999998</v>
      </c>
      <c r="Q224">
        <v>1.8427500000000001</v>
      </c>
      <c r="R224">
        <v>0.85646100000000003</v>
      </c>
      <c r="S224">
        <v>1.2923199999999999</v>
      </c>
      <c r="T224">
        <v>5.6139400000000004</v>
      </c>
      <c r="U224">
        <v>0.27566800000000002</v>
      </c>
      <c r="V224">
        <v>1.7906599999999999</v>
      </c>
      <c r="W224" s="159">
        <v>0</v>
      </c>
    </row>
    <row r="225" spans="2:23" ht="15.75" customHeight="1">
      <c r="B225" s="158" t="s">
        <v>140</v>
      </c>
      <c r="C225" s="235">
        <v>0.24553</v>
      </c>
      <c r="D225">
        <v>0.48420200000000002</v>
      </c>
      <c r="E225">
        <v>0.37159500000000001</v>
      </c>
      <c r="F225">
        <v>0.46759200000000001</v>
      </c>
      <c r="G225">
        <v>0.32711800000000002</v>
      </c>
      <c r="H225">
        <v>0.47080899999999998</v>
      </c>
      <c r="I225">
        <v>0.59211899999999995</v>
      </c>
      <c r="J225">
        <v>0.58714299999999997</v>
      </c>
      <c r="K225">
        <v>0.178539</v>
      </c>
      <c r="L225">
        <v>0.27223199999999997</v>
      </c>
      <c r="M225">
        <v>0.28265499999999999</v>
      </c>
      <c r="N225">
        <v>0.21720800000000001</v>
      </c>
      <c r="O225">
        <v>0.104093</v>
      </c>
      <c r="P225">
        <v>0.32340999999999998</v>
      </c>
      <c r="Q225">
        <v>0.16785800000000001</v>
      </c>
      <c r="R225">
        <v>0.27488299999999999</v>
      </c>
      <c r="S225">
        <v>0.30324499999999999</v>
      </c>
      <c r="T225">
        <v>0.237424</v>
      </c>
      <c r="U225">
        <v>0.236651</v>
      </c>
      <c r="V225">
        <v>0.72526400000000002</v>
      </c>
      <c r="W225" s="159">
        <v>0</v>
      </c>
    </row>
    <row r="226" spans="2:23" ht="15.75" customHeight="1">
      <c r="B226" s="158" t="s">
        <v>48</v>
      </c>
      <c r="C226" s="235">
        <v>0.303815</v>
      </c>
      <c r="D226">
        <v>0.32996300000000001</v>
      </c>
      <c r="E226">
        <v>0.36557899999999999</v>
      </c>
      <c r="F226">
        <v>0.29199799999999998</v>
      </c>
      <c r="G226">
        <v>0.44181799999999999</v>
      </c>
      <c r="H226">
        <v>0.19989100000000001</v>
      </c>
      <c r="I226">
        <v>1.32978</v>
      </c>
      <c r="J226">
        <v>2.4389500000000002</v>
      </c>
      <c r="K226">
        <v>0.27810000000000001</v>
      </c>
      <c r="L226">
        <v>0.28192299999999998</v>
      </c>
      <c r="M226">
        <v>0.29423899999999997</v>
      </c>
      <c r="N226">
        <v>0.27609299999999998</v>
      </c>
      <c r="O226">
        <v>0.230875</v>
      </c>
      <c r="P226">
        <v>0.34712799999999999</v>
      </c>
      <c r="Q226">
        <v>0.23602200000000001</v>
      </c>
      <c r="R226">
        <v>0.42143599999999998</v>
      </c>
      <c r="S226">
        <v>0.289045</v>
      </c>
      <c r="T226">
        <v>0.26460499999999998</v>
      </c>
      <c r="U226">
        <v>0.27172600000000002</v>
      </c>
      <c r="V226">
        <v>0.73241900000000004</v>
      </c>
      <c r="W226" s="159">
        <v>0</v>
      </c>
    </row>
    <row r="227" spans="2:23" ht="15.75" customHeight="1">
      <c r="B227" s="158" t="s">
        <v>141</v>
      </c>
      <c r="C227" s="235">
        <v>0.32148599999999999</v>
      </c>
      <c r="D227">
        <v>0.78603599999999996</v>
      </c>
      <c r="E227">
        <v>0.653424</v>
      </c>
      <c r="F227">
        <v>0.60647600000000002</v>
      </c>
      <c r="G227">
        <v>1.0413399999999999</v>
      </c>
      <c r="H227">
        <v>0.38046099999999999</v>
      </c>
      <c r="I227">
        <v>1.2437400000000001</v>
      </c>
      <c r="J227">
        <v>0.28606399999999998</v>
      </c>
      <c r="K227">
        <v>0.76206499999999999</v>
      </c>
      <c r="L227">
        <v>0.63953899999999997</v>
      </c>
      <c r="M227">
        <v>1.13147</v>
      </c>
      <c r="N227">
        <v>0.70282599999999995</v>
      </c>
      <c r="O227">
        <v>0.58267500000000005</v>
      </c>
      <c r="P227">
        <v>0.46256799999999998</v>
      </c>
      <c r="Q227">
        <v>0.59162899999999996</v>
      </c>
      <c r="R227">
        <v>0.97790999999999995</v>
      </c>
      <c r="S227">
        <v>0.79003699999999999</v>
      </c>
      <c r="T227">
        <v>0.1588</v>
      </c>
      <c r="U227">
        <v>0.15526999999999999</v>
      </c>
      <c r="V227">
        <v>0.26070399999999999</v>
      </c>
      <c r="W227" s="159">
        <v>0</v>
      </c>
    </row>
    <row r="228" spans="2:23" ht="15.75" customHeight="1">
      <c r="B228" s="158" t="s">
        <v>142</v>
      </c>
      <c r="C228" s="235">
        <v>5.4419999999999998E-3</v>
      </c>
      <c r="D228">
        <v>1.75E-4</v>
      </c>
      <c r="E228">
        <v>2.7230000000000002E-3</v>
      </c>
      <c r="F228">
        <v>6.29E-4</v>
      </c>
      <c r="G228">
        <v>1.3539000000000001E-2</v>
      </c>
      <c r="H228">
        <v>5.8240000000000002E-3</v>
      </c>
      <c r="I228">
        <v>0.107196</v>
      </c>
      <c r="J228">
        <v>6.9386000000000003E-2</v>
      </c>
      <c r="K228">
        <v>5.6999999999999998E-4</v>
      </c>
      <c r="L228">
        <v>1.8772E-2</v>
      </c>
      <c r="M228">
        <v>9.8809999999999992E-3</v>
      </c>
      <c r="N228">
        <v>3.6449999999999998E-3</v>
      </c>
      <c r="O228">
        <v>1.021E-3</v>
      </c>
      <c r="P228">
        <v>2.8630000000000001E-3</v>
      </c>
      <c r="Q228">
        <v>8.9739999999999993E-3</v>
      </c>
      <c r="R228">
        <v>1.8519999999999999E-3</v>
      </c>
      <c r="S228">
        <v>4.4739999999999997E-3</v>
      </c>
      <c r="T228">
        <v>7.79E-3</v>
      </c>
      <c r="U228">
        <v>6.6730000000000001E-3</v>
      </c>
      <c r="V228">
        <v>1.7650000000000001E-3</v>
      </c>
      <c r="W228" s="159">
        <v>0</v>
      </c>
    </row>
    <row r="229" spans="2:23" ht="15.75" customHeight="1">
      <c r="B229" s="158" t="s">
        <v>143</v>
      </c>
      <c r="C229" s="235">
        <v>0.81059099999999995</v>
      </c>
      <c r="D229">
        <v>0.196099</v>
      </c>
      <c r="E229">
        <v>0.287829</v>
      </c>
      <c r="F229">
        <v>1.5591200000000001</v>
      </c>
      <c r="G229">
        <v>2.43981</v>
      </c>
      <c r="H229">
        <v>0.18071100000000001</v>
      </c>
      <c r="I229">
        <v>0.29171399999999997</v>
      </c>
      <c r="J229">
        <v>1.07142</v>
      </c>
      <c r="K229">
        <v>0.23422399999999999</v>
      </c>
      <c r="L229">
        <v>8.3419999999999994E-2</v>
      </c>
      <c r="M229">
        <v>0.56946399999999997</v>
      </c>
      <c r="N229">
        <v>0.448905</v>
      </c>
      <c r="O229">
        <v>0.17721799999999999</v>
      </c>
      <c r="P229">
        <v>0.186585</v>
      </c>
      <c r="Q229">
        <v>8.4445000000000006E-2</v>
      </c>
      <c r="R229">
        <v>0.21734999999999999</v>
      </c>
      <c r="S229">
        <v>0.227885</v>
      </c>
      <c r="T229">
        <v>0.14650299999999999</v>
      </c>
      <c r="U229">
        <v>0.14488699999999999</v>
      </c>
      <c r="V229">
        <v>0.147452</v>
      </c>
      <c r="W229" s="159">
        <v>0</v>
      </c>
    </row>
    <row r="230" spans="2:23" ht="15.75" customHeight="1">
      <c r="B230" s="158" t="s">
        <v>144</v>
      </c>
      <c r="C230" s="235">
        <v>0.25140600000000002</v>
      </c>
      <c r="D230">
        <v>6.1209999999999997E-3</v>
      </c>
      <c r="E230">
        <v>0.11703</v>
      </c>
      <c r="F230">
        <v>1.4347399999999999</v>
      </c>
      <c r="G230">
        <v>0.115539</v>
      </c>
      <c r="H230">
        <v>8.5721000000000006E-2</v>
      </c>
      <c r="I230">
        <v>2.759E-2</v>
      </c>
      <c r="J230">
        <v>1.4865E-2</v>
      </c>
      <c r="K230">
        <v>7.9352000000000006E-2</v>
      </c>
      <c r="L230">
        <v>1.8811000000000001E-2</v>
      </c>
      <c r="M230">
        <v>0.37253199999999997</v>
      </c>
      <c r="N230">
        <v>0.15814700000000001</v>
      </c>
      <c r="O230">
        <v>0.14696000000000001</v>
      </c>
      <c r="P230">
        <v>6.5143999999999994E-2</v>
      </c>
      <c r="Q230">
        <v>0.152061</v>
      </c>
      <c r="R230">
        <v>0.138878</v>
      </c>
      <c r="S230">
        <v>0.16156200000000001</v>
      </c>
      <c r="T230">
        <v>0.38514999999999999</v>
      </c>
      <c r="U230">
        <v>0.177426</v>
      </c>
      <c r="V230">
        <v>0.118855</v>
      </c>
      <c r="W230" s="159">
        <v>0</v>
      </c>
    </row>
    <row r="231" spans="2:23" ht="15.75" customHeight="1">
      <c r="B231" s="158" t="s">
        <v>61</v>
      </c>
      <c r="C231" s="235">
        <v>5.8890999999999999E-2</v>
      </c>
      <c r="D231">
        <v>0.116578</v>
      </c>
      <c r="E231">
        <v>0.121195</v>
      </c>
      <c r="F231">
        <v>0.16300999999999999</v>
      </c>
      <c r="G231">
        <v>0.112259</v>
      </c>
      <c r="H231">
        <v>8.9724999999999999E-2</v>
      </c>
      <c r="I231">
        <v>7.7800999999999995E-2</v>
      </c>
      <c r="J231">
        <v>0.19179599999999999</v>
      </c>
      <c r="K231">
        <v>0.124626</v>
      </c>
      <c r="L231">
        <v>6.9018999999999997E-2</v>
      </c>
      <c r="M231">
        <v>6.7988000000000007E-2</v>
      </c>
      <c r="N231">
        <v>9.3260999999999997E-2</v>
      </c>
      <c r="O231">
        <v>3.5952999999999999E-2</v>
      </c>
      <c r="P231">
        <v>8.9512999999999995E-2</v>
      </c>
      <c r="Q231">
        <v>6.8084000000000006E-2</v>
      </c>
      <c r="R231">
        <v>3.1094E-2</v>
      </c>
      <c r="S231">
        <v>6.5342999999999998E-2</v>
      </c>
      <c r="T231">
        <v>2.4351999999999999E-2</v>
      </c>
      <c r="U231">
        <v>1.1934E-2</v>
      </c>
      <c r="V231">
        <v>7.3094000000000006E-2</v>
      </c>
      <c r="W231" s="159">
        <v>0</v>
      </c>
    </row>
    <row r="232" spans="2:23" ht="15.75" customHeight="1">
      <c r="B232" s="158" t="s">
        <v>63</v>
      </c>
      <c r="C232" s="235">
        <v>6.3249999999999999E-3</v>
      </c>
      <c r="D232">
        <v>2.5928E-2</v>
      </c>
      <c r="E232">
        <v>3.1337999999999998E-2</v>
      </c>
      <c r="F232">
        <v>8.2327999999999998E-2</v>
      </c>
      <c r="G232">
        <v>2.8021000000000001E-2</v>
      </c>
      <c r="H232">
        <v>1.5117E-2</v>
      </c>
      <c r="I232">
        <v>9.3413999999999997E-2</v>
      </c>
      <c r="J232">
        <v>7.7664999999999998E-2</v>
      </c>
      <c r="K232">
        <v>1.2818E-2</v>
      </c>
      <c r="L232">
        <v>3.9029999999999998E-3</v>
      </c>
      <c r="M232">
        <v>9.8119999999999995E-3</v>
      </c>
      <c r="N232">
        <v>9.0559999999999998E-3</v>
      </c>
      <c r="O232">
        <v>8.5620000000000002E-3</v>
      </c>
      <c r="P232">
        <v>8.0909999999999992E-3</v>
      </c>
      <c r="Q232">
        <v>5.5710000000000004E-3</v>
      </c>
      <c r="R232">
        <v>3.8730000000000001E-3</v>
      </c>
      <c r="S232">
        <v>6.5709999999999996E-3</v>
      </c>
      <c r="T232">
        <v>4.0699999999999998E-3</v>
      </c>
      <c r="U232">
        <v>3.9649999999999998E-3</v>
      </c>
      <c r="V232">
        <v>4.4999999999999997E-3</v>
      </c>
      <c r="W232" s="159">
        <v>0</v>
      </c>
    </row>
    <row r="233" spans="2:23" ht="15.75" customHeight="1">
      <c r="B233" s="158" t="s">
        <v>65</v>
      </c>
      <c r="C233" s="235">
        <v>0.157966</v>
      </c>
      <c r="D233">
        <v>0.24457100000000001</v>
      </c>
      <c r="E233">
        <v>0.160939</v>
      </c>
      <c r="F233">
        <v>0.617313</v>
      </c>
      <c r="G233">
        <v>0.12977</v>
      </c>
      <c r="H233">
        <v>0.224191</v>
      </c>
      <c r="I233">
        <v>0.178735</v>
      </c>
      <c r="J233">
        <v>0.161301</v>
      </c>
      <c r="K233">
        <v>8.6707000000000006E-2</v>
      </c>
      <c r="L233">
        <v>0.14560999999999999</v>
      </c>
      <c r="M233">
        <v>6.6789000000000001E-2</v>
      </c>
      <c r="N233">
        <v>6.1871000000000002E-2</v>
      </c>
      <c r="O233">
        <v>7.6907000000000003E-2</v>
      </c>
      <c r="P233">
        <v>8.6406999999999998E-2</v>
      </c>
      <c r="Q233">
        <v>5.2269999999999997E-2</v>
      </c>
      <c r="R233">
        <v>9.6069000000000002E-2</v>
      </c>
      <c r="S233">
        <v>6.8234000000000003E-2</v>
      </c>
      <c r="T233">
        <v>9.0846999999999997E-2</v>
      </c>
      <c r="U233">
        <v>7.7225000000000002E-2</v>
      </c>
      <c r="V233">
        <v>0.1953</v>
      </c>
      <c r="W233" s="159">
        <v>0</v>
      </c>
    </row>
    <row r="234" spans="2:23" ht="15.75" customHeight="1">
      <c r="B234" s="158" t="s">
        <v>67</v>
      </c>
      <c r="C234" s="235">
        <v>5.9175999999999999E-2</v>
      </c>
      <c r="D234">
        <v>0.16625400000000001</v>
      </c>
      <c r="E234">
        <v>9.9935999999999997E-2</v>
      </c>
      <c r="F234">
        <v>1.1350100000000001</v>
      </c>
      <c r="G234">
        <v>0.11268300000000001</v>
      </c>
      <c r="H234">
        <v>0.512571</v>
      </c>
      <c r="I234">
        <v>0.237488</v>
      </c>
      <c r="J234">
        <v>0.259108</v>
      </c>
      <c r="K234">
        <v>0.113094</v>
      </c>
      <c r="L234">
        <v>9.2677999999999996E-2</v>
      </c>
      <c r="M234">
        <v>6.1329000000000002E-2</v>
      </c>
      <c r="N234">
        <v>0.10645</v>
      </c>
      <c r="O234">
        <v>8.5307999999999995E-2</v>
      </c>
      <c r="P234">
        <v>0.13359299999999999</v>
      </c>
      <c r="Q234">
        <v>0.46409099999999998</v>
      </c>
      <c r="R234">
        <v>7.2765999999999997E-2</v>
      </c>
      <c r="S234">
        <v>9.5950999999999995E-2</v>
      </c>
      <c r="T234">
        <v>0.23224500000000001</v>
      </c>
      <c r="U234">
        <v>0.106085</v>
      </c>
      <c r="V234">
        <v>0.13781499999999999</v>
      </c>
      <c r="W234" s="159">
        <v>0</v>
      </c>
    </row>
    <row r="235" spans="2:23" ht="15.75" customHeight="1">
      <c r="B235" s="158" t="s">
        <v>69</v>
      </c>
      <c r="C235" s="235">
        <v>0.115122</v>
      </c>
      <c r="D235">
        <v>8.9610999999999996E-2</v>
      </c>
      <c r="E235">
        <v>9.0365000000000001E-2</v>
      </c>
      <c r="F235">
        <v>8.9222999999999997E-2</v>
      </c>
      <c r="G235">
        <v>8.7226999999999999E-2</v>
      </c>
      <c r="H235">
        <v>0.10645399999999999</v>
      </c>
      <c r="I235">
        <v>7.4790999999999996E-2</v>
      </c>
      <c r="J235">
        <v>0.13020599999999999</v>
      </c>
      <c r="K235">
        <v>0.100744</v>
      </c>
      <c r="L235">
        <v>8.6967000000000003E-2</v>
      </c>
      <c r="M235">
        <v>8.7397000000000002E-2</v>
      </c>
      <c r="N235">
        <v>8.8483000000000006E-2</v>
      </c>
      <c r="O235">
        <v>9.5620999999999998E-2</v>
      </c>
      <c r="P235">
        <v>8.3549999999999999E-2</v>
      </c>
      <c r="Q235">
        <v>8.7354000000000001E-2</v>
      </c>
      <c r="R235">
        <v>8.6863999999999997E-2</v>
      </c>
      <c r="S235">
        <v>8.7219000000000005E-2</v>
      </c>
      <c r="T235">
        <v>8.6178000000000005E-2</v>
      </c>
      <c r="U235">
        <v>8.7220000000000006E-2</v>
      </c>
      <c r="V235">
        <v>8.6676000000000003E-2</v>
      </c>
      <c r="W235" s="159">
        <v>0</v>
      </c>
    </row>
    <row r="236" spans="2:23" ht="15.75" customHeight="1">
      <c r="B236" s="158" t="s">
        <v>145</v>
      </c>
      <c r="C236" s="235">
        <v>2.2704999999999999E-2</v>
      </c>
      <c r="D236">
        <v>6.3847000000000001E-2</v>
      </c>
      <c r="E236">
        <v>5.9135E-2</v>
      </c>
      <c r="F236">
        <v>6.2465E-2</v>
      </c>
      <c r="G236">
        <v>6.5012E-2</v>
      </c>
      <c r="H236">
        <v>6.8883E-2</v>
      </c>
      <c r="I236">
        <v>6.2003999999999997E-2</v>
      </c>
      <c r="J236">
        <v>6.1664999999999998E-2</v>
      </c>
      <c r="K236">
        <v>7.6834E-2</v>
      </c>
      <c r="L236">
        <v>5.6112000000000002E-2</v>
      </c>
      <c r="M236">
        <v>6.4534999999999995E-2</v>
      </c>
      <c r="N236">
        <v>7.3729000000000003E-2</v>
      </c>
      <c r="O236">
        <v>6.2118E-2</v>
      </c>
      <c r="P236">
        <v>4.0092999999999997E-2</v>
      </c>
      <c r="Q236">
        <v>6.8834999999999993E-2</v>
      </c>
      <c r="R236">
        <v>5.7729000000000003E-2</v>
      </c>
      <c r="S236">
        <v>5.6075E-2</v>
      </c>
      <c r="T236">
        <v>5.815E-2</v>
      </c>
      <c r="U236">
        <v>6.5411999999999998E-2</v>
      </c>
      <c r="V236">
        <v>5.2301E-2</v>
      </c>
      <c r="W236" s="159">
        <v>0</v>
      </c>
    </row>
    <row r="237" spans="2:23" ht="15.75" customHeight="1">
      <c r="B237" s="158" t="s">
        <v>73</v>
      </c>
      <c r="C237" s="235">
        <v>9.1037000000000007E-2</v>
      </c>
      <c r="D237">
        <v>8.8076000000000002E-2</v>
      </c>
      <c r="E237">
        <v>5.1708999999999998E-2</v>
      </c>
      <c r="F237">
        <v>5.8180999999999997E-2</v>
      </c>
      <c r="G237">
        <v>5.5336999999999997E-2</v>
      </c>
      <c r="H237">
        <v>4.1203999999999998E-2</v>
      </c>
      <c r="I237">
        <v>4.1284000000000001E-2</v>
      </c>
      <c r="J237">
        <v>5.4081999999999998E-2</v>
      </c>
      <c r="K237">
        <v>7.4357000000000006E-2</v>
      </c>
      <c r="L237">
        <v>5.4435999999999998E-2</v>
      </c>
      <c r="M237">
        <v>4.8057999999999997E-2</v>
      </c>
      <c r="N237">
        <v>7.5782000000000002E-2</v>
      </c>
      <c r="O237">
        <v>4.7420999999999998E-2</v>
      </c>
      <c r="P237">
        <v>5.5877000000000003E-2</v>
      </c>
      <c r="Q237">
        <v>4.931E-2</v>
      </c>
      <c r="R237">
        <v>3.2475999999999998E-2</v>
      </c>
      <c r="S237">
        <v>6.2533000000000005E-2</v>
      </c>
      <c r="T237">
        <v>3.2016999999999997E-2</v>
      </c>
      <c r="U237">
        <v>4.7839E-2</v>
      </c>
      <c r="V237">
        <v>6.0541999999999999E-2</v>
      </c>
      <c r="W237" s="159">
        <v>0</v>
      </c>
    </row>
    <row r="238" spans="2:23" ht="15.75" customHeight="1">
      <c r="B238" s="158" t="s">
        <v>75</v>
      </c>
      <c r="C238" s="235">
        <v>1.4897000000000001E-2</v>
      </c>
      <c r="D238">
        <v>1.6337999999999998E-2</v>
      </c>
      <c r="E238">
        <v>1.1469E-2</v>
      </c>
      <c r="F238">
        <v>2.3904000000000002E-2</v>
      </c>
      <c r="G238">
        <v>1.2777999999999999E-2</v>
      </c>
      <c r="H238">
        <v>1.3764999999999999E-2</v>
      </c>
      <c r="I238">
        <v>1.0676E-2</v>
      </c>
      <c r="J238">
        <v>1.7840000000000002E-2</v>
      </c>
      <c r="K238">
        <v>1.4062E-2</v>
      </c>
      <c r="L238">
        <v>1.0215999999999999E-2</v>
      </c>
      <c r="M238">
        <v>1.0359999999999999E-2</v>
      </c>
      <c r="N238">
        <v>1.0867E-2</v>
      </c>
      <c r="O238">
        <v>1.0240000000000001E-2</v>
      </c>
      <c r="P238">
        <v>1.0884E-2</v>
      </c>
      <c r="Q238">
        <v>1.0765E-2</v>
      </c>
      <c r="R238">
        <v>1.0371999999999999E-2</v>
      </c>
      <c r="S238">
        <v>1.1016E-2</v>
      </c>
      <c r="T238">
        <v>1.0616E-2</v>
      </c>
      <c r="U238">
        <v>1.0522E-2</v>
      </c>
      <c r="V238">
        <v>1.0918000000000001E-2</v>
      </c>
      <c r="W238" s="159">
        <v>0</v>
      </c>
    </row>
    <row r="239" spans="2:23" ht="15.75" customHeight="1">
      <c r="B239" s="158" t="s">
        <v>146</v>
      </c>
      <c r="C239" s="235">
        <v>5.1754000000000001E-2</v>
      </c>
      <c r="D239">
        <v>0.12132</v>
      </c>
      <c r="E239">
        <v>6.6229999999999997E-2</v>
      </c>
      <c r="F239">
        <v>7.5353000000000003E-2</v>
      </c>
      <c r="G239">
        <v>5.7258000000000003E-2</v>
      </c>
      <c r="H239">
        <v>5.7452000000000003E-2</v>
      </c>
      <c r="I239">
        <v>6.7170999999999995E-2</v>
      </c>
      <c r="J239">
        <v>4.5463999999999997E-2</v>
      </c>
      <c r="K239">
        <v>5.4530000000000002E-2</v>
      </c>
      <c r="L239">
        <v>5.8879000000000001E-2</v>
      </c>
      <c r="M239">
        <v>6.4623E-2</v>
      </c>
      <c r="N239">
        <v>7.9083000000000001E-2</v>
      </c>
      <c r="O239">
        <v>7.1836999999999998E-2</v>
      </c>
      <c r="P239">
        <v>6.6294000000000006E-2</v>
      </c>
      <c r="Q239">
        <v>4.8543000000000003E-2</v>
      </c>
      <c r="R239">
        <v>4.0703000000000003E-2</v>
      </c>
      <c r="S239">
        <v>5.5176999999999997E-2</v>
      </c>
      <c r="T239">
        <v>4.2410999999999997E-2</v>
      </c>
      <c r="U239">
        <v>4.2317E-2</v>
      </c>
      <c r="V239">
        <v>5.4498999999999999E-2</v>
      </c>
      <c r="W239" s="159">
        <v>0</v>
      </c>
    </row>
    <row r="240" spans="2:23" ht="15.75" customHeight="1">
      <c r="B240" s="158" t="s">
        <v>83</v>
      </c>
      <c r="C240" s="235">
        <v>3.85487</v>
      </c>
      <c r="D240">
        <v>1.1388</v>
      </c>
      <c r="E240">
        <v>0.38039400000000001</v>
      </c>
      <c r="F240">
        <v>0.20122799999999999</v>
      </c>
      <c r="G240">
        <v>6.7530999999999994E-2</v>
      </c>
      <c r="H240">
        <v>1.12191</v>
      </c>
      <c r="I240">
        <v>0.85115499999999999</v>
      </c>
      <c r="J240">
        <v>2.8688699999999998</v>
      </c>
      <c r="K240">
        <v>4.6646799999999997</v>
      </c>
      <c r="L240">
        <v>0.37811800000000001</v>
      </c>
      <c r="M240">
        <v>7.8225000000000003E-2</v>
      </c>
      <c r="N240">
        <v>0.45319500000000001</v>
      </c>
      <c r="O240">
        <v>0.203371</v>
      </c>
      <c r="P240">
        <v>0.139627</v>
      </c>
      <c r="Q240">
        <v>0.11709</v>
      </c>
      <c r="R240">
        <v>7.6107999999999995E-2</v>
      </c>
      <c r="S240">
        <v>0.12623300000000001</v>
      </c>
      <c r="T240">
        <v>3.3000000000000002E-2</v>
      </c>
      <c r="U240">
        <v>4.5663000000000002E-2</v>
      </c>
      <c r="V240">
        <v>0.15651000000000001</v>
      </c>
      <c r="W240" s="159">
        <v>0</v>
      </c>
    </row>
    <row r="241" spans="2:23" ht="15.75" customHeight="1">
      <c r="B241" s="158" t="s">
        <v>85</v>
      </c>
      <c r="C241" s="235">
        <v>0.150481</v>
      </c>
      <c r="D241">
        <v>4.7768999999999999E-2</v>
      </c>
      <c r="E241">
        <v>6.0740000000000002E-2</v>
      </c>
      <c r="F241">
        <v>0.38074599999999997</v>
      </c>
      <c r="G241">
        <v>9.8280999999999993E-2</v>
      </c>
      <c r="H241">
        <v>0.15103900000000001</v>
      </c>
      <c r="I241">
        <v>5.2284999999999998E-2</v>
      </c>
      <c r="J241">
        <v>1.0612299999999999</v>
      </c>
      <c r="K241">
        <v>1.9299E-2</v>
      </c>
      <c r="L241">
        <v>5.0657000000000001E-2</v>
      </c>
      <c r="M241">
        <v>2.895E-2</v>
      </c>
      <c r="N241">
        <v>9.7735000000000002E-2</v>
      </c>
      <c r="O241">
        <v>4.6341E-2</v>
      </c>
      <c r="P241">
        <v>2.4006E-2</v>
      </c>
      <c r="Q241">
        <v>5.4262999999999999E-2</v>
      </c>
      <c r="R241">
        <v>0.132544</v>
      </c>
      <c r="S241">
        <v>3.8746000000000003E-2</v>
      </c>
      <c r="T241">
        <v>1.0403000000000001E-2</v>
      </c>
      <c r="U241">
        <v>1.1022000000000001E-2</v>
      </c>
      <c r="V241">
        <v>2.1583999999999999E-2</v>
      </c>
      <c r="W241" s="159">
        <v>0</v>
      </c>
    </row>
    <row r="242" spans="2:23" ht="15.75" customHeight="1">
      <c r="B242" s="158" t="s">
        <v>88</v>
      </c>
      <c r="C242" s="235">
        <v>0.118156</v>
      </c>
      <c r="D242">
        <v>7.1072999999999997E-2</v>
      </c>
      <c r="E242">
        <v>5.3887999999999998E-2</v>
      </c>
      <c r="F242">
        <v>4.7116999999999999E-2</v>
      </c>
      <c r="G242">
        <v>5.0391999999999999E-2</v>
      </c>
      <c r="H242">
        <v>8.7065000000000003E-2</v>
      </c>
      <c r="I242">
        <v>3.6568000000000003E-2</v>
      </c>
      <c r="J242">
        <v>0.108559</v>
      </c>
      <c r="K242">
        <v>3.4678E-2</v>
      </c>
      <c r="L242">
        <v>6.6087999999999994E-2</v>
      </c>
      <c r="M242">
        <v>7.2931999999999997E-2</v>
      </c>
      <c r="N242">
        <v>8.5988999999999996E-2</v>
      </c>
      <c r="O242">
        <v>6.5013000000000001E-2</v>
      </c>
      <c r="P242">
        <v>5.1756000000000003E-2</v>
      </c>
      <c r="Q242">
        <v>4.7731000000000003E-2</v>
      </c>
      <c r="R242">
        <v>6.0003000000000001E-2</v>
      </c>
      <c r="S242">
        <v>4.3449000000000002E-2</v>
      </c>
      <c r="T242">
        <v>8.8170000000000002E-3</v>
      </c>
      <c r="U242">
        <v>1.1126E-2</v>
      </c>
      <c r="V242">
        <v>5.816E-3</v>
      </c>
      <c r="W242" s="159">
        <v>0</v>
      </c>
    </row>
    <row r="243" spans="2:23" ht="15.75" customHeight="1">
      <c r="B243" s="160" t="s">
        <v>147</v>
      </c>
      <c r="C243" s="236">
        <v>0</v>
      </c>
      <c r="D243" s="237">
        <v>0</v>
      </c>
      <c r="E243" s="237">
        <v>0</v>
      </c>
      <c r="F243" s="237">
        <v>0</v>
      </c>
      <c r="G243" s="237">
        <v>0</v>
      </c>
      <c r="H243" s="237">
        <v>0</v>
      </c>
      <c r="I243" s="237">
        <v>0</v>
      </c>
      <c r="J243" s="237">
        <v>0</v>
      </c>
      <c r="K243" s="237">
        <v>0</v>
      </c>
      <c r="L243" s="237">
        <v>0</v>
      </c>
      <c r="M243" s="237">
        <v>0</v>
      </c>
      <c r="N243" s="237">
        <v>0</v>
      </c>
      <c r="O243" s="237">
        <v>0</v>
      </c>
      <c r="P243" s="237">
        <v>0</v>
      </c>
      <c r="Q243" s="237">
        <v>0</v>
      </c>
      <c r="R243" s="237">
        <v>0</v>
      </c>
      <c r="S243" s="237">
        <v>0</v>
      </c>
      <c r="T243" s="237">
        <v>0</v>
      </c>
      <c r="U243" s="237">
        <v>0</v>
      </c>
      <c r="V243" s="237">
        <v>0</v>
      </c>
      <c r="W243" s="161">
        <v>0</v>
      </c>
    </row>
    <row r="244" spans="2:23" ht="15.75" customHeight="1">
      <c r="G244"/>
      <c r="H244"/>
      <c r="I244"/>
      <c r="J244"/>
      <c r="K244"/>
      <c r="L244"/>
      <c r="M244"/>
      <c r="N244"/>
      <c r="O244"/>
      <c r="P244"/>
      <c r="Q244"/>
      <c r="R244"/>
      <c r="S244"/>
      <c r="T244"/>
      <c r="U244"/>
      <c r="V244"/>
      <c r="W244"/>
    </row>
    <row r="245" spans="2:23" ht="15.75" customHeight="1">
      <c r="B245" t="s">
        <v>1178</v>
      </c>
      <c r="G245"/>
      <c r="H245"/>
      <c r="I245"/>
      <c r="J245"/>
      <c r="K245"/>
      <c r="L245"/>
      <c r="M245"/>
      <c r="N245"/>
      <c r="O245"/>
      <c r="P245"/>
      <c r="Q245"/>
      <c r="R245"/>
      <c r="S245"/>
      <c r="T245"/>
      <c r="U245"/>
      <c r="V245"/>
      <c r="W245"/>
    </row>
    <row r="246" spans="2:23" ht="15.75" customHeight="1">
      <c r="C246" s="232" t="s">
        <v>139</v>
      </c>
      <c r="D246" s="303" t="s">
        <v>37</v>
      </c>
      <c r="E246" s="303" t="s">
        <v>140</v>
      </c>
      <c r="F246" s="303" t="s">
        <v>48</v>
      </c>
      <c r="G246" s="303" t="s">
        <v>141</v>
      </c>
      <c r="H246" s="303" t="s">
        <v>142</v>
      </c>
      <c r="I246" s="303" t="s">
        <v>143</v>
      </c>
      <c r="J246" s="303" t="s">
        <v>144</v>
      </c>
      <c r="K246" s="303" t="s">
        <v>61</v>
      </c>
      <c r="L246" s="303" t="s">
        <v>63</v>
      </c>
      <c r="M246" s="303" t="s">
        <v>65</v>
      </c>
      <c r="N246" s="303" t="s">
        <v>67</v>
      </c>
      <c r="O246" s="303" t="s">
        <v>69</v>
      </c>
      <c r="P246" s="303" t="s">
        <v>145</v>
      </c>
      <c r="Q246" s="303" t="s">
        <v>73</v>
      </c>
      <c r="R246" s="303" t="s">
        <v>75</v>
      </c>
      <c r="S246" s="303" t="s">
        <v>146</v>
      </c>
      <c r="T246" s="303" t="s">
        <v>83</v>
      </c>
      <c r="U246" s="303" t="s">
        <v>85</v>
      </c>
      <c r="V246" s="303" t="s">
        <v>88</v>
      </c>
      <c r="W246" s="244" t="s">
        <v>147</v>
      </c>
    </row>
    <row r="247" spans="2:23" ht="15.75" customHeight="1">
      <c r="B247" s="238" t="s">
        <v>139</v>
      </c>
      <c r="C247" s="313">
        <v>4671790000</v>
      </c>
      <c r="D247" s="314">
        <v>2886090</v>
      </c>
      <c r="E247" s="314">
        <v>20958500000</v>
      </c>
      <c r="F247" s="314">
        <v>5833260</v>
      </c>
      <c r="G247" s="314">
        <v>19827300</v>
      </c>
      <c r="H247" s="314">
        <v>64070100</v>
      </c>
      <c r="I247" s="314">
        <v>39920900</v>
      </c>
      <c r="J247" s="42">
        <v>742239</v>
      </c>
      <c r="K247" s="314">
        <v>31425600</v>
      </c>
      <c r="L247" s="314">
        <v>79943400</v>
      </c>
      <c r="M247" s="314">
        <v>2186850000</v>
      </c>
      <c r="N247" s="314">
        <v>151571000</v>
      </c>
      <c r="O247" s="314">
        <v>1513040000</v>
      </c>
      <c r="P247" s="314">
        <v>133382000</v>
      </c>
      <c r="Q247" s="314">
        <v>10532800</v>
      </c>
      <c r="R247" s="314">
        <v>19855100</v>
      </c>
      <c r="S247" s="314">
        <v>704366000</v>
      </c>
      <c r="T247" s="314">
        <v>49428600</v>
      </c>
      <c r="U247" s="314">
        <v>17359800</v>
      </c>
      <c r="V247" s="314">
        <v>80332600</v>
      </c>
      <c r="W247" s="234">
        <v>0</v>
      </c>
    </row>
    <row r="248" spans="2:23" ht="15.75" customHeight="1">
      <c r="B248" s="158" t="s">
        <v>37</v>
      </c>
      <c r="C248" s="306">
        <v>8907080</v>
      </c>
      <c r="D248" s="176">
        <v>39301700</v>
      </c>
      <c r="E248" s="176">
        <v>1132100000</v>
      </c>
      <c r="F248" s="176">
        <v>3070830000</v>
      </c>
      <c r="G248" s="176">
        <v>42600000</v>
      </c>
      <c r="H248" s="176">
        <v>284508000</v>
      </c>
      <c r="I248" s="176">
        <v>422946000</v>
      </c>
      <c r="J248">
        <v>85000</v>
      </c>
      <c r="K248" s="176">
        <v>41358100</v>
      </c>
      <c r="L248" s="176">
        <v>292872000</v>
      </c>
      <c r="M248" s="176">
        <v>363887000</v>
      </c>
      <c r="N248" s="176">
        <v>41456300</v>
      </c>
      <c r="O248" s="176">
        <v>49738700</v>
      </c>
      <c r="P248" s="176">
        <v>82868200</v>
      </c>
      <c r="Q248" s="176">
        <v>17112500</v>
      </c>
      <c r="R248" s="176">
        <v>39972300</v>
      </c>
      <c r="S248" s="176">
        <v>179589000</v>
      </c>
      <c r="T248" s="176">
        <v>32497300</v>
      </c>
      <c r="U248" s="176">
        <v>13485500</v>
      </c>
      <c r="V248" s="176">
        <v>46598600</v>
      </c>
      <c r="W248" s="159">
        <v>0</v>
      </c>
    </row>
    <row r="249" spans="2:23" ht="15.75" customHeight="1">
      <c r="B249" s="158" t="s">
        <v>140</v>
      </c>
      <c r="C249" s="306">
        <v>6589690000</v>
      </c>
      <c r="D249" s="176">
        <v>606444000</v>
      </c>
      <c r="E249" s="176">
        <v>220058000000</v>
      </c>
      <c r="F249" s="176">
        <v>3167240000</v>
      </c>
      <c r="G249" s="176">
        <v>18294400000</v>
      </c>
      <c r="H249" s="176">
        <v>1000860000</v>
      </c>
      <c r="I249" s="176">
        <v>647820000</v>
      </c>
      <c r="J249" s="176">
        <v>51245400</v>
      </c>
      <c r="K249" s="176">
        <v>2588910000</v>
      </c>
      <c r="L249" s="176">
        <v>31591100000</v>
      </c>
      <c r="M249" s="176">
        <v>14628100000</v>
      </c>
      <c r="N249" s="176">
        <v>4600680000</v>
      </c>
      <c r="O249" s="176">
        <v>15954200000</v>
      </c>
      <c r="P249" s="176">
        <v>11885600000</v>
      </c>
      <c r="Q249" s="176">
        <v>2125400000</v>
      </c>
      <c r="R249" s="176">
        <v>2246750000</v>
      </c>
      <c r="S249" s="176">
        <v>17817700000</v>
      </c>
      <c r="T249" s="176">
        <v>1382360000</v>
      </c>
      <c r="U249" s="176">
        <v>613925000</v>
      </c>
      <c r="V249" s="176">
        <v>6485640000</v>
      </c>
      <c r="W249" s="159">
        <v>0</v>
      </c>
    </row>
    <row r="250" spans="2:23" ht="15.75" customHeight="1">
      <c r="B250" s="158" t="s">
        <v>48</v>
      </c>
      <c r="C250" s="306">
        <v>1178360000</v>
      </c>
      <c r="D250" s="176">
        <v>146274000</v>
      </c>
      <c r="E250" s="176">
        <v>7544000000</v>
      </c>
      <c r="F250" s="176">
        <v>5377440000</v>
      </c>
      <c r="G250" s="176">
        <v>134409000</v>
      </c>
      <c r="H250" s="176">
        <v>2097480000</v>
      </c>
      <c r="I250" s="176">
        <v>87786700</v>
      </c>
      <c r="J250" s="176">
        <v>2069880</v>
      </c>
      <c r="K250" s="176">
        <v>817555000</v>
      </c>
      <c r="L250" s="176">
        <v>1725260000</v>
      </c>
      <c r="M250" s="176">
        <v>1062430000</v>
      </c>
      <c r="N250" s="176">
        <v>6695040000</v>
      </c>
      <c r="O250" s="176">
        <v>67368800</v>
      </c>
      <c r="P250" s="176">
        <v>130669000</v>
      </c>
      <c r="Q250" s="176">
        <v>42715000</v>
      </c>
      <c r="R250" s="176">
        <v>7557610</v>
      </c>
      <c r="S250" s="176">
        <v>899571000</v>
      </c>
      <c r="T250" s="176">
        <v>291929000</v>
      </c>
      <c r="U250" s="176">
        <v>8791650</v>
      </c>
      <c r="V250" s="176">
        <v>88623100</v>
      </c>
      <c r="W250" s="159">
        <v>0</v>
      </c>
    </row>
    <row r="251" spans="2:23" ht="15.75" customHeight="1">
      <c r="B251" s="158" t="s">
        <v>141</v>
      </c>
      <c r="C251" s="306">
        <v>78567600</v>
      </c>
      <c r="D251" s="176">
        <v>53486000</v>
      </c>
      <c r="E251" s="176">
        <v>4553780000</v>
      </c>
      <c r="F251" s="176">
        <v>108631000</v>
      </c>
      <c r="G251" s="176">
        <v>4144270000</v>
      </c>
      <c r="H251" s="176">
        <v>78246000</v>
      </c>
      <c r="I251" s="176">
        <v>49222700</v>
      </c>
      <c r="J251" s="176">
        <v>2460380</v>
      </c>
      <c r="K251" s="176">
        <v>193113000</v>
      </c>
      <c r="L251" s="176">
        <v>966174000</v>
      </c>
      <c r="M251" s="176">
        <v>2169510000</v>
      </c>
      <c r="N251" s="176">
        <v>1661190000</v>
      </c>
      <c r="O251" s="176">
        <v>182408000</v>
      </c>
      <c r="P251" s="176">
        <v>722227000</v>
      </c>
      <c r="Q251" s="176">
        <v>129604000</v>
      </c>
      <c r="R251" s="176">
        <v>202483000</v>
      </c>
      <c r="S251" s="176">
        <v>1708700000</v>
      </c>
      <c r="T251" s="176">
        <v>142551000</v>
      </c>
      <c r="U251" s="176">
        <v>43734700</v>
      </c>
      <c r="V251" s="176">
        <v>182821000</v>
      </c>
      <c r="W251" s="159">
        <v>0</v>
      </c>
    </row>
    <row r="252" spans="2:23" ht="15.75" customHeight="1">
      <c r="B252" s="158" t="s">
        <v>142</v>
      </c>
      <c r="C252" s="306">
        <v>874490000</v>
      </c>
      <c r="D252" s="176">
        <v>148999000</v>
      </c>
      <c r="E252" s="176">
        <v>13970500000</v>
      </c>
      <c r="F252" s="176">
        <v>1018290000</v>
      </c>
      <c r="G252" s="176">
        <v>564935000</v>
      </c>
      <c r="H252" s="176">
        <v>21419700000</v>
      </c>
      <c r="I252" s="176">
        <v>22635000</v>
      </c>
      <c r="J252">
        <v>984436</v>
      </c>
      <c r="K252" s="176">
        <v>869334000</v>
      </c>
      <c r="L252" s="176">
        <v>677108000</v>
      </c>
      <c r="M252" s="176">
        <v>3664240000</v>
      </c>
      <c r="N252" s="176">
        <v>1123890000</v>
      </c>
      <c r="O252" s="176">
        <v>1403710000</v>
      </c>
      <c r="P252" s="176">
        <v>1680530000</v>
      </c>
      <c r="Q252" s="176">
        <v>459783000</v>
      </c>
      <c r="R252" s="176">
        <v>116641000</v>
      </c>
      <c r="S252" s="176">
        <v>2301800000</v>
      </c>
      <c r="T252" s="176">
        <v>1645210000</v>
      </c>
      <c r="U252" s="176">
        <v>325515000</v>
      </c>
      <c r="V252" s="176">
        <v>854927000</v>
      </c>
      <c r="W252" s="159">
        <v>0</v>
      </c>
    </row>
    <row r="253" spans="2:23" ht="15.75" customHeight="1">
      <c r="B253" s="158" t="s">
        <v>143</v>
      </c>
      <c r="C253" s="306">
        <v>37842200</v>
      </c>
      <c r="D253" s="176">
        <v>45006000</v>
      </c>
      <c r="E253" s="176">
        <v>2211130000</v>
      </c>
      <c r="F253" s="176">
        <v>65101400</v>
      </c>
      <c r="G253" s="176">
        <v>7255650</v>
      </c>
      <c r="H253" s="176">
        <v>5227500000</v>
      </c>
      <c r="I253" s="176">
        <v>2615510</v>
      </c>
      <c r="J253" s="176">
        <v>15619000</v>
      </c>
      <c r="K253" s="176">
        <v>214932000</v>
      </c>
      <c r="L253" s="176">
        <v>217751000</v>
      </c>
      <c r="M253" s="176">
        <v>191739000</v>
      </c>
      <c r="N253" s="176">
        <v>97493100</v>
      </c>
      <c r="O253" s="176">
        <v>392886000</v>
      </c>
      <c r="P253" s="176">
        <v>451079000</v>
      </c>
      <c r="Q253" s="176">
        <v>137033000</v>
      </c>
      <c r="R253" s="176">
        <v>31453600</v>
      </c>
      <c r="S253" s="176">
        <v>418065000</v>
      </c>
      <c r="T253" s="176">
        <v>511354000</v>
      </c>
      <c r="U253" s="176">
        <v>109598000</v>
      </c>
      <c r="V253" s="176">
        <v>313897000</v>
      </c>
      <c r="W253" s="159">
        <v>0</v>
      </c>
    </row>
    <row r="254" spans="2:23" ht="15.75" customHeight="1">
      <c r="B254" s="158" t="s">
        <v>144</v>
      </c>
      <c r="C254" s="306">
        <v>1323190</v>
      </c>
      <c r="D254">
        <v>266539</v>
      </c>
      <c r="E254" s="176">
        <v>24072500</v>
      </c>
      <c r="F254">
        <v>38852</v>
      </c>
      <c r="G254" s="176">
        <v>3211160</v>
      </c>
      <c r="H254" s="176">
        <v>2011860</v>
      </c>
      <c r="I254" s="176">
        <v>4837710</v>
      </c>
      <c r="J254">
        <v>210188</v>
      </c>
      <c r="K254">
        <v>346008</v>
      </c>
      <c r="L254" s="176">
        <v>31723600</v>
      </c>
      <c r="M254" s="176">
        <v>5748960</v>
      </c>
      <c r="N254" s="176">
        <v>1784470</v>
      </c>
      <c r="O254">
        <v>653990</v>
      </c>
      <c r="P254" s="176">
        <v>4571320</v>
      </c>
      <c r="Q254" s="176">
        <v>1751050</v>
      </c>
      <c r="R254">
        <v>108340</v>
      </c>
      <c r="S254" s="176">
        <v>3448630</v>
      </c>
      <c r="T254" s="176">
        <v>1706790</v>
      </c>
      <c r="U254">
        <v>879165</v>
      </c>
      <c r="V254">
        <v>899096</v>
      </c>
      <c r="W254" s="159">
        <v>0</v>
      </c>
    </row>
    <row r="255" spans="2:23" ht="15.75" customHeight="1">
      <c r="B255" s="158" t="s">
        <v>61</v>
      </c>
      <c r="C255" s="306">
        <v>396648000</v>
      </c>
      <c r="D255" s="176">
        <v>240216000</v>
      </c>
      <c r="E255" s="176">
        <v>10092800000</v>
      </c>
      <c r="F255" s="176">
        <v>188811000</v>
      </c>
      <c r="G255" s="176">
        <v>467738000</v>
      </c>
      <c r="H255" s="176">
        <v>925890000</v>
      </c>
      <c r="I255" s="176">
        <v>665028000</v>
      </c>
      <c r="J255" s="176">
        <v>7459020</v>
      </c>
      <c r="K255" s="176">
        <v>8333290000</v>
      </c>
      <c r="L255" s="176">
        <v>922268000</v>
      </c>
      <c r="M255" s="176">
        <v>963513000</v>
      </c>
      <c r="N255" s="176">
        <v>520979000</v>
      </c>
      <c r="O255" s="176">
        <v>304736000</v>
      </c>
      <c r="P255" s="176">
        <v>1578460000</v>
      </c>
      <c r="Q255" s="176">
        <v>176166000</v>
      </c>
      <c r="R255" s="176">
        <v>122757000</v>
      </c>
      <c r="S255" s="176">
        <v>1139020000</v>
      </c>
      <c r="T255" s="176">
        <v>321559000</v>
      </c>
      <c r="U255" s="176">
        <v>78603300</v>
      </c>
      <c r="V255" s="176">
        <v>430823000</v>
      </c>
      <c r="W255" s="159">
        <v>0</v>
      </c>
    </row>
    <row r="256" spans="2:23" ht="15.75" customHeight="1">
      <c r="B256" s="158" t="s">
        <v>63</v>
      </c>
      <c r="C256" s="306">
        <v>595436000</v>
      </c>
      <c r="D256" s="176">
        <v>55633600</v>
      </c>
      <c r="E256" s="176">
        <v>5111370000</v>
      </c>
      <c r="F256" s="176">
        <v>364524000</v>
      </c>
      <c r="G256" s="176">
        <v>718022000</v>
      </c>
      <c r="H256" s="176">
        <v>491823000</v>
      </c>
      <c r="I256" s="176">
        <v>27826700</v>
      </c>
      <c r="J256" s="176">
        <v>1167950</v>
      </c>
      <c r="K256" s="176">
        <v>426404000</v>
      </c>
      <c r="L256" s="176">
        <v>73400500000</v>
      </c>
      <c r="M256" s="176">
        <v>2576110000</v>
      </c>
      <c r="N256" s="176">
        <v>1368280000</v>
      </c>
      <c r="O256" s="176">
        <v>726677000</v>
      </c>
      <c r="P256" s="176">
        <v>2212180000</v>
      </c>
      <c r="Q256" s="176">
        <v>666592000</v>
      </c>
      <c r="R256" s="176">
        <v>1719030000</v>
      </c>
      <c r="S256" s="176">
        <v>3828950000</v>
      </c>
      <c r="T256" s="176">
        <v>2626820000</v>
      </c>
      <c r="U256" s="176">
        <v>460071000</v>
      </c>
      <c r="V256" s="176">
        <v>1919260000</v>
      </c>
      <c r="W256" s="159">
        <v>0</v>
      </c>
    </row>
    <row r="257" spans="2:23" ht="15.75" customHeight="1">
      <c r="B257" s="158" t="s">
        <v>65</v>
      </c>
      <c r="C257" s="306">
        <v>1611050000</v>
      </c>
      <c r="D257" s="176">
        <v>229257000</v>
      </c>
      <c r="E257" s="176">
        <v>45628500000</v>
      </c>
      <c r="F257" s="176">
        <v>3483780000</v>
      </c>
      <c r="G257" s="176">
        <v>5239870000</v>
      </c>
      <c r="H257" s="176">
        <v>1718750000</v>
      </c>
      <c r="I257" s="176">
        <v>1160480000</v>
      </c>
      <c r="J257" s="176">
        <v>155205000</v>
      </c>
      <c r="K257" s="176">
        <v>1828470000</v>
      </c>
      <c r="L257" s="176">
        <v>6015050000</v>
      </c>
      <c r="M257" s="176">
        <v>15298000000</v>
      </c>
      <c r="N257" s="176">
        <v>4482180000</v>
      </c>
      <c r="O257" s="176">
        <v>3203070000</v>
      </c>
      <c r="P257" s="176">
        <v>5599550000</v>
      </c>
      <c r="Q257" s="176">
        <v>1705810000</v>
      </c>
      <c r="R257" s="176">
        <v>772580000</v>
      </c>
      <c r="S257" s="176">
        <v>11809300000</v>
      </c>
      <c r="T257" s="176">
        <v>723406000</v>
      </c>
      <c r="U257" s="176">
        <v>267624000</v>
      </c>
      <c r="V257" s="176">
        <v>2856520000</v>
      </c>
      <c r="W257" s="159">
        <v>0</v>
      </c>
    </row>
    <row r="258" spans="2:23" ht="15.75" customHeight="1">
      <c r="B258" s="158" t="s">
        <v>67</v>
      </c>
      <c r="C258" s="306">
        <v>883088000</v>
      </c>
      <c r="D258" s="176">
        <v>281996000</v>
      </c>
      <c r="E258" s="176">
        <v>19936300000</v>
      </c>
      <c r="F258" s="176">
        <v>1574820000</v>
      </c>
      <c r="G258" s="176">
        <v>1318590000</v>
      </c>
      <c r="H258" s="176">
        <v>1067830000</v>
      </c>
      <c r="I258" s="176">
        <v>1991540000</v>
      </c>
      <c r="J258" s="176">
        <v>23507700</v>
      </c>
      <c r="K258" s="176">
        <v>671581000</v>
      </c>
      <c r="L258" s="176">
        <v>2764770000</v>
      </c>
      <c r="M258" s="176">
        <v>10411700000</v>
      </c>
      <c r="N258" s="176">
        <v>7938400000</v>
      </c>
      <c r="O258" s="176">
        <v>897758000</v>
      </c>
      <c r="P258" s="176">
        <v>1851700000</v>
      </c>
      <c r="Q258" s="176">
        <v>733052000</v>
      </c>
      <c r="R258" s="176">
        <v>171029000</v>
      </c>
      <c r="S258" s="176">
        <v>9645420000</v>
      </c>
      <c r="T258" s="176">
        <v>1417180000</v>
      </c>
      <c r="U258" s="176">
        <v>299587000</v>
      </c>
      <c r="V258" s="176">
        <v>654382000</v>
      </c>
      <c r="W258" s="159">
        <v>0</v>
      </c>
    </row>
    <row r="259" spans="2:23" ht="15.75" customHeight="1">
      <c r="B259" s="158" t="s">
        <v>69</v>
      </c>
      <c r="C259" s="306">
        <v>44998800</v>
      </c>
      <c r="D259" s="176">
        <v>34242600</v>
      </c>
      <c r="E259" s="176">
        <v>3305550000</v>
      </c>
      <c r="F259" s="176">
        <v>86618500</v>
      </c>
      <c r="G259" s="176">
        <v>528800000</v>
      </c>
      <c r="H259" s="176">
        <v>229662000</v>
      </c>
      <c r="I259" s="176">
        <v>367115000</v>
      </c>
      <c r="J259" s="176">
        <v>3031550</v>
      </c>
      <c r="K259" s="176">
        <v>36025500</v>
      </c>
      <c r="L259" s="176">
        <v>2701830000</v>
      </c>
      <c r="M259" s="176">
        <v>2932610000</v>
      </c>
      <c r="N259" s="176">
        <v>564067000</v>
      </c>
      <c r="O259" s="176">
        <v>616267000</v>
      </c>
      <c r="P259" s="176">
        <v>1838760000</v>
      </c>
      <c r="Q259" s="176">
        <v>280566000</v>
      </c>
      <c r="R259" s="176">
        <v>382686000</v>
      </c>
      <c r="S259" s="176">
        <v>3610650000</v>
      </c>
      <c r="T259" s="176">
        <v>390650000</v>
      </c>
      <c r="U259" s="176">
        <v>195055000</v>
      </c>
      <c r="V259" s="176">
        <v>1597360000</v>
      </c>
      <c r="W259" s="159">
        <v>0</v>
      </c>
    </row>
    <row r="260" spans="2:23" ht="15.75" customHeight="1">
      <c r="B260" s="158" t="s">
        <v>145</v>
      </c>
      <c r="C260" s="306">
        <v>310203000</v>
      </c>
      <c r="D260" s="176">
        <v>156146000</v>
      </c>
      <c r="E260" s="176">
        <v>11952400000</v>
      </c>
      <c r="F260" s="176">
        <v>352472000</v>
      </c>
      <c r="G260" s="176">
        <v>2013910000</v>
      </c>
      <c r="H260" s="176">
        <v>912086000</v>
      </c>
      <c r="I260" s="176">
        <v>1422350000</v>
      </c>
      <c r="J260" s="176">
        <v>6167660</v>
      </c>
      <c r="K260" s="176">
        <v>1315400000</v>
      </c>
      <c r="L260" s="176">
        <v>5230590000</v>
      </c>
      <c r="M260" s="176">
        <v>11266700000</v>
      </c>
      <c r="N260" s="176">
        <v>1424970000</v>
      </c>
      <c r="O260" s="176">
        <v>1939810000</v>
      </c>
      <c r="P260" s="176">
        <v>26783300000</v>
      </c>
      <c r="Q260" s="176">
        <v>5539810000</v>
      </c>
      <c r="R260" s="176">
        <v>1098040000</v>
      </c>
      <c r="S260" s="176">
        <v>18705200000</v>
      </c>
      <c r="T260" s="176">
        <v>2782750000</v>
      </c>
      <c r="U260" s="176">
        <v>682619000</v>
      </c>
      <c r="V260" s="176">
        <v>3195290000</v>
      </c>
      <c r="W260" s="159">
        <v>0</v>
      </c>
    </row>
    <row r="261" spans="2:23" ht="15.75" customHeight="1">
      <c r="B261" s="158" t="s">
        <v>73</v>
      </c>
      <c r="C261" s="306">
        <v>742377000</v>
      </c>
      <c r="D261" s="176">
        <v>98254400</v>
      </c>
      <c r="E261" s="176">
        <v>14571200000</v>
      </c>
      <c r="F261" s="176">
        <v>334422000</v>
      </c>
      <c r="G261" s="176">
        <v>935691000</v>
      </c>
      <c r="H261" s="176">
        <v>617301000</v>
      </c>
      <c r="I261" s="176">
        <v>311777000</v>
      </c>
      <c r="J261" s="176">
        <v>1619980</v>
      </c>
      <c r="K261" s="176">
        <v>664213000</v>
      </c>
      <c r="L261" s="176">
        <v>6596220000</v>
      </c>
      <c r="M261" s="176">
        <v>15497800000</v>
      </c>
      <c r="N261" s="176">
        <v>1991650000</v>
      </c>
      <c r="O261" s="176">
        <v>2560700000</v>
      </c>
      <c r="P261" s="176">
        <v>4881920000</v>
      </c>
      <c r="Q261" s="176">
        <v>24430300000</v>
      </c>
      <c r="R261" s="176">
        <v>9522590000</v>
      </c>
      <c r="S261" s="176">
        <v>7799100000</v>
      </c>
      <c r="T261" s="176">
        <v>3990200000</v>
      </c>
      <c r="U261" s="176">
        <v>451950000</v>
      </c>
      <c r="V261" s="176">
        <v>1732440000</v>
      </c>
      <c r="W261" s="159">
        <v>0</v>
      </c>
    </row>
    <row r="262" spans="2:23" ht="15.75" customHeight="1">
      <c r="B262" s="158" t="s">
        <v>75</v>
      </c>
      <c r="C262" s="306">
        <v>56171200</v>
      </c>
      <c r="D262" s="176">
        <v>29548500</v>
      </c>
      <c r="E262" s="176">
        <v>7761650000</v>
      </c>
      <c r="F262" s="176">
        <v>36815600</v>
      </c>
      <c r="G262" s="176">
        <v>466229000</v>
      </c>
      <c r="H262" s="176">
        <v>360526000</v>
      </c>
      <c r="I262" s="176">
        <v>483692000</v>
      </c>
      <c r="J262" s="176">
        <v>3741780</v>
      </c>
      <c r="K262" s="176">
        <v>286006000</v>
      </c>
      <c r="L262" s="176">
        <v>2095790000</v>
      </c>
      <c r="M262" s="176">
        <v>16101600000</v>
      </c>
      <c r="N262" s="176">
        <v>2174450000</v>
      </c>
      <c r="O262" s="176">
        <v>5076300000</v>
      </c>
      <c r="P262" s="176">
        <v>4891100000</v>
      </c>
      <c r="Q262" s="176">
        <v>3841690000</v>
      </c>
      <c r="R262" s="176">
        <v>1687360000</v>
      </c>
      <c r="S262" s="176">
        <v>6048440000</v>
      </c>
      <c r="T262" s="176">
        <v>1444760000</v>
      </c>
      <c r="U262" s="176">
        <v>727472000</v>
      </c>
      <c r="V262" s="176">
        <v>1581210000</v>
      </c>
      <c r="W262" s="159">
        <v>0</v>
      </c>
    </row>
    <row r="263" spans="2:23" ht="15.75" customHeight="1">
      <c r="B263" s="158" t="s">
        <v>146</v>
      </c>
      <c r="C263" s="306">
        <v>791082000</v>
      </c>
      <c r="D263" s="176">
        <v>677306000</v>
      </c>
      <c r="E263" s="176">
        <v>41805400000</v>
      </c>
      <c r="F263" s="176">
        <v>1884910000</v>
      </c>
      <c r="G263" s="176">
        <v>5861990000</v>
      </c>
      <c r="H263" s="176">
        <v>1170720000</v>
      </c>
      <c r="I263" s="176">
        <v>1402330000</v>
      </c>
      <c r="J263" s="176">
        <v>8391530</v>
      </c>
      <c r="K263" s="176">
        <v>5404230000</v>
      </c>
      <c r="L263" s="176">
        <v>19989900000</v>
      </c>
      <c r="M263" s="176">
        <v>40249500000</v>
      </c>
      <c r="N263" s="176">
        <v>14477500000</v>
      </c>
      <c r="O263" s="176">
        <v>6870440000</v>
      </c>
      <c r="P263" s="176">
        <v>29078000000</v>
      </c>
      <c r="Q263" s="176">
        <v>8212150000</v>
      </c>
      <c r="R263" s="176">
        <v>7724270000</v>
      </c>
      <c r="S263" s="176">
        <v>53268300000</v>
      </c>
      <c r="T263" s="176">
        <v>8256900000</v>
      </c>
      <c r="U263" s="176">
        <v>4341730000</v>
      </c>
      <c r="V263" s="176">
        <v>10708000000</v>
      </c>
      <c r="W263" s="159">
        <v>0</v>
      </c>
    </row>
    <row r="264" spans="2:23" ht="15.75" customHeight="1">
      <c r="B264" s="158" t="s">
        <v>83</v>
      </c>
      <c r="C264" s="306">
        <v>1570320</v>
      </c>
      <c r="D264" s="176">
        <v>4312160</v>
      </c>
      <c r="E264" s="176">
        <v>612195000</v>
      </c>
      <c r="F264" s="176">
        <v>51233700</v>
      </c>
      <c r="G264" s="176">
        <v>193316000</v>
      </c>
      <c r="H264" s="176">
        <v>25132800</v>
      </c>
      <c r="I264" s="176">
        <v>19075500</v>
      </c>
      <c r="J264">
        <v>57259</v>
      </c>
      <c r="K264" s="176">
        <v>31059300</v>
      </c>
      <c r="L264" s="176">
        <v>69791900</v>
      </c>
      <c r="M264" s="176">
        <v>719102000</v>
      </c>
      <c r="N264" s="176">
        <v>55383900</v>
      </c>
      <c r="O264" s="176">
        <v>48655300</v>
      </c>
      <c r="P264" s="176">
        <v>367375000</v>
      </c>
      <c r="Q264" s="176">
        <v>97103600</v>
      </c>
      <c r="R264" s="176">
        <v>61815100</v>
      </c>
      <c r="S264" s="176">
        <v>457431000</v>
      </c>
      <c r="T264" s="176">
        <v>256565000</v>
      </c>
      <c r="U264" s="176">
        <v>66086400</v>
      </c>
      <c r="V264" s="176">
        <v>130219000</v>
      </c>
      <c r="W264" s="159">
        <v>0</v>
      </c>
    </row>
    <row r="265" spans="2:23" ht="15.75" customHeight="1">
      <c r="B265" s="158" t="s">
        <v>85</v>
      </c>
      <c r="C265" s="306">
        <v>4108580</v>
      </c>
      <c r="D265" s="176">
        <v>12877000</v>
      </c>
      <c r="E265" s="176">
        <v>546823000</v>
      </c>
      <c r="F265" s="176">
        <v>6768790</v>
      </c>
      <c r="G265" s="176">
        <v>70904200</v>
      </c>
      <c r="H265" s="176">
        <v>10152200</v>
      </c>
      <c r="I265" s="176">
        <v>21396000</v>
      </c>
      <c r="J265">
        <v>162887</v>
      </c>
      <c r="K265" s="176">
        <v>95335300</v>
      </c>
      <c r="L265" s="176">
        <v>140599000</v>
      </c>
      <c r="M265" s="176">
        <v>594167000</v>
      </c>
      <c r="N265" s="176">
        <v>54078200</v>
      </c>
      <c r="O265" s="176">
        <v>52890400</v>
      </c>
      <c r="P265" s="176">
        <v>724940000</v>
      </c>
      <c r="Q265" s="176">
        <v>56113100</v>
      </c>
      <c r="R265" s="176">
        <v>12188300</v>
      </c>
      <c r="S265" s="176">
        <v>521198000</v>
      </c>
      <c r="T265" s="176">
        <v>877973000</v>
      </c>
      <c r="U265" s="176">
        <v>372378000</v>
      </c>
      <c r="V265" s="176">
        <v>358495000</v>
      </c>
      <c r="W265" s="159">
        <v>0</v>
      </c>
    </row>
    <row r="266" spans="2:23" ht="15.75" customHeight="1">
      <c r="B266" s="158" t="s">
        <v>88</v>
      </c>
      <c r="C266" s="306">
        <v>4371160</v>
      </c>
      <c r="D266" s="176">
        <v>4728090</v>
      </c>
      <c r="E266" s="176">
        <v>438381000</v>
      </c>
      <c r="F266" s="176">
        <v>15848900</v>
      </c>
      <c r="G266" s="176">
        <v>63792200</v>
      </c>
      <c r="H266" s="176">
        <v>11328300</v>
      </c>
      <c r="I266" s="176">
        <v>12212300</v>
      </c>
      <c r="J266">
        <v>378410</v>
      </c>
      <c r="K266" s="176">
        <v>29390300</v>
      </c>
      <c r="L266" s="176">
        <v>111667000</v>
      </c>
      <c r="M266" s="176">
        <v>108235000</v>
      </c>
      <c r="N266" s="176">
        <v>36342300</v>
      </c>
      <c r="O266" s="176">
        <v>30040200</v>
      </c>
      <c r="P266" s="176">
        <v>180974000</v>
      </c>
      <c r="Q266" s="176">
        <v>36082200</v>
      </c>
      <c r="R266" s="176">
        <v>18872200</v>
      </c>
      <c r="S266" s="176">
        <v>266455000</v>
      </c>
      <c r="T266" s="176">
        <v>690635000</v>
      </c>
      <c r="U266" s="176">
        <v>148489000</v>
      </c>
      <c r="V266" s="176">
        <v>11177800000</v>
      </c>
      <c r="W266" s="159">
        <v>0</v>
      </c>
    </row>
    <row r="267" spans="2:23" ht="15.75" customHeight="1">
      <c r="B267" s="160" t="s">
        <v>147</v>
      </c>
      <c r="C267" s="236">
        <v>0</v>
      </c>
      <c r="D267" s="237">
        <v>0</v>
      </c>
      <c r="E267" s="237">
        <v>0</v>
      </c>
      <c r="F267" s="237">
        <v>0</v>
      </c>
      <c r="G267" s="237">
        <v>0</v>
      </c>
      <c r="H267" s="237">
        <v>0</v>
      </c>
      <c r="I267" s="237">
        <v>0</v>
      </c>
      <c r="J267" s="237">
        <v>0</v>
      </c>
      <c r="K267" s="237">
        <v>0</v>
      </c>
      <c r="L267" s="237">
        <v>0</v>
      </c>
      <c r="M267" s="237">
        <v>0</v>
      </c>
      <c r="N267" s="237">
        <v>0</v>
      </c>
      <c r="O267" s="237">
        <v>0</v>
      </c>
      <c r="P267" s="237">
        <v>0</v>
      </c>
      <c r="Q267" s="237">
        <v>0</v>
      </c>
      <c r="R267" s="237">
        <v>0</v>
      </c>
      <c r="S267" s="237">
        <v>0</v>
      </c>
      <c r="T267" s="237">
        <v>0</v>
      </c>
      <c r="U267" s="237">
        <v>0</v>
      </c>
      <c r="V267" s="237">
        <v>0</v>
      </c>
      <c r="W267" s="161">
        <v>0</v>
      </c>
    </row>
    <row r="268" spans="2:23" ht="15.75" customHeight="1"/>
    <row r="269" spans="2:23" ht="15.75" customHeight="1"/>
    <row r="270" spans="2:23" ht="15.75" customHeight="1"/>
    <row r="271" spans="2:23" ht="15.75" customHeight="1"/>
    <row r="272" spans="2:23"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0">
    <mergeCell ref="B95:W95"/>
    <mergeCell ref="B118:W118"/>
    <mergeCell ref="B71:W71"/>
    <mergeCell ref="D141:W141"/>
    <mergeCell ref="B167:C167"/>
    <mergeCell ref="B3:B23"/>
    <mergeCell ref="B24:B44"/>
    <mergeCell ref="B45:B65"/>
    <mergeCell ref="B1:G1"/>
    <mergeCell ref="B72:W72"/>
  </mergeCells>
  <phoneticPr fontId="26" type="noConversion"/>
  <conditionalFormatting sqref="P3:T3 P4:S65">
    <cfRule type="colorScale" priority="2">
      <colorScale>
        <cfvo type="min"/>
        <cfvo type="percentile" val="50"/>
        <cfvo type="max"/>
        <color rgb="FFF8696B"/>
        <color rgb="FFFFEB84"/>
        <color rgb="FF63BE7B"/>
      </colorScale>
    </cfRule>
  </conditionalFormatting>
  <pageMargins left="0.7" right="0.7" top="0.75" bottom="0.75" header="0" footer="0"/>
  <pageSetup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theme="4" tint="0.79998168889431442"/>
  </sheetPr>
  <dimension ref="A1:AP1006"/>
  <sheetViews>
    <sheetView zoomScale="40" zoomScaleNormal="40" workbookViewId="0">
      <selection activeCell="K73" sqref="K73"/>
    </sheetView>
  </sheetViews>
  <sheetFormatPr defaultColWidth="12.58203125" defaultRowHeight="15" customHeight="1"/>
  <cols>
    <col min="1" max="1" width="10.75" style="1" customWidth="1"/>
    <col min="2" max="2" width="10.75" customWidth="1"/>
    <col min="3" max="33" width="8.25" style="45" customWidth="1"/>
    <col min="34" max="34" width="8.33203125" customWidth="1"/>
    <col min="35" max="40" width="10.75" customWidth="1"/>
  </cols>
  <sheetData>
    <row r="1" spans="1:42" s="1" customFormat="1" ht="15" customHeight="1">
      <c r="A1" s="62" t="s">
        <v>152</v>
      </c>
      <c r="B1" s="57"/>
      <c r="C1" s="58" t="s">
        <v>31</v>
      </c>
      <c r="D1" s="58" t="s">
        <v>33</v>
      </c>
      <c r="E1" s="58" t="s">
        <v>35</v>
      </c>
      <c r="F1" s="58" t="s">
        <v>37</v>
      </c>
      <c r="G1" s="58" t="s">
        <v>39</v>
      </c>
      <c r="H1" s="58" t="s">
        <v>41</v>
      </c>
      <c r="I1" s="58" t="s">
        <v>43</v>
      </c>
      <c r="J1" s="58" t="s">
        <v>46</v>
      </c>
      <c r="K1" s="58" t="s">
        <v>48</v>
      </c>
      <c r="L1" s="58" t="s">
        <v>50</v>
      </c>
      <c r="M1" s="58" t="s">
        <v>52</v>
      </c>
      <c r="N1" s="58" t="s">
        <v>54</v>
      </c>
      <c r="O1" s="58" t="s">
        <v>56</v>
      </c>
      <c r="P1" s="58" t="s">
        <v>58</v>
      </c>
      <c r="Q1" s="58" t="s">
        <v>61</v>
      </c>
      <c r="R1" s="58" t="s">
        <v>63</v>
      </c>
      <c r="S1" s="58" t="s">
        <v>65</v>
      </c>
      <c r="T1" s="58" t="s">
        <v>67</v>
      </c>
      <c r="U1" s="58" t="s">
        <v>69</v>
      </c>
      <c r="V1" s="58" t="s">
        <v>71</v>
      </c>
      <c r="W1" s="58" t="s">
        <v>73</v>
      </c>
      <c r="X1" s="58" t="s">
        <v>75</v>
      </c>
      <c r="Y1" s="58" t="s">
        <v>77</v>
      </c>
      <c r="Z1" s="58" t="s">
        <v>79</v>
      </c>
      <c r="AA1" s="58" t="s">
        <v>81</v>
      </c>
      <c r="AB1" s="58" t="s">
        <v>83</v>
      </c>
      <c r="AC1" s="58" t="s">
        <v>85</v>
      </c>
      <c r="AD1" s="58" t="s">
        <v>88</v>
      </c>
      <c r="AE1" s="58" t="s">
        <v>91</v>
      </c>
      <c r="AF1" s="58" t="s">
        <v>93</v>
      </c>
      <c r="AG1" s="58" t="s">
        <v>95</v>
      </c>
      <c r="AH1"/>
    </row>
    <row r="2" spans="1:42" ht="15" customHeight="1">
      <c r="B2" s="1" t="s">
        <v>31</v>
      </c>
      <c r="C2" s="46">
        <v>69670000</v>
      </c>
      <c r="D2" s="173">
        <v>0</v>
      </c>
      <c r="E2" s="173">
        <v>0</v>
      </c>
      <c r="F2" s="173">
        <v>0</v>
      </c>
      <c r="G2" s="47">
        <v>277890000</v>
      </c>
      <c r="H2" s="45">
        <v>70000</v>
      </c>
      <c r="I2" s="45">
        <v>140000</v>
      </c>
      <c r="J2" s="45">
        <v>63260000</v>
      </c>
      <c r="K2" s="173">
        <v>0</v>
      </c>
      <c r="L2" s="173">
        <v>0</v>
      </c>
      <c r="M2" s="45">
        <v>0</v>
      </c>
      <c r="N2" s="45">
        <v>0</v>
      </c>
      <c r="O2" s="45">
        <v>220000</v>
      </c>
      <c r="P2" s="173">
        <v>0</v>
      </c>
      <c r="Q2" s="46">
        <v>0</v>
      </c>
      <c r="R2" s="46">
        <v>20000</v>
      </c>
      <c r="S2" s="47">
        <v>0</v>
      </c>
      <c r="T2" s="46">
        <v>0</v>
      </c>
      <c r="U2" s="47">
        <v>34580000</v>
      </c>
      <c r="V2" s="46">
        <v>0</v>
      </c>
      <c r="W2" s="46">
        <v>0</v>
      </c>
      <c r="X2" s="46">
        <v>0</v>
      </c>
      <c r="Y2" s="47">
        <v>830000</v>
      </c>
      <c r="Z2" s="173">
        <v>0</v>
      </c>
      <c r="AA2" s="173">
        <v>0</v>
      </c>
      <c r="AB2" s="46">
        <v>7320000</v>
      </c>
      <c r="AC2" s="46">
        <v>3020000</v>
      </c>
      <c r="AD2" s="46">
        <v>6370000</v>
      </c>
      <c r="AE2" s="46">
        <v>750000</v>
      </c>
      <c r="AF2" s="173">
        <v>0</v>
      </c>
      <c r="AG2" s="46">
        <v>110000</v>
      </c>
      <c r="AO2" s="3"/>
      <c r="AP2" s="39"/>
    </row>
    <row r="3" spans="1:42" ht="15" customHeight="1">
      <c r="B3" s="1" t="s">
        <v>33</v>
      </c>
      <c r="C3" s="46">
        <v>130000</v>
      </c>
      <c r="D3" s="45">
        <v>3040000</v>
      </c>
      <c r="E3" s="173">
        <v>0</v>
      </c>
      <c r="F3" s="173">
        <v>0</v>
      </c>
      <c r="G3" s="47">
        <v>4630000</v>
      </c>
      <c r="H3" s="173">
        <v>0</v>
      </c>
      <c r="I3" s="45">
        <v>332020000</v>
      </c>
      <c r="J3" s="45">
        <v>0</v>
      </c>
      <c r="K3" s="173">
        <v>0</v>
      </c>
      <c r="L3" s="45">
        <v>0</v>
      </c>
      <c r="M3" s="45">
        <v>5460000</v>
      </c>
      <c r="N3" s="45">
        <v>0</v>
      </c>
      <c r="O3" s="45">
        <v>20000</v>
      </c>
      <c r="P3" s="47">
        <v>19230000</v>
      </c>
      <c r="Q3" s="47">
        <v>0</v>
      </c>
      <c r="R3" s="46">
        <v>180000</v>
      </c>
      <c r="S3" s="47">
        <v>180000</v>
      </c>
      <c r="T3" s="47">
        <v>0</v>
      </c>
      <c r="U3" s="173">
        <v>0</v>
      </c>
      <c r="V3" s="46">
        <v>0</v>
      </c>
      <c r="W3" s="46">
        <v>0</v>
      </c>
      <c r="X3" s="46">
        <v>229999.99999999997</v>
      </c>
      <c r="Y3" s="47">
        <v>30000</v>
      </c>
      <c r="Z3" s="173">
        <v>0</v>
      </c>
      <c r="AA3" s="173">
        <v>0</v>
      </c>
      <c r="AB3" s="47">
        <v>300000</v>
      </c>
      <c r="AC3" s="46">
        <v>120000</v>
      </c>
      <c r="AD3" s="46">
        <v>270000</v>
      </c>
      <c r="AE3" s="46">
        <v>30000</v>
      </c>
      <c r="AF3" s="173">
        <v>0</v>
      </c>
      <c r="AG3" s="46">
        <v>0</v>
      </c>
      <c r="AO3" s="3"/>
      <c r="AP3" s="39"/>
    </row>
    <row r="4" spans="1:42" ht="15" customHeight="1">
      <c r="B4" s="1" t="s">
        <v>35</v>
      </c>
      <c r="C4" s="46">
        <v>140000</v>
      </c>
      <c r="D4" s="45">
        <v>120000</v>
      </c>
      <c r="E4" s="45">
        <v>510000</v>
      </c>
      <c r="F4" s="173">
        <v>0</v>
      </c>
      <c r="G4" s="47">
        <v>33200000.000000004</v>
      </c>
      <c r="H4" s="173">
        <v>0</v>
      </c>
      <c r="I4" s="45">
        <v>0</v>
      </c>
      <c r="J4" s="45">
        <v>0</v>
      </c>
      <c r="K4" s="173">
        <v>0</v>
      </c>
      <c r="L4" s="173">
        <v>0</v>
      </c>
      <c r="M4" s="45">
        <v>0</v>
      </c>
      <c r="N4" s="45">
        <v>0</v>
      </c>
      <c r="O4" s="173">
        <v>0</v>
      </c>
      <c r="P4" s="47">
        <v>200000</v>
      </c>
      <c r="Q4" s="47">
        <v>150000</v>
      </c>
      <c r="R4" s="47">
        <v>930000</v>
      </c>
      <c r="S4" s="47">
        <v>1150000.0000000002</v>
      </c>
      <c r="T4" s="47">
        <v>3190000</v>
      </c>
      <c r="U4" s="47">
        <v>44420000</v>
      </c>
      <c r="V4" s="47">
        <v>1660000.0000000002</v>
      </c>
      <c r="W4" s="46">
        <v>730000.00000000012</v>
      </c>
      <c r="X4" s="47">
        <v>1000000</v>
      </c>
      <c r="Y4" s="47">
        <v>3020000</v>
      </c>
      <c r="Z4" s="45">
        <v>80000</v>
      </c>
      <c r="AA4" s="45">
        <v>480000</v>
      </c>
      <c r="AB4" s="47">
        <v>3160000</v>
      </c>
      <c r="AC4" s="46">
        <v>1200000</v>
      </c>
      <c r="AD4" s="47">
        <v>2630000</v>
      </c>
      <c r="AE4" s="47">
        <v>620000</v>
      </c>
      <c r="AF4" s="45">
        <v>0</v>
      </c>
      <c r="AG4" s="46">
        <v>1020000</v>
      </c>
      <c r="AO4" s="6"/>
      <c r="AP4" s="39"/>
    </row>
    <row r="5" spans="1:42" ht="15" customHeight="1">
      <c r="B5" s="1" t="s">
        <v>37</v>
      </c>
      <c r="C5" s="46">
        <v>780000</v>
      </c>
      <c r="D5" s="45">
        <v>0</v>
      </c>
      <c r="E5" s="173">
        <v>0</v>
      </c>
      <c r="F5" s="46">
        <v>9860000</v>
      </c>
      <c r="G5" s="47">
        <v>7930000</v>
      </c>
      <c r="H5" s="45">
        <v>410000</v>
      </c>
      <c r="I5" s="45">
        <v>139800000</v>
      </c>
      <c r="J5" s="45">
        <v>135740000</v>
      </c>
      <c r="K5" s="47">
        <v>4831730000</v>
      </c>
      <c r="L5" s="45">
        <v>48500000</v>
      </c>
      <c r="M5" s="45">
        <v>913650000.00000012</v>
      </c>
      <c r="N5" s="45">
        <v>40000</v>
      </c>
      <c r="O5" s="45">
        <v>270000</v>
      </c>
      <c r="P5" s="47">
        <v>1153250000</v>
      </c>
      <c r="Q5" s="46">
        <v>280000</v>
      </c>
      <c r="R5" s="47">
        <v>16030000.000000002</v>
      </c>
      <c r="S5" s="46">
        <v>16030000.000000002</v>
      </c>
      <c r="T5" s="47">
        <v>0</v>
      </c>
      <c r="U5" s="173">
        <v>0</v>
      </c>
      <c r="V5" s="46">
        <v>0</v>
      </c>
      <c r="W5" s="46">
        <v>0</v>
      </c>
      <c r="X5" s="46">
        <v>0</v>
      </c>
      <c r="Y5" s="46">
        <v>10000</v>
      </c>
      <c r="Z5" s="45">
        <v>0</v>
      </c>
      <c r="AA5" s="173">
        <v>0</v>
      </c>
      <c r="AB5" s="46">
        <v>20000</v>
      </c>
      <c r="AC5" s="46">
        <v>10000</v>
      </c>
      <c r="AD5" s="46">
        <v>0</v>
      </c>
      <c r="AE5" s="46">
        <v>0</v>
      </c>
      <c r="AF5" s="173">
        <v>0</v>
      </c>
      <c r="AG5" s="46">
        <v>0</v>
      </c>
      <c r="AO5" s="3"/>
      <c r="AP5" s="39"/>
    </row>
    <row r="6" spans="1:42" ht="15" customHeight="1">
      <c r="B6" s="1" t="s">
        <v>39</v>
      </c>
      <c r="C6" s="46">
        <v>40500000</v>
      </c>
      <c r="D6" s="45">
        <v>1610000</v>
      </c>
      <c r="E6" s="45">
        <v>10000</v>
      </c>
      <c r="F6" s="46">
        <v>0</v>
      </c>
      <c r="G6" s="47">
        <v>521500000</v>
      </c>
      <c r="H6" s="45">
        <v>1180000</v>
      </c>
      <c r="I6" s="45">
        <v>37510000</v>
      </c>
      <c r="J6" s="45">
        <v>214400000</v>
      </c>
      <c r="K6" s="47">
        <v>51410000</v>
      </c>
      <c r="L6" s="45">
        <v>330000</v>
      </c>
      <c r="M6" s="45">
        <v>0</v>
      </c>
      <c r="N6" s="45">
        <v>0</v>
      </c>
      <c r="O6" s="45">
        <v>20000</v>
      </c>
      <c r="P6" s="47">
        <v>5710000</v>
      </c>
      <c r="Q6" s="46">
        <v>1560000</v>
      </c>
      <c r="R6" s="46">
        <v>10090000</v>
      </c>
      <c r="S6" s="47">
        <v>12469999.999999998</v>
      </c>
      <c r="T6" s="46">
        <v>33400000</v>
      </c>
      <c r="U6" s="46">
        <v>225660000</v>
      </c>
      <c r="V6" s="46">
        <v>19320000</v>
      </c>
      <c r="W6" s="46">
        <v>7400000</v>
      </c>
      <c r="X6" s="46">
        <v>12160000</v>
      </c>
      <c r="Y6" s="46">
        <v>38050000</v>
      </c>
      <c r="Z6" s="45">
        <v>970000</v>
      </c>
      <c r="AA6" s="45">
        <v>5570000</v>
      </c>
      <c r="AB6" s="47">
        <v>91820000</v>
      </c>
      <c r="AC6" s="46">
        <v>28880000</v>
      </c>
      <c r="AD6" s="46">
        <v>60890000</v>
      </c>
      <c r="AE6" s="46">
        <v>10600000</v>
      </c>
      <c r="AF6" s="45">
        <v>300000</v>
      </c>
      <c r="AG6" s="46">
        <v>13230000</v>
      </c>
      <c r="AO6" s="3"/>
      <c r="AP6" s="39"/>
    </row>
    <row r="7" spans="1:42" ht="15" customHeight="1">
      <c r="B7" s="1" t="s">
        <v>41</v>
      </c>
      <c r="C7" s="46">
        <v>360000</v>
      </c>
      <c r="D7" s="45">
        <v>360000</v>
      </c>
      <c r="E7" s="45">
        <v>0</v>
      </c>
      <c r="F7" s="46">
        <v>670000</v>
      </c>
      <c r="G7" s="47">
        <v>4530000</v>
      </c>
      <c r="H7" s="45">
        <v>301590000</v>
      </c>
      <c r="I7" s="45">
        <v>30410000</v>
      </c>
      <c r="J7" s="45">
        <v>14710000</v>
      </c>
      <c r="K7" s="46">
        <v>0</v>
      </c>
      <c r="L7" s="45">
        <v>17880000</v>
      </c>
      <c r="M7" s="45">
        <v>28310000.000000004</v>
      </c>
      <c r="N7" s="45">
        <v>6600000</v>
      </c>
      <c r="O7" s="45">
        <v>24460000</v>
      </c>
      <c r="P7" s="46">
        <v>1480000</v>
      </c>
      <c r="Q7" s="47">
        <v>14629999.999999998</v>
      </c>
      <c r="R7" s="46">
        <v>25100000</v>
      </c>
      <c r="S7" s="46">
        <v>41030000</v>
      </c>
      <c r="T7" s="47">
        <v>20950000.000000004</v>
      </c>
      <c r="U7" s="46">
        <v>4019999.9999999995</v>
      </c>
      <c r="V7" s="46">
        <v>12260000.000000002</v>
      </c>
      <c r="W7" s="46">
        <v>6230000</v>
      </c>
      <c r="X7" s="46">
        <v>2800000</v>
      </c>
      <c r="Y7" s="46">
        <v>53859999.999999993</v>
      </c>
      <c r="Z7" s="45">
        <v>990000</v>
      </c>
      <c r="AA7" s="45">
        <v>5900000</v>
      </c>
      <c r="AB7" s="46">
        <v>49740000</v>
      </c>
      <c r="AC7" s="46">
        <v>1220000</v>
      </c>
      <c r="AD7" s="46">
        <v>39550000</v>
      </c>
      <c r="AE7" s="46">
        <v>1120000</v>
      </c>
      <c r="AF7" s="45">
        <v>4690000</v>
      </c>
      <c r="AG7" s="46">
        <v>8920000</v>
      </c>
      <c r="AO7" s="3"/>
      <c r="AP7" s="39"/>
    </row>
    <row r="8" spans="1:42" ht="15" customHeight="1">
      <c r="B8" s="1" t="s">
        <v>43</v>
      </c>
      <c r="C8" s="46">
        <v>640000</v>
      </c>
      <c r="D8" s="45">
        <v>1350000</v>
      </c>
      <c r="E8" s="45">
        <v>0</v>
      </c>
      <c r="F8" s="46">
        <v>300000</v>
      </c>
      <c r="G8" s="47">
        <v>70220000</v>
      </c>
      <c r="H8" s="45">
        <v>1500000</v>
      </c>
      <c r="I8" s="45">
        <v>536480000</v>
      </c>
      <c r="J8" s="45">
        <v>27600000</v>
      </c>
      <c r="K8" s="46">
        <v>210000</v>
      </c>
      <c r="L8" s="45">
        <v>11290000</v>
      </c>
      <c r="M8" s="45">
        <v>14740000</v>
      </c>
      <c r="N8" s="45">
        <v>4000000</v>
      </c>
      <c r="O8" s="45">
        <v>45400000</v>
      </c>
      <c r="P8" s="46">
        <v>4150000.0000000005</v>
      </c>
      <c r="Q8" s="46">
        <v>2140000</v>
      </c>
      <c r="R8" s="47">
        <v>290730000</v>
      </c>
      <c r="S8" s="46">
        <v>301490000</v>
      </c>
      <c r="T8" s="46">
        <v>8020000</v>
      </c>
      <c r="U8" s="46">
        <v>1240000</v>
      </c>
      <c r="V8" s="46">
        <v>20840000</v>
      </c>
      <c r="W8" s="46">
        <v>7730000</v>
      </c>
      <c r="X8" s="46">
        <v>7180000</v>
      </c>
      <c r="Y8" s="46">
        <v>47620000.000000007</v>
      </c>
      <c r="Z8" s="45">
        <v>3290000</v>
      </c>
      <c r="AA8" s="45">
        <v>3410000</v>
      </c>
      <c r="AB8" s="47">
        <v>40490000</v>
      </c>
      <c r="AC8" s="46">
        <v>36480000</v>
      </c>
      <c r="AD8" s="46">
        <v>29030000</v>
      </c>
      <c r="AE8" s="46">
        <v>10520000</v>
      </c>
      <c r="AF8" s="45">
        <v>1500000</v>
      </c>
      <c r="AG8" s="46">
        <v>13600000.000000002</v>
      </c>
      <c r="AO8" s="3"/>
      <c r="AP8" s="39"/>
    </row>
    <row r="9" spans="1:42" ht="15" customHeight="1">
      <c r="B9" s="1" t="s">
        <v>46</v>
      </c>
      <c r="C9" s="46">
        <v>182720000</v>
      </c>
      <c r="D9" s="45">
        <v>34840000</v>
      </c>
      <c r="E9" s="45">
        <v>0</v>
      </c>
      <c r="F9" s="46">
        <v>42080000</v>
      </c>
      <c r="G9" s="47">
        <v>288310000</v>
      </c>
      <c r="H9" s="45">
        <v>80530000</v>
      </c>
      <c r="I9" s="45">
        <v>718720000</v>
      </c>
      <c r="J9" s="45">
        <v>1399530000</v>
      </c>
      <c r="K9" s="47">
        <v>68090000</v>
      </c>
      <c r="L9" s="45">
        <v>80480000</v>
      </c>
      <c r="M9" s="45">
        <v>239290000</v>
      </c>
      <c r="N9" s="45">
        <v>108350000.00000001</v>
      </c>
      <c r="O9" s="45">
        <v>51540000</v>
      </c>
      <c r="P9" s="47">
        <v>278510000</v>
      </c>
      <c r="Q9" s="46">
        <v>77100000</v>
      </c>
      <c r="R9" s="47">
        <v>479580000</v>
      </c>
      <c r="S9" s="47">
        <v>549260000</v>
      </c>
      <c r="T9" s="47">
        <v>157649999.99999997</v>
      </c>
      <c r="U9" s="47">
        <v>1050000</v>
      </c>
      <c r="V9" s="47">
        <v>9660000</v>
      </c>
      <c r="W9" s="47">
        <v>3029999.9999999995</v>
      </c>
      <c r="X9" s="46">
        <v>2260000</v>
      </c>
      <c r="Y9" s="47">
        <v>143110000</v>
      </c>
      <c r="Z9" s="45">
        <v>420000.00000000006</v>
      </c>
      <c r="AA9" s="45">
        <v>11720000</v>
      </c>
      <c r="AB9" s="46">
        <v>60330000</v>
      </c>
      <c r="AC9" s="46">
        <v>38700000</v>
      </c>
      <c r="AD9" s="47">
        <v>633550000.00000012</v>
      </c>
      <c r="AE9" s="46">
        <v>18300000</v>
      </c>
      <c r="AF9" s="45">
        <v>2060000</v>
      </c>
      <c r="AG9" s="46">
        <v>41519999.999999993</v>
      </c>
      <c r="AO9" s="3"/>
      <c r="AP9" s="39"/>
    </row>
    <row r="10" spans="1:42" ht="15" customHeight="1">
      <c r="B10" s="1" t="s">
        <v>48</v>
      </c>
      <c r="C10" s="46">
        <v>62060000</v>
      </c>
      <c r="D10" s="45">
        <v>37270000</v>
      </c>
      <c r="E10" s="45">
        <v>530000</v>
      </c>
      <c r="F10" s="46">
        <v>21130000</v>
      </c>
      <c r="G10" s="47">
        <v>3100000</v>
      </c>
      <c r="H10" s="45">
        <v>280000</v>
      </c>
      <c r="I10" s="45">
        <v>20180000</v>
      </c>
      <c r="J10" s="45">
        <v>314549999.99999994</v>
      </c>
      <c r="K10" s="47">
        <v>699640000</v>
      </c>
      <c r="L10" s="45">
        <v>28720000</v>
      </c>
      <c r="M10" s="45">
        <v>144610000</v>
      </c>
      <c r="N10" s="45">
        <v>5410000</v>
      </c>
      <c r="O10" s="45">
        <v>5110000</v>
      </c>
      <c r="P10" s="47">
        <v>150950000</v>
      </c>
      <c r="Q10" s="46">
        <v>7000000</v>
      </c>
      <c r="R10" s="47">
        <v>119560000</v>
      </c>
      <c r="S10" s="47">
        <v>137120000</v>
      </c>
      <c r="T10" s="47">
        <v>509220000</v>
      </c>
      <c r="U10" s="47">
        <v>2230000</v>
      </c>
      <c r="V10" s="47">
        <v>3540000</v>
      </c>
      <c r="W10" s="47">
        <v>6760000</v>
      </c>
      <c r="X10" s="46">
        <v>178100000.00000003</v>
      </c>
      <c r="Y10" s="47">
        <v>22810000</v>
      </c>
      <c r="Z10" s="45">
        <v>1380000</v>
      </c>
      <c r="AA10" s="45">
        <v>20000</v>
      </c>
      <c r="AB10" s="47">
        <v>48650000</v>
      </c>
      <c r="AC10" s="46">
        <v>13250000</v>
      </c>
      <c r="AD10" s="46">
        <v>14000000</v>
      </c>
      <c r="AE10" s="46">
        <v>4770000</v>
      </c>
      <c r="AF10" s="45">
        <v>280000</v>
      </c>
      <c r="AG10" s="46">
        <v>5870000</v>
      </c>
      <c r="AO10" s="3"/>
      <c r="AP10" s="39"/>
    </row>
    <row r="11" spans="1:42" ht="15" customHeight="1">
      <c r="B11" s="1" t="s">
        <v>50</v>
      </c>
      <c r="C11" s="46">
        <v>750000</v>
      </c>
      <c r="D11" s="173">
        <v>0</v>
      </c>
      <c r="E11" s="173">
        <v>0</v>
      </c>
      <c r="F11" s="46">
        <v>6170000</v>
      </c>
      <c r="G11" s="47">
        <v>19380000</v>
      </c>
      <c r="H11" s="45">
        <v>660000</v>
      </c>
      <c r="I11" s="45">
        <v>33520000.000000004</v>
      </c>
      <c r="J11" s="45">
        <v>21730000</v>
      </c>
      <c r="K11" s="46">
        <v>0</v>
      </c>
      <c r="L11" s="45">
        <v>103690000</v>
      </c>
      <c r="M11" s="45">
        <v>64620000.000000007</v>
      </c>
      <c r="N11" s="45">
        <v>12510000.000000002</v>
      </c>
      <c r="O11" s="45">
        <v>9830000</v>
      </c>
      <c r="P11" s="46">
        <v>380000</v>
      </c>
      <c r="Q11" s="46">
        <v>439999.99999999994</v>
      </c>
      <c r="R11" s="47">
        <v>224470000</v>
      </c>
      <c r="S11" s="47">
        <v>250990000</v>
      </c>
      <c r="T11" s="47">
        <v>30000</v>
      </c>
      <c r="U11" s="46">
        <v>60000</v>
      </c>
      <c r="V11" s="47">
        <v>1290000</v>
      </c>
      <c r="W11" s="46">
        <v>720000</v>
      </c>
      <c r="X11" s="46">
        <v>20000</v>
      </c>
      <c r="Y11" s="47">
        <v>4060000.0000000005</v>
      </c>
      <c r="Z11" s="45">
        <v>80000</v>
      </c>
      <c r="AA11" s="45">
        <v>720000</v>
      </c>
      <c r="AB11" s="46">
        <v>50000</v>
      </c>
      <c r="AC11" s="46">
        <v>190000</v>
      </c>
      <c r="AD11" s="47">
        <v>10059999.999999998</v>
      </c>
      <c r="AE11" s="46">
        <v>60000</v>
      </c>
      <c r="AF11" s="45">
        <v>190000</v>
      </c>
      <c r="AG11" s="46">
        <v>1390000.0000000002</v>
      </c>
      <c r="AO11" s="3"/>
      <c r="AP11" s="39"/>
    </row>
    <row r="12" spans="1:42" ht="15" customHeight="1">
      <c r="B12" s="1" t="s">
        <v>52</v>
      </c>
      <c r="C12" s="46">
        <v>57650000.000000007</v>
      </c>
      <c r="D12" s="45">
        <v>6250000</v>
      </c>
      <c r="E12" s="45">
        <v>150000</v>
      </c>
      <c r="F12" s="46">
        <v>27250000</v>
      </c>
      <c r="G12" s="47">
        <v>91720000</v>
      </c>
      <c r="H12" s="45">
        <v>530000</v>
      </c>
      <c r="I12" s="45">
        <v>46290000</v>
      </c>
      <c r="J12" s="45">
        <v>35610000</v>
      </c>
      <c r="K12" s="46">
        <v>3990000</v>
      </c>
      <c r="L12" s="45">
        <v>30830000</v>
      </c>
      <c r="M12" s="45">
        <v>3661330000</v>
      </c>
      <c r="N12" s="45">
        <v>117009999.99999999</v>
      </c>
      <c r="O12" s="45">
        <v>23730000</v>
      </c>
      <c r="P12" s="47">
        <v>1599999.9999999998</v>
      </c>
      <c r="Q12" s="46">
        <v>52100000</v>
      </c>
      <c r="R12" s="47">
        <v>898520000</v>
      </c>
      <c r="S12" s="47">
        <v>1130520000</v>
      </c>
      <c r="T12" s="47">
        <v>379499999.99999994</v>
      </c>
      <c r="U12" s="47">
        <v>960000</v>
      </c>
      <c r="V12" s="47">
        <v>65860000</v>
      </c>
      <c r="W12" s="47">
        <v>2540000</v>
      </c>
      <c r="X12" s="47">
        <v>510000</v>
      </c>
      <c r="Y12" s="47">
        <v>34210000</v>
      </c>
      <c r="Z12" s="45">
        <v>1690000</v>
      </c>
      <c r="AA12" s="45">
        <v>1780000</v>
      </c>
      <c r="AB12" s="46">
        <v>85910000</v>
      </c>
      <c r="AC12" s="46">
        <v>14640000</v>
      </c>
      <c r="AD12" s="47">
        <v>320000</v>
      </c>
      <c r="AE12" s="47">
        <v>1490000</v>
      </c>
      <c r="AF12" s="45">
        <v>4570000</v>
      </c>
      <c r="AG12" s="46">
        <v>2340000</v>
      </c>
      <c r="AO12" s="3"/>
      <c r="AP12" s="39"/>
    </row>
    <row r="13" spans="1:42" ht="15" customHeight="1">
      <c r="B13" s="1" t="s">
        <v>54</v>
      </c>
      <c r="C13" s="46">
        <v>110000</v>
      </c>
      <c r="D13" s="45">
        <v>110000</v>
      </c>
      <c r="E13" s="45">
        <v>0</v>
      </c>
      <c r="F13" s="46">
        <v>0</v>
      </c>
      <c r="G13" s="47">
        <v>0</v>
      </c>
      <c r="H13" s="45">
        <v>50000</v>
      </c>
      <c r="I13" s="45">
        <v>2000000</v>
      </c>
      <c r="J13" s="45">
        <v>10910000</v>
      </c>
      <c r="K13" s="46">
        <v>0</v>
      </c>
      <c r="L13" s="45">
        <v>7400000</v>
      </c>
      <c r="M13" s="45">
        <v>622000000</v>
      </c>
      <c r="N13" s="45">
        <v>2912060000</v>
      </c>
      <c r="O13" s="45">
        <v>16329999.999999998</v>
      </c>
      <c r="P13" s="46">
        <v>610000</v>
      </c>
      <c r="Q13" s="46">
        <v>14720000</v>
      </c>
      <c r="R13" s="47">
        <v>452409999.99999994</v>
      </c>
      <c r="S13" s="47">
        <v>523169999.99999994</v>
      </c>
      <c r="T13" s="47">
        <v>28290000</v>
      </c>
      <c r="U13" s="47">
        <v>229999.99999999997</v>
      </c>
      <c r="V13" s="47">
        <v>166940000</v>
      </c>
      <c r="W13" s="47">
        <v>178410000.00000003</v>
      </c>
      <c r="X13" s="47">
        <v>1880000</v>
      </c>
      <c r="Y13" s="47">
        <v>484410000</v>
      </c>
      <c r="Z13" s="45">
        <v>16370000.000000002</v>
      </c>
      <c r="AA13" s="45">
        <v>58620000.000000007</v>
      </c>
      <c r="AB13" s="46">
        <v>73280000</v>
      </c>
      <c r="AC13" s="46">
        <v>54260000</v>
      </c>
      <c r="AD13" s="47">
        <v>131470000.00000003</v>
      </c>
      <c r="AE13" s="46">
        <v>33879999.999999993</v>
      </c>
      <c r="AF13" s="45">
        <v>28220000</v>
      </c>
      <c r="AG13" s="46">
        <v>13169999.999999998</v>
      </c>
      <c r="AO13" s="3"/>
      <c r="AP13" s="39"/>
    </row>
    <row r="14" spans="1:42" ht="15" customHeight="1">
      <c r="B14" s="1" t="s">
        <v>56</v>
      </c>
      <c r="C14" s="46">
        <v>90000</v>
      </c>
      <c r="D14" s="45">
        <v>90000</v>
      </c>
      <c r="E14" s="45">
        <v>0</v>
      </c>
      <c r="F14" s="46">
        <v>0</v>
      </c>
      <c r="G14" s="47">
        <v>30000</v>
      </c>
      <c r="H14" s="45">
        <v>2130000</v>
      </c>
      <c r="I14" s="45">
        <v>310000</v>
      </c>
      <c r="J14" s="45">
        <v>1530000</v>
      </c>
      <c r="K14" s="46">
        <v>0</v>
      </c>
      <c r="L14" s="45">
        <v>20000</v>
      </c>
      <c r="M14" s="45">
        <v>14310000</v>
      </c>
      <c r="N14" s="45">
        <v>29660000</v>
      </c>
      <c r="O14" s="45">
        <v>82180000</v>
      </c>
      <c r="P14" s="46">
        <v>270000</v>
      </c>
      <c r="Q14" s="46">
        <v>6240000</v>
      </c>
      <c r="R14" s="47">
        <v>29530000</v>
      </c>
      <c r="S14" s="47">
        <v>36390000</v>
      </c>
      <c r="T14" s="46">
        <v>4220000</v>
      </c>
      <c r="U14" s="46">
        <v>8020000</v>
      </c>
      <c r="V14" s="46">
        <v>9010000</v>
      </c>
      <c r="W14" s="46">
        <v>17170000</v>
      </c>
      <c r="X14" s="47">
        <v>190000</v>
      </c>
      <c r="Y14" s="47">
        <v>42790000</v>
      </c>
      <c r="Z14" s="45">
        <v>2120000</v>
      </c>
      <c r="AA14" s="45">
        <v>7670000</v>
      </c>
      <c r="AB14" s="46">
        <v>30350000</v>
      </c>
      <c r="AC14" s="46">
        <v>15280000</v>
      </c>
      <c r="AD14" s="46">
        <v>64099999.999999993</v>
      </c>
      <c r="AE14" s="46">
        <v>23950000</v>
      </c>
      <c r="AF14" s="45">
        <v>780000</v>
      </c>
      <c r="AG14" s="46">
        <v>4099999.9999999995</v>
      </c>
      <c r="AO14" s="3"/>
      <c r="AP14" s="39"/>
    </row>
    <row r="15" spans="1:42" ht="15" customHeight="1">
      <c r="B15" s="1" t="s">
        <v>58</v>
      </c>
      <c r="C15" s="46">
        <v>10270000</v>
      </c>
      <c r="D15" s="45">
        <v>1890000</v>
      </c>
      <c r="E15" s="45">
        <v>310000</v>
      </c>
      <c r="F15" s="46">
        <v>14440000</v>
      </c>
      <c r="G15" s="47">
        <v>17580000</v>
      </c>
      <c r="H15" s="45">
        <v>1240000</v>
      </c>
      <c r="I15" s="45">
        <v>158110000</v>
      </c>
      <c r="J15" s="45">
        <v>42019999.999999993</v>
      </c>
      <c r="K15" s="47">
        <v>12340000</v>
      </c>
      <c r="L15" s="45">
        <v>10890000</v>
      </c>
      <c r="M15" s="45">
        <v>57790000.000000007</v>
      </c>
      <c r="N15" s="45">
        <v>5260000</v>
      </c>
      <c r="O15" s="45">
        <v>1430000</v>
      </c>
      <c r="P15" s="46">
        <v>47210000</v>
      </c>
      <c r="Q15" s="47">
        <v>8950000</v>
      </c>
      <c r="R15" s="47">
        <v>8279999.9999999991</v>
      </c>
      <c r="S15" s="47">
        <v>12219999.999999998</v>
      </c>
      <c r="T15" s="47">
        <v>13790000</v>
      </c>
      <c r="U15" s="47">
        <v>6380000</v>
      </c>
      <c r="V15" s="47">
        <v>5380000.0000000009</v>
      </c>
      <c r="W15" s="47">
        <v>3710000</v>
      </c>
      <c r="X15" s="47">
        <v>48310000</v>
      </c>
      <c r="Y15" s="47">
        <v>7069999.9999999991</v>
      </c>
      <c r="Z15" s="45">
        <v>960000</v>
      </c>
      <c r="AA15" s="45">
        <v>70000</v>
      </c>
      <c r="AB15" s="47">
        <v>8770000</v>
      </c>
      <c r="AC15" s="47">
        <v>12260000</v>
      </c>
      <c r="AD15" s="47">
        <v>14490000.000000002</v>
      </c>
      <c r="AE15" s="47">
        <v>8910000</v>
      </c>
      <c r="AF15" s="45">
        <v>360000</v>
      </c>
      <c r="AG15" s="46">
        <v>14530000</v>
      </c>
      <c r="AO15" s="3"/>
      <c r="AP15" s="39"/>
    </row>
    <row r="16" spans="1:42" ht="15" customHeight="1">
      <c r="B16" s="1" t="s">
        <v>61</v>
      </c>
      <c r="C16" s="46">
        <v>0</v>
      </c>
      <c r="D16" s="45">
        <v>0</v>
      </c>
      <c r="E16" s="45">
        <v>0</v>
      </c>
      <c r="F16" s="46">
        <v>6450000</v>
      </c>
      <c r="G16" s="46">
        <v>30000</v>
      </c>
      <c r="H16" s="45">
        <v>70000</v>
      </c>
      <c r="I16" s="45">
        <v>15960000</v>
      </c>
      <c r="J16" s="45">
        <v>6100000.0000000009</v>
      </c>
      <c r="K16" s="46">
        <v>0</v>
      </c>
      <c r="L16" s="45">
        <v>2370000</v>
      </c>
      <c r="M16" s="45">
        <v>1014079999.9999999</v>
      </c>
      <c r="N16" s="45">
        <v>110000.00000000001</v>
      </c>
      <c r="O16" s="45">
        <v>140000</v>
      </c>
      <c r="P16" s="46">
        <v>400000</v>
      </c>
      <c r="Q16" s="46">
        <v>133130000</v>
      </c>
      <c r="R16" s="46">
        <v>4560000</v>
      </c>
      <c r="S16" s="46">
        <v>137780000</v>
      </c>
      <c r="T16" s="46">
        <v>99999.999999999985</v>
      </c>
      <c r="U16" s="46">
        <v>150000</v>
      </c>
      <c r="V16" s="46">
        <v>120000</v>
      </c>
      <c r="W16" s="46">
        <v>30000</v>
      </c>
      <c r="X16" s="46">
        <v>710000</v>
      </c>
      <c r="Y16" s="46">
        <v>830000.00000000012</v>
      </c>
      <c r="Z16" s="45">
        <v>10000</v>
      </c>
      <c r="AA16" s="45">
        <v>0</v>
      </c>
      <c r="AB16" s="46">
        <v>430000</v>
      </c>
      <c r="AC16" s="46">
        <v>100000</v>
      </c>
      <c r="AD16" s="46">
        <v>90000</v>
      </c>
      <c r="AE16" s="46">
        <v>30000</v>
      </c>
      <c r="AF16" s="45">
        <v>10000</v>
      </c>
      <c r="AG16" s="46">
        <v>110000</v>
      </c>
      <c r="AO16" s="3"/>
      <c r="AP16" s="39"/>
    </row>
    <row r="17" spans="2:42" ht="15" customHeight="1">
      <c r="B17" s="1" t="s">
        <v>63</v>
      </c>
      <c r="C17" s="173">
        <v>0</v>
      </c>
      <c r="D17" s="173">
        <v>0</v>
      </c>
      <c r="E17" s="173">
        <v>0</v>
      </c>
      <c r="F17" s="173">
        <v>0</v>
      </c>
      <c r="G17" s="173">
        <v>0</v>
      </c>
      <c r="H17" s="173">
        <v>0</v>
      </c>
      <c r="I17" s="45">
        <v>0</v>
      </c>
      <c r="J17" s="45">
        <v>0</v>
      </c>
      <c r="K17" s="173">
        <v>0</v>
      </c>
      <c r="L17" s="173">
        <v>0</v>
      </c>
      <c r="M17" s="45">
        <v>0</v>
      </c>
      <c r="N17" s="45">
        <v>0</v>
      </c>
      <c r="O17" s="173">
        <v>0</v>
      </c>
      <c r="P17" s="173">
        <v>0</v>
      </c>
      <c r="Q17" s="46">
        <v>0</v>
      </c>
      <c r="R17" s="46">
        <v>1180000</v>
      </c>
      <c r="S17" s="46">
        <v>1180000</v>
      </c>
      <c r="T17" s="46">
        <v>0</v>
      </c>
      <c r="U17" s="173">
        <v>0</v>
      </c>
      <c r="V17" s="46">
        <v>0</v>
      </c>
      <c r="W17" s="46">
        <v>0</v>
      </c>
      <c r="X17" s="46">
        <v>0</v>
      </c>
      <c r="Y17" s="46">
        <v>0</v>
      </c>
      <c r="Z17" s="173">
        <v>0</v>
      </c>
      <c r="AA17" s="173">
        <v>0</v>
      </c>
      <c r="AB17" s="173">
        <v>0</v>
      </c>
      <c r="AC17" s="173">
        <v>0</v>
      </c>
      <c r="AD17" s="46">
        <v>0</v>
      </c>
      <c r="AE17" s="46">
        <v>0</v>
      </c>
      <c r="AF17" s="173">
        <v>0</v>
      </c>
      <c r="AG17" s="46">
        <v>0</v>
      </c>
      <c r="AO17" s="3"/>
      <c r="AP17" s="39"/>
    </row>
    <row r="18" spans="2:42" ht="15" customHeight="1">
      <c r="B18" s="1" t="s">
        <v>65</v>
      </c>
      <c r="C18" s="46">
        <v>1440000</v>
      </c>
      <c r="D18" s="45">
        <v>1350000</v>
      </c>
      <c r="E18" s="45">
        <v>60000</v>
      </c>
      <c r="F18" s="46">
        <v>0</v>
      </c>
      <c r="G18" s="47">
        <v>24840000</v>
      </c>
      <c r="H18" s="45">
        <v>0</v>
      </c>
      <c r="I18" s="45">
        <v>26710000</v>
      </c>
      <c r="J18" s="45">
        <v>3270000</v>
      </c>
      <c r="K18" s="46">
        <v>0</v>
      </c>
      <c r="L18" s="45">
        <v>0</v>
      </c>
      <c r="M18" s="45">
        <v>1790000</v>
      </c>
      <c r="N18" s="45">
        <v>36860000</v>
      </c>
      <c r="O18" s="45">
        <v>0</v>
      </c>
      <c r="P18" s="46">
        <v>0</v>
      </c>
      <c r="Q18" s="46">
        <v>640000</v>
      </c>
      <c r="R18" s="46">
        <v>2570000</v>
      </c>
      <c r="S18" s="46">
        <v>10650000</v>
      </c>
      <c r="T18" s="46">
        <v>0</v>
      </c>
      <c r="U18" s="46">
        <v>3880000</v>
      </c>
      <c r="V18" s="46">
        <v>6180000</v>
      </c>
      <c r="W18" s="46">
        <v>4050000</v>
      </c>
      <c r="X18" s="46">
        <v>1200000</v>
      </c>
      <c r="Y18" s="46">
        <v>17440000</v>
      </c>
      <c r="Z18" s="45">
        <v>410000</v>
      </c>
      <c r="AA18" s="45">
        <v>1320000</v>
      </c>
      <c r="AB18" s="46">
        <v>2810000</v>
      </c>
      <c r="AC18" s="46">
        <v>1620000</v>
      </c>
      <c r="AD18" s="47">
        <v>3170000</v>
      </c>
      <c r="AE18" s="46">
        <v>36250000</v>
      </c>
      <c r="AF18" s="45">
        <v>0</v>
      </c>
      <c r="AG18" s="46">
        <v>6710000</v>
      </c>
      <c r="AO18" s="3"/>
      <c r="AP18" s="39"/>
    </row>
    <row r="19" spans="2:42" ht="15" customHeight="1">
      <c r="B19" s="1" t="s">
        <v>67</v>
      </c>
      <c r="C19" s="46">
        <v>2049999.9999999998</v>
      </c>
      <c r="D19" s="45">
        <v>4160000</v>
      </c>
      <c r="E19" s="45">
        <v>199999.99999999997</v>
      </c>
      <c r="F19" s="46">
        <v>560000</v>
      </c>
      <c r="G19" s="47">
        <v>3019999.9999999995</v>
      </c>
      <c r="H19" s="45">
        <v>600000.00000000012</v>
      </c>
      <c r="I19" s="45">
        <v>3010000</v>
      </c>
      <c r="J19" s="45">
        <v>5330000</v>
      </c>
      <c r="K19" s="46">
        <v>450000</v>
      </c>
      <c r="L19" s="45">
        <v>1260000</v>
      </c>
      <c r="M19" s="45">
        <v>17490000</v>
      </c>
      <c r="N19" s="45">
        <v>6570000</v>
      </c>
      <c r="O19" s="45">
        <v>1020000</v>
      </c>
      <c r="P19" s="46">
        <v>2770000</v>
      </c>
      <c r="Q19" s="46">
        <v>1270000</v>
      </c>
      <c r="R19" s="46">
        <v>30470000</v>
      </c>
      <c r="S19" s="46">
        <v>64699999.999999985</v>
      </c>
      <c r="T19" s="46">
        <v>564140000</v>
      </c>
      <c r="U19" s="46">
        <v>11160000</v>
      </c>
      <c r="V19" s="46">
        <v>44060000</v>
      </c>
      <c r="W19" s="46">
        <v>26930000.000000004</v>
      </c>
      <c r="X19" s="46">
        <v>9990000</v>
      </c>
      <c r="Y19" s="46">
        <v>82310000</v>
      </c>
      <c r="Z19" s="45">
        <v>12440000</v>
      </c>
      <c r="AA19" s="45">
        <v>1720000</v>
      </c>
      <c r="AB19" s="46">
        <v>92050000</v>
      </c>
      <c r="AC19" s="46">
        <v>36460000</v>
      </c>
      <c r="AD19" s="46">
        <v>47669999.999999993</v>
      </c>
      <c r="AE19" s="46">
        <v>15020000.000000002</v>
      </c>
      <c r="AF19" s="45">
        <v>1560000</v>
      </c>
      <c r="AG19" s="46">
        <v>33189999.999999996</v>
      </c>
      <c r="AO19" s="3"/>
      <c r="AP19" s="39"/>
    </row>
    <row r="20" spans="2:42" ht="15.75" customHeight="1">
      <c r="B20" s="1" t="s">
        <v>69</v>
      </c>
      <c r="C20" s="46">
        <v>260000</v>
      </c>
      <c r="D20" s="45">
        <v>370000</v>
      </c>
      <c r="E20" s="45">
        <v>20000</v>
      </c>
      <c r="F20" s="46">
        <v>20000</v>
      </c>
      <c r="G20" s="47">
        <v>160000</v>
      </c>
      <c r="H20" s="45">
        <v>20000</v>
      </c>
      <c r="I20" s="45">
        <v>180000</v>
      </c>
      <c r="J20" s="45">
        <v>300000.00000000006</v>
      </c>
      <c r="K20" s="46">
        <v>20000</v>
      </c>
      <c r="L20" s="45">
        <v>90000</v>
      </c>
      <c r="M20" s="45">
        <v>620000.00000000012</v>
      </c>
      <c r="N20" s="45">
        <v>280000</v>
      </c>
      <c r="O20" s="45">
        <v>50000</v>
      </c>
      <c r="P20" s="46">
        <v>320000</v>
      </c>
      <c r="Q20" s="46">
        <v>110000</v>
      </c>
      <c r="R20" s="46">
        <v>2330000</v>
      </c>
      <c r="S20" s="46">
        <v>4980000</v>
      </c>
      <c r="T20" s="46">
        <v>14870000</v>
      </c>
      <c r="U20" s="46">
        <v>5330000</v>
      </c>
      <c r="V20" s="46">
        <v>6400000</v>
      </c>
      <c r="W20" s="46">
        <v>8780000</v>
      </c>
      <c r="X20" s="46">
        <v>1330000</v>
      </c>
      <c r="Y20" s="46">
        <v>8350000</v>
      </c>
      <c r="Z20" s="45">
        <v>1760000</v>
      </c>
      <c r="AA20" s="45">
        <v>210000</v>
      </c>
      <c r="AB20" s="46">
        <v>12280000</v>
      </c>
      <c r="AC20" s="46">
        <v>8320000</v>
      </c>
      <c r="AD20" s="46">
        <v>17740000.000000004</v>
      </c>
      <c r="AE20" s="46">
        <v>4520000</v>
      </c>
      <c r="AF20" s="45">
        <v>260000</v>
      </c>
      <c r="AG20" s="46">
        <v>6150000</v>
      </c>
      <c r="AO20" s="3"/>
      <c r="AP20" s="39"/>
    </row>
    <row r="21" spans="2:42" ht="15.75" customHeight="1">
      <c r="B21" s="1" t="s">
        <v>71</v>
      </c>
      <c r="C21" s="46">
        <v>1310000</v>
      </c>
      <c r="D21" s="45">
        <v>909999.99999999988</v>
      </c>
      <c r="E21" s="45">
        <v>40000</v>
      </c>
      <c r="F21" s="46">
        <v>1360000</v>
      </c>
      <c r="G21" s="47">
        <v>22910000</v>
      </c>
      <c r="H21" s="45">
        <v>980000</v>
      </c>
      <c r="I21" s="45">
        <v>26780000</v>
      </c>
      <c r="J21" s="45">
        <v>17360000</v>
      </c>
      <c r="K21" s="46">
        <v>2430000</v>
      </c>
      <c r="L21" s="45">
        <v>5670000</v>
      </c>
      <c r="M21" s="45">
        <v>69730000</v>
      </c>
      <c r="N21" s="45">
        <v>230840000</v>
      </c>
      <c r="O21" s="45">
        <v>3719999.9999999995</v>
      </c>
      <c r="P21" s="46">
        <v>16239999.999999998</v>
      </c>
      <c r="Q21" s="46">
        <v>1640000</v>
      </c>
      <c r="R21" s="46">
        <v>8359999.9999999991</v>
      </c>
      <c r="S21" s="47">
        <v>18869999.999999996</v>
      </c>
      <c r="T21" s="46">
        <v>49640000</v>
      </c>
      <c r="U21" s="47">
        <v>15130000</v>
      </c>
      <c r="V21" s="46">
        <v>360510000</v>
      </c>
      <c r="W21" s="46">
        <v>160270000</v>
      </c>
      <c r="X21" s="46">
        <v>14950000.000000002</v>
      </c>
      <c r="Y21" s="47">
        <v>58120000.000000007</v>
      </c>
      <c r="Z21" s="45">
        <v>10850000</v>
      </c>
      <c r="AA21" s="45">
        <v>20540000</v>
      </c>
      <c r="AB21" s="46">
        <v>165610000</v>
      </c>
      <c r="AC21" s="46">
        <v>28759999.999999996</v>
      </c>
      <c r="AD21" s="46">
        <v>28470000.000000004</v>
      </c>
      <c r="AE21" s="46">
        <v>29180000</v>
      </c>
      <c r="AF21" s="45">
        <v>480000</v>
      </c>
      <c r="AG21" s="46">
        <v>15720000</v>
      </c>
      <c r="AO21" s="6"/>
      <c r="AP21" s="39"/>
    </row>
    <row r="22" spans="2:42" ht="15.75" customHeight="1">
      <c r="B22" s="1" t="s">
        <v>73</v>
      </c>
      <c r="C22" s="48">
        <v>3880000</v>
      </c>
      <c r="D22" s="45">
        <v>1360000</v>
      </c>
      <c r="E22" s="45">
        <v>50000</v>
      </c>
      <c r="F22" s="48">
        <v>1430000</v>
      </c>
      <c r="G22" s="48">
        <v>6360000</v>
      </c>
      <c r="H22" s="45">
        <v>1120000</v>
      </c>
      <c r="I22" s="45">
        <v>5180000.0000000009</v>
      </c>
      <c r="J22" s="45">
        <v>6040000</v>
      </c>
      <c r="K22" s="48">
        <v>1410000.0000000002</v>
      </c>
      <c r="L22" s="45">
        <v>2650000.0000000005</v>
      </c>
      <c r="M22" s="45">
        <v>22930000.000000004</v>
      </c>
      <c r="N22" s="45">
        <v>7380000</v>
      </c>
      <c r="O22" s="45">
        <v>1280000</v>
      </c>
      <c r="P22" s="48">
        <v>5710000</v>
      </c>
      <c r="Q22" s="48">
        <v>1010000</v>
      </c>
      <c r="R22" s="48">
        <v>7060000.0000000009</v>
      </c>
      <c r="S22" s="48">
        <v>9630000</v>
      </c>
      <c r="T22" s="48">
        <v>7370000</v>
      </c>
      <c r="U22" s="48">
        <v>1370000</v>
      </c>
      <c r="V22" s="48">
        <v>8520000</v>
      </c>
      <c r="W22" s="48">
        <v>124160000</v>
      </c>
      <c r="X22" s="48">
        <v>84020000</v>
      </c>
      <c r="Y22" s="48">
        <v>10990000</v>
      </c>
      <c r="Z22" s="45">
        <v>960000</v>
      </c>
      <c r="AA22" s="45">
        <v>260000</v>
      </c>
      <c r="AB22" s="48">
        <v>13559999.999999998</v>
      </c>
      <c r="AC22" s="48">
        <v>7770000</v>
      </c>
      <c r="AD22" s="48">
        <v>12720000</v>
      </c>
      <c r="AE22" s="48">
        <v>2900000</v>
      </c>
      <c r="AF22" s="45">
        <v>200000</v>
      </c>
      <c r="AG22" s="48">
        <v>5290000.0000000009</v>
      </c>
      <c r="AO22" s="11"/>
      <c r="AP22" s="39"/>
    </row>
    <row r="23" spans="2:42" ht="15.75" customHeight="1">
      <c r="B23" s="1" t="s">
        <v>75</v>
      </c>
      <c r="C23" s="45">
        <v>0</v>
      </c>
      <c r="D23" s="45">
        <v>0</v>
      </c>
      <c r="E23" s="45">
        <v>0</v>
      </c>
      <c r="F23" s="45">
        <v>0</v>
      </c>
      <c r="G23" s="45">
        <v>0</v>
      </c>
      <c r="H23" s="45">
        <v>0</v>
      </c>
      <c r="I23" s="45">
        <v>0</v>
      </c>
      <c r="J23" s="45">
        <v>0</v>
      </c>
      <c r="K23" s="45">
        <v>0</v>
      </c>
      <c r="L23" s="45">
        <v>0</v>
      </c>
      <c r="M23" s="45">
        <v>0</v>
      </c>
      <c r="N23" s="45">
        <v>0</v>
      </c>
      <c r="O23" s="45">
        <v>0</v>
      </c>
      <c r="P23" s="45">
        <v>0</v>
      </c>
      <c r="Q23" s="45">
        <v>0</v>
      </c>
      <c r="R23" s="45">
        <v>0</v>
      </c>
      <c r="S23" s="45">
        <v>0</v>
      </c>
      <c r="T23" s="45">
        <v>0</v>
      </c>
      <c r="U23" s="45">
        <v>0</v>
      </c>
      <c r="V23" s="45">
        <v>0</v>
      </c>
      <c r="W23" s="45">
        <v>0</v>
      </c>
      <c r="X23" s="45">
        <v>0</v>
      </c>
      <c r="Y23" s="45">
        <v>0</v>
      </c>
      <c r="Z23" s="45">
        <v>0</v>
      </c>
      <c r="AA23" s="45">
        <v>0</v>
      </c>
      <c r="AB23" s="45">
        <v>0</v>
      </c>
      <c r="AC23" s="45">
        <v>0</v>
      </c>
      <c r="AD23" s="45">
        <v>0</v>
      </c>
      <c r="AE23" s="45">
        <v>0</v>
      </c>
      <c r="AF23" s="45">
        <v>0</v>
      </c>
      <c r="AG23" s="45">
        <v>0</v>
      </c>
      <c r="AO23" s="11"/>
      <c r="AP23" s="39"/>
    </row>
    <row r="24" spans="2:42" ht="15.75" customHeight="1">
      <c r="B24" s="1" t="s">
        <v>77</v>
      </c>
      <c r="C24" s="45">
        <v>6510000</v>
      </c>
      <c r="D24" s="45">
        <v>6900000</v>
      </c>
      <c r="E24" s="45">
        <v>430000.00000000006</v>
      </c>
      <c r="F24" s="45">
        <v>13810000</v>
      </c>
      <c r="G24" s="45">
        <v>178640000</v>
      </c>
      <c r="H24" s="45">
        <v>18430000</v>
      </c>
      <c r="I24" s="45">
        <v>105990000</v>
      </c>
      <c r="J24" s="45">
        <v>184280000.00000003</v>
      </c>
      <c r="K24" s="45">
        <v>9140000</v>
      </c>
      <c r="L24" s="45">
        <v>49010000</v>
      </c>
      <c r="M24" s="45">
        <v>460120000.00000006</v>
      </c>
      <c r="N24" s="45">
        <v>1633600000.0000002</v>
      </c>
      <c r="O24" s="45">
        <v>35809999.999999993</v>
      </c>
      <c r="P24" s="45">
        <v>99540000</v>
      </c>
      <c r="Q24" s="45">
        <v>20259999.999999996</v>
      </c>
      <c r="R24" s="45">
        <v>234970000.00000003</v>
      </c>
      <c r="S24" s="45">
        <v>404050000.00000006</v>
      </c>
      <c r="T24" s="45">
        <v>468660000</v>
      </c>
      <c r="U24" s="45">
        <v>98570000.000000015</v>
      </c>
      <c r="V24" s="45">
        <v>407400000.00000012</v>
      </c>
      <c r="W24" s="45">
        <v>74119999.999999985</v>
      </c>
      <c r="X24" s="45">
        <v>94120000</v>
      </c>
      <c r="Y24" s="45">
        <v>481769999.99999994</v>
      </c>
      <c r="Z24" s="45">
        <v>21820000.000000004</v>
      </c>
      <c r="AA24" s="45">
        <v>22570000</v>
      </c>
      <c r="AB24" s="45">
        <v>148730000</v>
      </c>
      <c r="AC24" s="45">
        <v>37569999.999999993</v>
      </c>
      <c r="AD24" s="45">
        <v>59550000</v>
      </c>
      <c r="AE24" s="45">
        <v>35090000</v>
      </c>
      <c r="AF24" s="45">
        <v>6759999.9999999991</v>
      </c>
      <c r="AG24" s="45">
        <v>39600000</v>
      </c>
      <c r="AO24" s="11"/>
      <c r="AP24" s="39"/>
    </row>
    <row r="25" spans="2:42" ht="15.75" customHeight="1">
      <c r="B25" s="1" t="s">
        <v>79</v>
      </c>
      <c r="C25" s="173">
        <v>0</v>
      </c>
      <c r="D25" s="173">
        <v>0</v>
      </c>
      <c r="E25" s="173">
        <v>0</v>
      </c>
      <c r="F25" s="173">
        <v>0</v>
      </c>
      <c r="G25" s="173">
        <v>0</v>
      </c>
      <c r="H25" s="173">
        <v>0</v>
      </c>
      <c r="I25" s="45">
        <v>9830000</v>
      </c>
      <c r="J25" s="45">
        <v>10020000</v>
      </c>
      <c r="K25" s="173">
        <v>0</v>
      </c>
      <c r="L25" s="173">
        <v>0</v>
      </c>
      <c r="M25" s="45">
        <v>0</v>
      </c>
      <c r="N25" s="45">
        <v>3007230000</v>
      </c>
      <c r="O25" s="173">
        <v>0</v>
      </c>
      <c r="P25" s="173">
        <v>0</v>
      </c>
      <c r="Q25" s="45">
        <v>0</v>
      </c>
      <c r="R25" s="173">
        <v>0</v>
      </c>
      <c r="S25" s="45">
        <v>0</v>
      </c>
      <c r="T25" s="45">
        <v>0</v>
      </c>
      <c r="U25" s="173">
        <v>0</v>
      </c>
      <c r="V25" s="45">
        <v>33009999.999999996</v>
      </c>
      <c r="W25" s="45">
        <v>0</v>
      </c>
      <c r="X25" s="45">
        <v>0</v>
      </c>
      <c r="Y25" s="45">
        <v>0</v>
      </c>
      <c r="Z25" s="45">
        <v>7100000</v>
      </c>
      <c r="AA25" s="173">
        <v>0</v>
      </c>
      <c r="AB25" s="173">
        <v>0</v>
      </c>
      <c r="AC25" s="173">
        <v>0</v>
      </c>
      <c r="AD25" s="45">
        <v>0</v>
      </c>
      <c r="AE25" s="45">
        <v>0</v>
      </c>
      <c r="AF25" s="173">
        <v>0</v>
      </c>
      <c r="AG25" s="45">
        <v>0</v>
      </c>
      <c r="AP25" s="39"/>
    </row>
    <row r="26" spans="2:42" ht="15.75" customHeight="1">
      <c r="B26" s="1" t="s">
        <v>81</v>
      </c>
      <c r="C26" s="45">
        <v>760000</v>
      </c>
      <c r="D26" s="45">
        <v>760000</v>
      </c>
      <c r="E26" s="45">
        <v>50000</v>
      </c>
      <c r="F26" s="45">
        <v>2069999.9999999998</v>
      </c>
      <c r="G26" s="45">
        <v>79400000</v>
      </c>
      <c r="H26" s="45">
        <v>7310000</v>
      </c>
      <c r="I26" s="45">
        <v>30610000</v>
      </c>
      <c r="J26" s="45">
        <v>42740000</v>
      </c>
      <c r="K26" s="45">
        <v>1840000</v>
      </c>
      <c r="L26" s="45">
        <v>12240000</v>
      </c>
      <c r="M26" s="45">
        <v>71440000</v>
      </c>
      <c r="N26" s="45">
        <v>792290000.00000012</v>
      </c>
      <c r="O26" s="45">
        <v>13530000</v>
      </c>
      <c r="P26" s="45">
        <v>7450000</v>
      </c>
      <c r="Q26" s="45">
        <v>3130000</v>
      </c>
      <c r="R26" s="45">
        <v>11780000</v>
      </c>
      <c r="S26" s="45">
        <v>120110000</v>
      </c>
      <c r="T26" s="45">
        <v>110550000</v>
      </c>
      <c r="U26" s="45">
        <v>35040000</v>
      </c>
      <c r="V26" s="45">
        <v>26180000</v>
      </c>
      <c r="W26" s="45">
        <v>14160000</v>
      </c>
      <c r="X26" s="45">
        <v>52769999.999999993</v>
      </c>
      <c r="Y26" s="45">
        <v>91310000</v>
      </c>
      <c r="Z26" s="45">
        <v>1580000</v>
      </c>
      <c r="AA26" s="45">
        <v>8359999.9999999991</v>
      </c>
      <c r="AB26" s="45">
        <v>16210000</v>
      </c>
      <c r="AC26" s="45">
        <v>7010000</v>
      </c>
      <c r="AD26" s="45">
        <v>18820000</v>
      </c>
      <c r="AE26" s="45">
        <v>6650000</v>
      </c>
      <c r="AF26" s="45">
        <v>1540000</v>
      </c>
      <c r="AG26" s="45">
        <v>5320000</v>
      </c>
      <c r="AP26" s="39"/>
    </row>
    <row r="27" spans="2:42" ht="15.75" customHeight="1">
      <c r="B27" s="1" t="s">
        <v>83</v>
      </c>
      <c r="C27" s="45">
        <v>110000</v>
      </c>
      <c r="D27" s="45">
        <v>220000</v>
      </c>
      <c r="E27" s="45">
        <v>0</v>
      </c>
      <c r="F27" s="45">
        <v>120000</v>
      </c>
      <c r="G27" s="45">
        <v>940000</v>
      </c>
      <c r="H27" s="45">
        <v>140000</v>
      </c>
      <c r="I27" s="45">
        <v>640000</v>
      </c>
      <c r="J27" s="45">
        <v>980000</v>
      </c>
      <c r="K27" s="45">
        <v>50000</v>
      </c>
      <c r="L27" s="45">
        <v>290000</v>
      </c>
      <c r="M27" s="45">
        <v>3579999.9999999995</v>
      </c>
      <c r="N27" s="45">
        <v>1390000.0000000002</v>
      </c>
      <c r="O27" s="45">
        <v>240000</v>
      </c>
      <c r="P27" s="45">
        <v>340000</v>
      </c>
      <c r="Q27" s="45">
        <v>210000</v>
      </c>
      <c r="R27" s="45">
        <v>970000</v>
      </c>
      <c r="S27" s="45">
        <v>1549999.9999999998</v>
      </c>
      <c r="T27" s="45">
        <v>1060000</v>
      </c>
      <c r="U27" s="45">
        <v>120000</v>
      </c>
      <c r="V27" s="45">
        <v>1510000</v>
      </c>
      <c r="W27" s="45">
        <v>820000.00000000012</v>
      </c>
      <c r="X27" s="45">
        <v>1130000</v>
      </c>
      <c r="Y27" s="45">
        <v>1420000</v>
      </c>
      <c r="Z27" s="45">
        <v>40000</v>
      </c>
      <c r="AA27" s="45">
        <v>30000</v>
      </c>
      <c r="AB27" s="45">
        <v>440000</v>
      </c>
      <c r="AC27" s="45">
        <v>90000</v>
      </c>
      <c r="AD27" s="45">
        <v>1020000</v>
      </c>
      <c r="AE27" s="45">
        <v>290000.00000000006</v>
      </c>
      <c r="AF27" s="45">
        <v>30000</v>
      </c>
      <c r="AG27" s="45">
        <v>730000</v>
      </c>
      <c r="AP27" s="39"/>
    </row>
    <row r="28" spans="2:42" ht="15.75" customHeight="1">
      <c r="B28" s="1" t="s">
        <v>85</v>
      </c>
      <c r="C28" s="45">
        <v>40000</v>
      </c>
      <c r="D28" s="45">
        <v>30000</v>
      </c>
      <c r="E28" s="45">
        <v>0</v>
      </c>
      <c r="F28" s="173">
        <v>0</v>
      </c>
      <c r="G28" s="173">
        <v>0</v>
      </c>
      <c r="H28" s="173">
        <v>0</v>
      </c>
      <c r="I28" s="45">
        <v>0</v>
      </c>
      <c r="J28" s="45">
        <v>0</v>
      </c>
      <c r="K28" s="173">
        <v>0</v>
      </c>
      <c r="L28" s="45">
        <v>0</v>
      </c>
      <c r="M28" s="45">
        <v>40000</v>
      </c>
      <c r="N28" s="45">
        <v>100000</v>
      </c>
      <c r="O28" s="173">
        <v>0</v>
      </c>
      <c r="P28" s="173">
        <v>0</v>
      </c>
      <c r="Q28" s="45">
        <v>0</v>
      </c>
      <c r="R28" s="45">
        <v>180000</v>
      </c>
      <c r="S28" s="45">
        <v>410000.00000000006</v>
      </c>
      <c r="T28" s="45">
        <v>590000.00000000012</v>
      </c>
      <c r="U28" s="45">
        <v>290000</v>
      </c>
      <c r="V28" s="45">
        <v>2030000.0000000002</v>
      </c>
      <c r="W28" s="45">
        <v>510000</v>
      </c>
      <c r="X28" s="45">
        <v>329999.99999999994</v>
      </c>
      <c r="Y28" s="45">
        <v>1020000</v>
      </c>
      <c r="Z28" s="45">
        <v>250000</v>
      </c>
      <c r="AA28" s="45">
        <v>130000</v>
      </c>
      <c r="AB28" s="45">
        <v>4270000</v>
      </c>
      <c r="AC28" s="45">
        <v>5320000</v>
      </c>
      <c r="AD28" s="45">
        <v>3510000</v>
      </c>
      <c r="AE28" s="45">
        <v>1310000</v>
      </c>
      <c r="AF28" s="45">
        <v>0</v>
      </c>
      <c r="AG28" s="45">
        <v>2820000</v>
      </c>
      <c r="AP28" s="39"/>
    </row>
    <row r="29" spans="2:42" ht="15.75" customHeight="1">
      <c r="B29" s="1" t="s">
        <v>88</v>
      </c>
      <c r="C29" s="45">
        <v>0</v>
      </c>
      <c r="D29" s="45">
        <v>0</v>
      </c>
      <c r="E29" s="45">
        <v>0</v>
      </c>
      <c r="F29" s="45">
        <v>0</v>
      </c>
      <c r="G29" s="45">
        <v>0</v>
      </c>
      <c r="H29" s="45">
        <v>0</v>
      </c>
      <c r="I29" s="45">
        <v>0</v>
      </c>
      <c r="J29" s="45">
        <v>0</v>
      </c>
      <c r="K29" s="45">
        <v>0</v>
      </c>
      <c r="L29" s="45">
        <v>0</v>
      </c>
      <c r="M29" s="45">
        <v>0</v>
      </c>
      <c r="N29" s="45">
        <v>0</v>
      </c>
      <c r="O29" s="45">
        <v>0</v>
      </c>
      <c r="P29" s="45">
        <v>0</v>
      </c>
      <c r="Q29" s="45">
        <v>0</v>
      </c>
      <c r="R29" s="45">
        <v>0</v>
      </c>
      <c r="S29" s="45">
        <v>0</v>
      </c>
      <c r="T29" s="45">
        <v>0</v>
      </c>
      <c r="U29" s="45">
        <v>0</v>
      </c>
      <c r="V29" s="45">
        <v>0</v>
      </c>
      <c r="W29" s="45">
        <v>0</v>
      </c>
      <c r="X29" s="45">
        <v>0</v>
      </c>
      <c r="Y29" s="45">
        <v>0</v>
      </c>
      <c r="Z29" s="45">
        <v>0</v>
      </c>
      <c r="AA29" s="45">
        <v>0</v>
      </c>
      <c r="AB29" s="45">
        <v>40000</v>
      </c>
      <c r="AC29" s="45">
        <v>10000</v>
      </c>
      <c r="AD29" s="45">
        <v>540000</v>
      </c>
      <c r="AE29" s="45">
        <v>0</v>
      </c>
      <c r="AF29" s="45">
        <v>0</v>
      </c>
      <c r="AG29" s="45">
        <v>10000</v>
      </c>
      <c r="AP29" s="39"/>
    </row>
    <row r="30" spans="2:42" ht="15.75" customHeight="1">
      <c r="B30" s="1" t="s">
        <v>91</v>
      </c>
      <c r="C30" s="45">
        <v>0</v>
      </c>
      <c r="D30" s="45">
        <v>0</v>
      </c>
      <c r="E30" s="45">
        <v>0</v>
      </c>
      <c r="F30" s="45">
        <v>0</v>
      </c>
      <c r="G30" s="45">
        <v>0</v>
      </c>
      <c r="H30" s="45">
        <v>0</v>
      </c>
      <c r="I30" s="45">
        <v>0</v>
      </c>
      <c r="J30" s="45">
        <v>0</v>
      </c>
      <c r="K30" s="45">
        <v>0</v>
      </c>
      <c r="L30" s="45">
        <v>0</v>
      </c>
      <c r="M30" s="45">
        <v>0</v>
      </c>
      <c r="N30" s="45">
        <v>0</v>
      </c>
      <c r="O30" s="45">
        <v>0</v>
      </c>
      <c r="P30" s="45">
        <v>0</v>
      </c>
      <c r="Q30" s="45">
        <v>0</v>
      </c>
      <c r="R30" s="45">
        <v>0</v>
      </c>
      <c r="S30" s="45">
        <v>0</v>
      </c>
      <c r="T30" s="45">
        <v>0</v>
      </c>
      <c r="U30" s="45">
        <v>0</v>
      </c>
      <c r="V30" s="45">
        <v>0</v>
      </c>
      <c r="W30" s="45">
        <v>0</v>
      </c>
      <c r="X30" s="45">
        <v>0</v>
      </c>
      <c r="Y30" s="45">
        <v>0</v>
      </c>
      <c r="Z30" s="45">
        <v>0</v>
      </c>
      <c r="AA30" s="45">
        <v>0</v>
      </c>
      <c r="AB30" s="45">
        <v>0</v>
      </c>
      <c r="AC30" s="45">
        <v>0</v>
      </c>
      <c r="AD30" s="45">
        <v>0</v>
      </c>
      <c r="AE30" s="45">
        <v>0</v>
      </c>
      <c r="AF30" s="45">
        <v>0</v>
      </c>
      <c r="AG30" s="45">
        <v>0</v>
      </c>
      <c r="AP30" s="39"/>
    </row>
    <row r="31" spans="2:42" ht="15.75" customHeight="1">
      <c r="B31" s="1" t="s">
        <v>93</v>
      </c>
      <c r="C31" s="173">
        <v>0</v>
      </c>
      <c r="D31" s="173">
        <v>0</v>
      </c>
      <c r="E31" s="173">
        <v>0</v>
      </c>
      <c r="F31" s="173">
        <v>0</v>
      </c>
      <c r="G31" s="173">
        <v>0</v>
      </c>
      <c r="H31" s="173">
        <v>0</v>
      </c>
      <c r="I31" s="45">
        <v>0</v>
      </c>
      <c r="J31" s="45">
        <v>0</v>
      </c>
      <c r="K31" s="173">
        <v>0</v>
      </c>
      <c r="L31" s="173">
        <v>0</v>
      </c>
      <c r="M31" s="45">
        <v>0</v>
      </c>
      <c r="N31" s="45">
        <v>0</v>
      </c>
      <c r="O31" s="173">
        <v>0</v>
      </c>
      <c r="P31" s="173">
        <v>0</v>
      </c>
      <c r="Q31" s="45">
        <v>0</v>
      </c>
      <c r="R31" s="173">
        <v>0</v>
      </c>
      <c r="S31" s="45">
        <v>0</v>
      </c>
      <c r="T31" s="45">
        <v>0</v>
      </c>
      <c r="U31" s="173">
        <v>0</v>
      </c>
      <c r="V31" s="45">
        <v>0</v>
      </c>
      <c r="W31" s="45">
        <v>0</v>
      </c>
      <c r="X31" s="45">
        <v>0</v>
      </c>
      <c r="Y31" s="45">
        <v>0</v>
      </c>
      <c r="Z31" s="173">
        <v>0</v>
      </c>
      <c r="AA31" s="173">
        <v>0</v>
      </c>
      <c r="AB31" s="173">
        <v>0</v>
      </c>
      <c r="AC31" s="173">
        <v>0</v>
      </c>
      <c r="AD31" s="45">
        <v>0</v>
      </c>
      <c r="AE31" s="45">
        <v>0</v>
      </c>
      <c r="AF31" s="173">
        <v>0</v>
      </c>
      <c r="AG31" s="45">
        <v>0</v>
      </c>
      <c r="AP31" s="39"/>
    </row>
    <row r="32" spans="2:42" ht="15.75" customHeight="1">
      <c r="B32" s="1" t="s">
        <v>95</v>
      </c>
      <c r="C32" s="45">
        <v>0</v>
      </c>
      <c r="D32" s="45">
        <v>0</v>
      </c>
      <c r="E32" s="45">
        <v>0</v>
      </c>
      <c r="F32" s="45">
        <v>0</v>
      </c>
      <c r="G32" s="45">
        <v>0</v>
      </c>
      <c r="H32" s="45">
        <v>0</v>
      </c>
      <c r="I32" s="45">
        <v>0</v>
      </c>
      <c r="J32" s="45">
        <v>0</v>
      </c>
      <c r="K32" s="45">
        <v>0</v>
      </c>
      <c r="L32" s="45">
        <v>0</v>
      </c>
      <c r="M32" s="45">
        <v>0</v>
      </c>
      <c r="N32" s="45">
        <v>0</v>
      </c>
      <c r="O32" s="45">
        <v>0</v>
      </c>
      <c r="P32" s="45">
        <v>0</v>
      </c>
      <c r="Q32" s="45">
        <v>0</v>
      </c>
      <c r="R32" s="45">
        <v>0</v>
      </c>
      <c r="S32" s="45">
        <v>0</v>
      </c>
      <c r="T32" s="45">
        <v>0</v>
      </c>
      <c r="U32" s="45">
        <v>0</v>
      </c>
      <c r="V32" s="45">
        <v>0</v>
      </c>
      <c r="W32" s="45">
        <v>0</v>
      </c>
      <c r="X32" s="45">
        <v>0</v>
      </c>
      <c r="Y32" s="45">
        <v>0</v>
      </c>
      <c r="Z32" s="45">
        <v>0</v>
      </c>
      <c r="AA32" s="45">
        <v>0</v>
      </c>
      <c r="AB32" s="45">
        <v>0</v>
      </c>
      <c r="AC32" s="45">
        <v>0</v>
      </c>
      <c r="AD32" s="45">
        <v>0</v>
      </c>
      <c r="AE32" s="45">
        <v>0</v>
      </c>
      <c r="AF32" s="45">
        <v>0</v>
      </c>
      <c r="AG32" s="45">
        <v>0</v>
      </c>
      <c r="AP32" s="39"/>
    </row>
    <row r="33" spans="1:38" ht="15.75" customHeight="1">
      <c r="B33" s="42"/>
      <c r="C33" s="59"/>
      <c r="D33" s="59"/>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row>
    <row r="34" spans="1:38" s="1" customFormat="1" ht="15.75" customHeight="1"/>
    <row r="35" spans="1:38" ht="15.75" customHeight="1">
      <c r="B35" s="60"/>
      <c r="C35" s="61" t="s">
        <v>31</v>
      </c>
      <c r="D35" s="61" t="s">
        <v>33</v>
      </c>
      <c r="E35" s="61" t="s">
        <v>35</v>
      </c>
      <c r="F35" s="61" t="s">
        <v>37</v>
      </c>
      <c r="G35" s="61" t="s">
        <v>39</v>
      </c>
      <c r="H35" s="61" t="s">
        <v>41</v>
      </c>
      <c r="I35" s="61" t="s">
        <v>43</v>
      </c>
      <c r="J35" s="113" t="s">
        <v>45</v>
      </c>
      <c r="K35" s="61" t="s">
        <v>46</v>
      </c>
      <c r="L35" s="61" t="s">
        <v>48</v>
      </c>
      <c r="M35" s="61" t="s">
        <v>50</v>
      </c>
      <c r="N35" s="61" t="s">
        <v>52</v>
      </c>
      <c r="O35" s="61" t="s">
        <v>54</v>
      </c>
      <c r="P35" s="61" t="s">
        <v>56</v>
      </c>
      <c r="Q35" s="61" t="s">
        <v>58</v>
      </c>
      <c r="R35" s="61" t="s">
        <v>61</v>
      </c>
      <c r="S35" s="61" t="s">
        <v>63</v>
      </c>
      <c r="T35" s="61" t="s">
        <v>65</v>
      </c>
      <c r="U35" s="61" t="s">
        <v>67</v>
      </c>
      <c r="V35" s="61" t="s">
        <v>69</v>
      </c>
      <c r="W35" s="61" t="s">
        <v>71</v>
      </c>
      <c r="X35" s="61" t="s">
        <v>73</v>
      </c>
      <c r="Y35" s="61" t="s">
        <v>75</v>
      </c>
      <c r="Z35" s="61" t="s">
        <v>77</v>
      </c>
      <c r="AA35" s="61" t="s">
        <v>79</v>
      </c>
      <c r="AB35" s="61" t="s">
        <v>81</v>
      </c>
      <c r="AC35" s="61" t="s">
        <v>83</v>
      </c>
      <c r="AD35" s="61" t="s">
        <v>85</v>
      </c>
      <c r="AE35" s="61" t="s">
        <v>88</v>
      </c>
      <c r="AF35" s="61" t="s">
        <v>91</v>
      </c>
      <c r="AG35" s="61" t="s">
        <v>93</v>
      </c>
      <c r="AH35" s="61" t="s">
        <v>95</v>
      </c>
      <c r="AI35" s="33" t="s">
        <v>153</v>
      </c>
    </row>
    <row r="36" spans="1:38" ht="15.75" customHeight="1">
      <c r="B36" s="25" t="s">
        <v>149</v>
      </c>
      <c r="C36" s="46">
        <v>474185999.99999899</v>
      </c>
      <c r="D36" s="46">
        <v>44825000</v>
      </c>
      <c r="E36" s="46">
        <v>17440999.999999899</v>
      </c>
      <c r="F36" s="46">
        <v>383252000</v>
      </c>
      <c r="G36" s="46">
        <v>1408114000</v>
      </c>
      <c r="H36" s="46">
        <v>607495000</v>
      </c>
      <c r="I36" s="46">
        <v>10980171000</v>
      </c>
      <c r="J36" s="114"/>
      <c r="K36" s="46">
        <v>5747782999.999979</v>
      </c>
      <c r="L36" s="46">
        <v>3620733000</v>
      </c>
      <c r="M36" s="46">
        <v>634110999.99999893</v>
      </c>
      <c r="N36" s="46">
        <v>18500950999.999989</v>
      </c>
      <c r="O36" s="46">
        <v>14182868000</v>
      </c>
      <c r="P36" s="46">
        <v>503411000</v>
      </c>
      <c r="Q36" s="46">
        <v>604495000</v>
      </c>
      <c r="R36" s="46">
        <v>273760999.99999994</v>
      </c>
      <c r="S36" s="46">
        <v>9332000</v>
      </c>
      <c r="T36" s="46">
        <v>1293010999.99999</v>
      </c>
      <c r="U36" s="46">
        <v>3640755999.9999804</v>
      </c>
      <c r="V36" s="46">
        <v>184691000</v>
      </c>
      <c r="W36" s="46">
        <v>2715784999.9999905</v>
      </c>
      <c r="X36" s="46">
        <v>639529999.99999881</v>
      </c>
      <c r="Y36" s="46">
        <v>55793999.999999896</v>
      </c>
      <c r="Z36" s="46">
        <v>1662095999.999999</v>
      </c>
      <c r="AA36" s="46">
        <v>388555999.99999905</v>
      </c>
      <c r="AB36" s="46">
        <v>104808000</v>
      </c>
      <c r="AC36" s="46">
        <v>99863000</v>
      </c>
      <c r="AD36" s="46">
        <v>8384000</v>
      </c>
      <c r="AE36" s="46">
        <v>19631999.999999892</v>
      </c>
      <c r="AF36" s="46">
        <v>27409000</v>
      </c>
      <c r="AG36" s="46">
        <v>15164000</v>
      </c>
      <c r="AH36" s="46">
        <v>1012000</v>
      </c>
      <c r="AI36" s="1">
        <f>SUM(C36:AH36)</f>
        <v>68849419999.999939</v>
      </c>
    </row>
    <row r="37" spans="1:38" ht="15.75" customHeight="1">
      <c r="B37" s="25" t="s">
        <v>154</v>
      </c>
      <c r="C37" s="36">
        <v>441478000</v>
      </c>
      <c r="D37" s="36">
        <v>102246000</v>
      </c>
      <c r="E37" s="36">
        <v>2301000</v>
      </c>
      <c r="F37" s="36">
        <v>145696000</v>
      </c>
      <c r="G37" s="36">
        <v>1576951000</v>
      </c>
      <c r="H37" s="36">
        <v>414921000</v>
      </c>
      <c r="I37" s="36">
        <v>2274141000</v>
      </c>
      <c r="J37" s="115">
        <v>170619000</v>
      </c>
      <c r="K37" s="36">
        <v>2546616000</v>
      </c>
      <c r="L37" s="36">
        <v>5683876000</v>
      </c>
      <c r="M37" s="36">
        <v>431667000</v>
      </c>
      <c r="N37" s="36">
        <v>10135073000</v>
      </c>
      <c r="O37" s="36">
        <v>8420656000</v>
      </c>
      <c r="P37" s="36">
        <v>375993000</v>
      </c>
      <c r="Q37" s="36">
        <v>1789351000</v>
      </c>
      <c r="R37" s="36">
        <v>344422000</v>
      </c>
      <c r="S37" s="36">
        <v>2945274000</v>
      </c>
      <c r="T37" s="36">
        <v>2938949000</v>
      </c>
      <c r="U37" s="36">
        <v>2265872000</v>
      </c>
      <c r="V37" s="36">
        <v>465146000</v>
      </c>
      <c r="W37" s="36">
        <v>1339850000</v>
      </c>
      <c r="X37" s="36">
        <v>634249000</v>
      </c>
      <c r="Y37" s="36">
        <v>299403000</v>
      </c>
      <c r="Z37" s="36">
        <v>1546505000</v>
      </c>
      <c r="AA37" s="36">
        <v>84090000</v>
      </c>
      <c r="AB37" s="36">
        <v>143733000</v>
      </c>
      <c r="AC37" s="36">
        <v>949775000</v>
      </c>
      <c r="AD37" s="36">
        <v>352203000</v>
      </c>
      <c r="AE37" s="36">
        <v>1181898000</v>
      </c>
      <c r="AF37" s="36">
        <v>245256000</v>
      </c>
      <c r="AG37" s="36">
        <v>52272000</v>
      </c>
      <c r="AH37" s="36">
        <v>230171000</v>
      </c>
      <c r="AI37" s="1">
        <f>SUM(C37:AH37)</f>
        <v>50530653000</v>
      </c>
      <c r="AJ37" s="1" t="s">
        <v>155</v>
      </c>
      <c r="AK37" s="1"/>
      <c r="AL37" s="1"/>
    </row>
    <row r="38" spans="1:38" ht="15.75" customHeight="1">
      <c r="B38" s="25"/>
      <c r="C38" s="36"/>
      <c r="D38" s="36"/>
      <c r="E38" s="36"/>
      <c r="F38" s="36"/>
      <c r="G38" s="36"/>
      <c r="H38" s="36"/>
      <c r="I38" s="36"/>
      <c r="J38" s="21" t="s">
        <v>156</v>
      </c>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1"/>
      <c r="AJ38" s="1"/>
      <c r="AK38" s="1"/>
      <c r="AL38" s="1"/>
    </row>
    <row r="39" spans="1:38" ht="15.75" customHeight="1">
      <c r="Z39" s="49"/>
    </row>
    <row r="40" spans="1:38" ht="15.75" customHeight="1">
      <c r="A40" s="18" t="s">
        <v>157</v>
      </c>
      <c r="B40" s="19"/>
      <c r="C40" s="53"/>
      <c r="D40" s="53"/>
      <c r="E40" s="53"/>
      <c r="F40" s="56"/>
      <c r="G40" s="53"/>
      <c r="Z40" s="49"/>
    </row>
    <row r="41" spans="1:38" ht="29.15" customHeight="1">
      <c r="B41" s="13" t="s">
        <v>158</v>
      </c>
      <c r="C41" s="51" t="s">
        <v>159</v>
      </c>
      <c r="D41" s="51" t="s">
        <v>160</v>
      </c>
      <c r="E41" s="51" t="s">
        <v>161</v>
      </c>
      <c r="G41" s="45" t="s">
        <v>162</v>
      </c>
      <c r="I41" s="1"/>
      <c r="J41" s="18" t="s">
        <v>163</v>
      </c>
      <c r="K41" s="18" t="s">
        <v>164</v>
      </c>
      <c r="L41" s="18" t="s">
        <v>165</v>
      </c>
      <c r="M41" s="4"/>
      <c r="N41" s="11"/>
      <c r="O41" s="25" t="s">
        <v>149</v>
      </c>
      <c r="T41" s="53" t="s">
        <v>166</v>
      </c>
      <c r="X41" s="52"/>
      <c r="Z41" s="49"/>
    </row>
    <row r="42" spans="1:38" ht="15.75" customHeight="1">
      <c r="A42" s="1" t="s">
        <v>31</v>
      </c>
      <c r="B42" s="13">
        <v>1</v>
      </c>
      <c r="C42" s="55" t="e">
        <f>J42/inputoutput!#REF!</f>
        <v>#REF!</v>
      </c>
      <c r="D42" s="55" t="e">
        <f>K42/inputoutput!#REF!</f>
        <v>#REF!</v>
      </c>
      <c r="E42" s="55" t="e">
        <f>L42/inputoutput!#REF!</f>
        <v>#REF!</v>
      </c>
      <c r="G42" s="45" t="e">
        <f t="shared" ref="G42:G72" si="0">J42/C42</f>
        <v>#REF!</v>
      </c>
      <c r="I42" s="11"/>
      <c r="J42" s="3">
        <v>146524000</v>
      </c>
      <c r="K42" s="3">
        <v>4000</v>
      </c>
      <c r="L42" s="28">
        <v>66000</v>
      </c>
      <c r="M42" s="11"/>
      <c r="N42" s="1" t="s">
        <v>31</v>
      </c>
      <c r="O42" s="3">
        <v>474185999.99999899</v>
      </c>
      <c r="T42" s="45">
        <v>11213615000</v>
      </c>
      <c r="Z42" s="49"/>
    </row>
    <row r="43" spans="1:38" ht="15.75" customHeight="1">
      <c r="A43" s="1" t="s">
        <v>33</v>
      </c>
      <c r="B43" s="13">
        <v>2</v>
      </c>
      <c r="C43" s="55" t="e">
        <f>J43/inputoutput!#REF!</f>
        <v>#REF!</v>
      </c>
      <c r="D43" s="55" t="e">
        <f>K43/inputoutput!#REF!</f>
        <v>#REF!</v>
      </c>
      <c r="E43" s="55" t="e">
        <f>L43/inputoutput!#REF!</f>
        <v>#REF!</v>
      </c>
      <c r="G43" s="45" t="e">
        <f t="shared" si="0"/>
        <v>#REF!</v>
      </c>
      <c r="I43" s="11"/>
      <c r="J43" s="3">
        <v>645000</v>
      </c>
      <c r="K43" s="3">
        <v>0</v>
      </c>
      <c r="L43" s="28">
        <v>52000</v>
      </c>
      <c r="M43" s="11"/>
      <c r="N43" s="1" t="s">
        <v>33</v>
      </c>
      <c r="O43" s="3">
        <v>44825000</v>
      </c>
      <c r="Z43" s="49"/>
    </row>
    <row r="44" spans="1:38" ht="15.75" customHeight="1">
      <c r="A44" s="1" t="s">
        <v>35</v>
      </c>
      <c r="B44" s="13">
        <v>3</v>
      </c>
      <c r="C44" s="55" t="e">
        <f>J44/inputoutput!#REF!</f>
        <v>#REF!</v>
      </c>
      <c r="D44" s="55" t="e">
        <f>K44/inputoutput!#REF!</f>
        <v>#REF!</v>
      </c>
      <c r="E44" s="55" t="e">
        <f>L44/inputoutput!#REF!</f>
        <v>#REF!</v>
      </c>
      <c r="G44" s="45" t="e">
        <f t="shared" si="0"/>
        <v>#REF!</v>
      </c>
      <c r="I44" s="11"/>
      <c r="J44" s="6">
        <v>419000</v>
      </c>
      <c r="K44" s="6">
        <v>0</v>
      </c>
      <c r="L44" s="28">
        <v>0</v>
      </c>
      <c r="M44" s="11"/>
      <c r="N44" s="1" t="s">
        <v>35</v>
      </c>
      <c r="O44" s="3">
        <v>17440999.999999899</v>
      </c>
      <c r="Z44" s="49"/>
    </row>
    <row r="45" spans="1:38" ht="15.75" customHeight="1">
      <c r="A45" s="1" t="s">
        <v>37</v>
      </c>
      <c r="B45" s="13">
        <v>4</v>
      </c>
      <c r="C45" s="55" t="e">
        <f>J45/inputoutput!#REF!</f>
        <v>#REF!</v>
      </c>
      <c r="D45" s="55" t="e">
        <f>K45/inputoutput!#REF!</f>
        <v>#REF!</v>
      </c>
      <c r="E45" s="55" t="e">
        <f>L45/inputoutput!#REF!</f>
        <v>#REF!</v>
      </c>
      <c r="G45" s="45" t="e">
        <f t="shared" si="0"/>
        <v>#REF!</v>
      </c>
      <c r="I45" s="11"/>
      <c r="J45" s="3">
        <v>32000</v>
      </c>
      <c r="K45" s="3">
        <v>0</v>
      </c>
      <c r="L45" s="28">
        <v>11000</v>
      </c>
      <c r="M45" s="11"/>
      <c r="N45" s="1" t="s">
        <v>37</v>
      </c>
      <c r="O45" s="3">
        <v>383252000</v>
      </c>
      <c r="Z45" s="49"/>
    </row>
    <row r="46" spans="1:38" ht="15.75" customHeight="1">
      <c r="A46" s="1" t="s">
        <v>39</v>
      </c>
      <c r="B46" s="13">
        <v>5</v>
      </c>
      <c r="C46" s="55" t="e">
        <f>J46/inputoutput!#REF!</f>
        <v>#REF!</v>
      </c>
      <c r="D46" s="55" t="e">
        <f>K46/inputoutput!#REF!</f>
        <v>#REF!</v>
      </c>
      <c r="E46" s="55" t="e">
        <f>L46/inputoutput!#REF!</f>
        <v>#REF!</v>
      </c>
      <c r="G46" s="45" t="e">
        <f t="shared" si="0"/>
        <v>#REF!</v>
      </c>
      <c r="I46" s="11"/>
      <c r="J46" s="3">
        <v>293426000</v>
      </c>
      <c r="K46" s="3">
        <v>69000</v>
      </c>
      <c r="L46" s="28">
        <v>115000</v>
      </c>
      <c r="M46" s="11"/>
      <c r="N46" s="1" t="s">
        <v>39</v>
      </c>
      <c r="O46" s="3">
        <v>1408114000</v>
      </c>
      <c r="Z46" s="49"/>
    </row>
    <row r="47" spans="1:38" ht="15.75" customHeight="1">
      <c r="A47" s="1" t="s">
        <v>41</v>
      </c>
      <c r="B47" s="13">
        <v>6</v>
      </c>
      <c r="C47" s="55" t="e">
        <f>J47/inputoutput!#REF!</f>
        <v>#REF!</v>
      </c>
      <c r="D47" s="55" t="e">
        <f>K47/inputoutput!#REF!</f>
        <v>#REF!</v>
      </c>
      <c r="E47" s="55" t="e">
        <f>L47/inputoutput!#REF!</f>
        <v>#REF!</v>
      </c>
      <c r="G47" s="45" t="e">
        <f t="shared" si="0"/>
        <v>#REF!</v>
      </c>
      <c r="I47" s="11"/>
      <c r="J47" s="3">
        <v>127857000</v>
      </c>
      <c r="K47" s="3">
        <v>12000</v>
      </c>
      <c r="L47" s="28">
        <v>215000</v>
      </c>
      <c r="M47" s="11"/>
      <c r="N47" s="1" t="s">
        <v>41</v>
      </c>
      <c r="O47" s="3">
        <v>607495000</v>
      </c>
      <c r="Z47" s="49"/>
    </row>
    <row r="48" spans="1:38" ht="15.75" customHeight="1">
      <c r="A48" s="1" t="s">
        <v>43</v>
      </c>
      <c r="B48" s="13">
        <v>7</v>
      </c>
      <c r="C48" s="55" t="e">
        <f>J48/inputoutput!#REF!</f>
        <v>#REF!</v>
      </c>
      <c r="D48" s="55" t="e">
        <f>K48/inputoutput!#REF!</f>
        <v>#REF!</v>
      </c>
      <c r="E48" s="55" t="e">
        <f>L48/inputoutput!#REF!</f>
        <v>#REF!</v>
      </c>
      <c r="G48" s="45" t="e">
        <f t="shared" si="0"/>
        <v>#REF!</v>
      </c>
      <c r="I48" s="11"/>
      <c r="J48" s="3">
        <v>7155000</v>
      </c>
      <c r="K48" s="3">
        <v>9000</v>
      </c>
      <c r="L48" s="28">
        <v>480000</v>
      </c>
      <c r="M48" s="11"/>
      <c r="N48" s="1" t="s">
        <v>43</v>
      </c>
      <c r="O48" s="3">
        <v>10980171000</v>
      </c>
      <c r="Z48" s="49"/>
    </row>
    <row r="49" spans="1:26" ht="15.75" customHeight="1">
      <c r="A49" s="1" t="s">
        <v>46</v>
      </c>
      <c r="B49" s="13">
        <v>8</v>
      </c>
      <c r="C49" s="55" t="e">
        <f>J49/inputoutput!#REF!</f>
        <v>#REF!</v>
      </c>
      <c r="D49" s="55" t="e">
        <f>K49/inputoutput!#REF!</f>
        <v>#REF!</v>
      </c>
      <c r="E49" s="55" t="e">
        <f>L49/inputoutput!#REF!</f>
        <v>#REF!</v>
      </c>
      <c r="G49" s="45" t="e">
        <f t="shared" si="0"/>
        <v>#REF!</v>
      </c>
      <c r="I49" s="11"/>
      <c r="J49" s="3">
        <v>48325000</v>
      </c>
      <c r="K49" s="6">
        <v>20296000</v>
      </c>
      <c r="L49" s="28">
        <v>1237000</v>
      </c>
      <c r="M49" s="11"/>
      <c r="N49" s="1" t="s">
        <v>46</v>
      </c>
      <c r="O49" s="3">
        <v>5747782999.999979</v>
      </c>
      <c r="Z49" s="49"/>
    </row>
    <row r="50" spans="1:26" ht="15.75" customHeight="1">
      <c r="A50" s="1" t="s">
        <v>48</v>
      </c>
      <c r="B50" s="13">
        <v>9</v>
      </c>
      <c r="C50" s="55" t="e">
        <f>J50/inputoutput!#REF!</f>
        <v>#REF!</v>
      </c>
      <c r="D50" s="55" t="e">
        <f>K50/inputoutput!#REF!</f>
        <v>#REF!</v>
      </c>
      <c r="E50" s="55" t="e">
        <f>L50/inputoutput!#REF!</f>
        <v>#REF!</v>
      </c>
      <c r="G50" s="45" t="e">
        <f t="shared" si="0"/>
        <v>#REF!</v>
      </c>
      <c r="I50" s="11"/>
      <c r="J50" s="3">
        <v>9405000</v>
      </c>
      <c r="K50" s="3">
        <v>35000</v>
      </c>
      <c r="L50" s="28">
        <v>25000</v>
      </c>
      <c r="M50" s="11"/>
      <c r="N50" s="1" t="s">
        <v>48</v>
      </c>
      <c r="O50" s="3">
        <v>3620733000</v>
      </c>
      <c r="Z50" s="49"/>
    </row>
    <row r="51" spans="1:26" ht="15.75" customHeight="1">
      <c r="A51" s="1" t="s">
        <v>50</v>
      </c>
      <c r="B51" s="13">
        <v>10</v>
      </c>
      <c r="C51" s="55" t="e">
        <f>J51/inputoutput!#REF!</f>
        <v>#REF!</v>
      </c>
      <c r="D51" s="55" t="e">
        <f>K51/inputoutput!#REF!</f>
        <v>#REF!</v>
      </c>
      <c r="E51" s="55" t="e">
        <f>L51/inputoutput!#REF!</f>
        <v>#REF!</v>
      </c>
      <c r="G51" s="45" t="e">
        <f t="shared" si="0"/>
        <v>#REF!</v>
      </c>
      <c r="I51" s="11"/>
      <c r="J51" s="3">
        <v>3115000</v>
      </c>
      <c r="K51" s="3">
        <v>6000</v>
      </c>
      <c r="L51" s="28">
        <v>89000</v>
      </c>
      <c r="M51" s="11"/>
      <c r="N51" s="1" t="s">
        <v>50</v>
      </c>
      <c r="O51" s="3">
        <v>634110999.99999893</v>
      </c>
      <c r="Z51" s="49"/>
    </row>
    <row r="52" spans="1:26" ht="15.75" customHeight="1">
      <c r="A52" s="1" t="s">
        <v>52</v>
      </c>
      <c r="B52" s="13">
        <v>11</v>
      </c>
      <c r="C52" s="55" t="e">
        <f>J52/inputoutput!#REF!</f>
        <v>#REF!</v>
      </c>
      <c r="D52" s="55" t="e">
        <f>K52/inputoutput!#REF!</f>
        <v>#REF!</v>
      </c>
      <c r="E52" s="55" t="e">
        <f>L52/inputoutput!#REF!</f>
        <v>#REF!</v>
      </c>
      <c r="G52" s="45" t="e">
        <f t="shared" si="0"/>
        <v>#REF!</v>
      </c>
      <c r="I52" s="11"/>
      <c r="J52" s="3">
        <v>53422000</v>
      </c>
      <c r="K52" s="3">
        <v>44000</v>
      </c>
      <c r="L52" s="28">
        <v>50818000</v>
      </c>
      <c r="M52" s="11"/>
      <c r="N52" s="1" t="s">
        <v>52</v>
      </c>
      <c r="O52" s="3">
        <v>18500950999.999989</v>
      </c>
      <c r="Z52" s="49"/>
    </row>
    <row r="53" spans="1:26" ht="15.75" customHeight="1">
      <c r="A53" s="1" t="s">
        <v>54</v>
      </c>
      <c r="B53" s="13">
        <v>12</v>
      </c>
      <c r="C53" s="55" t="e">
        <f>J53/inputoutput!#REF!</f>
        <v>#REF!</v>
      </c>
      <c r="D53" s="55" t="e">
        <f>K53/inputoutput!#REF!</f>
        <v>#REF!</v>
      </c>
      <c r="E53" s="55" t="e">
        <f>L53/inputoutput!#REF!</f>
        <v>#REF!</v>
      </c>
      <c r="G53" s="45" t="e">
        <f t="shared" si="0"/>
        <v>#REF!</v>
      </c>
      <c r="I53" s="11"/>
      <c r="J53" s="3">
        <v>22842000</v>
      </c>
      <c r="K53" s="3">
        <v>3000</v>
      </c>
      <c r="L53" s="28">
        <v>7490000</v>
      </c>
      <c r="M53" s="11"/>
      <c r="N53" s="1" t="s">
        <v>54</v>
      </c>
      <c r="O53" s="3">
        <v>14182868000</v>
      </c>
      <c r="Z53" s="49"/>
    </row>
    <row r="54" spans="1:26" ht="15.75" customHeight="1">
      <c r="A54" s="1" t="s">
        <v>56</v>
      </c>
      <c r="B54" s="13">
        <v>13</v>
      </c>
      <c r="C54" s="55" t="e">
        <f>J54/inputoutput!#REF!</f>
        <v>#REF!</v>
      </c>
      <c r="D54" s="55" t="e">
        <f>K54/inputoutput!#REF!</f>
        <v>#REF!</v>
      </c>
      <c r="E54" s="55" t="e">
        <f>L54/inputoutput!#REF!</f>
        <v>#REF!</v>
      </c>
      <c r="G54" s="45" t="e">
        <f t="shared" si="0"/>
        <v>#REF!</v>
      </c>
      <c r="I54" s="11"/>
      <c r="J54" s="3">
        <v>54821000</v>
      </c>
      <c r="K54" s="3">
        <v>37000</v>
      </c>
      <c r="L54" s="28">
        <v>8606000</v>
      </c>
      <c r="M54" s="11"/>
      <c r="N54" s="1" t="s">
        <v>56</v>
      </c>
      <c r="O54" s="3">
        <v>503411000</v>
      </c>
      <c r="Z54" s="49"/>
    </row>
    <row r="55" spans="1:26" ht="15.75" customHeight="1">
      <c r="A55" s="1" t="s">
        <v>58</v>
      </c>
      <c r="B55" s="13">
        <v>14</v>
      </c>
      <c r="C55" s="55" t="e">
        <f>J55/inputoutput!#REF!</f>
        <v>#REF!</v>
      </c>
      <c r="D55" s="55" t="e">
        <f>K55/inputoutput!#REF!</f>
        <v>#REF!</v>
      </c>
      <c r="E55" s="55" t="e">
        <f>L55/inputoutput!#REF!</f>
        <v>#REF!</v>
      </c>
      <c r="G55" s="45" t="e">
        <f t="shared" si="0"/>
        <v>#REF!</v>
      </c>
      <c r="I55" s="11"/>
      <c r="J55" s="3">
        <v>3401000</v>
      </c>
      <c r="K55" s="3">
        <v>141000</v>
      </c>
      <c r="L55" s="28">
        <v>1703000</v>
      </c>
      <c r="M55" s="11"/>
      <c r="N55" s="1" t="s">
        <v>58</v>
      </c>
      <c r="O55" s="3">
        <v>604495000</v>
      </c>
      <c r="Z55" s="49"/>
    </row>
    <row r="56" spans="1:26" ht="15.75" customHeight="1">
      <c r="A56" s="1" t="s">
        <v>61</v>
      </c>
      <c r="B56" s="13">
        <v>15</v>
      </c>
      <c r="C56" s="55" t="e">
        <f>J56/inputoutput!#REF!</f>
        <v>#REF!</v>
      </c>
      <c r="D56" s="55" t="e">
        <f>K56/inputoutput!#REF!</f>
        <v>#REF!</v>
      </c>
      <c r="E56" s="55" t="e">
        <f>L56/inputoutput!#REF!</f>
        <v>#REF!</v>
      </c>
      <c r="G56" s="45" t="e">
        <f t="shared" si="0"/>
        <v>#REF!</v>
      </c>
      <c r="I56" s="11"/>
      <c r="J56" s="3">
        <v>248000</v>
      </c>
      <c r="K56" s="3">
        <v>5000</v>
      </c>
      <c r="L56" s="28">
        <v>70000</v>
      </c>
      <c r="M56" s="11"/>
      <c r="N56" s="1" t="s">
        <v>61</v>
      </c>
      <c r="O56" s="3">
        <v>273760999.99999994</v>
      </c>
      <c r="Z56" s="49"/>
    </row>
    <row r="57" spans="1:26" ht="15.75" customHeight="1">
      <c r="A57" s="1" t="s">
        <v>63</v>
      </c>
      <c r="B57" s="13">
        <v>16</v>
      </c>
      <c r="C57" s="55" t="e">
        <f>J57/inputoutput!#REF!</f>
        <v>#REF!</v>
      </c>
      <c r="D57" s="55" t="e">
        <f>K57/inputoutput!#REF!</f>
        <v>#REF!</v>
      </c>
      <c r="E57" s="55" t="e">
        <f>L57/inputoutput!#REF!</f>
        <v>#REF!</v>
      </c>
      <c r="G57" s="45" t="e">
        <f t="shared" si="0"/>
        <v>#REF!</v>
      </c>
      <c r="I57" s="11"/>
      <c r="J57" s="3">
        <v>513000</v>
      </c>
      <c r="K57" s="3">
        <v>0</v>
      </c>
      <c r="L57" s="28">
        <v>9577000</v>
      </c>
      <c r="M57" s="11"/>
      <c r="N57" s="1" t="s">
        <v>63</v>
      </c>
      <c r="O57" s="3">
        <v>9332000</v>
      </c>
      <c r="Z57" s="49"/>
    </row>
    <row r="58" spans="1:26" ht="15.75" customHeight="1">
      <c r="A58" s="1" t="s">
        <v>65</v>
      </c>
      <c r="B58" s="13">
        <v>17</v>
      </c>
      <c r="C58" s="55" t="e">
        <f>J58/inputoutput!#REF!</f>
        <v>#REF!</v>
      </c>
      <c r="D58" s="55" t="e">
        <f>K58/inputoutput!#REF!</f>
        <v>#REF!</v>
      </c>
      <c r="E58" s="55" t="e">
        <f>L58/inputoutput!#REF!</f>
        <v>#REF!</v>
      </c>
      <c r="G58" s="45" t="e">
        <f t="shared" si="0"/>
        <v>#REF!</v>
      </c>
      <c r="I58" s="11"/>
      <c r="J58" s="3">
        <v>1998000</v>
      </c>
      <c r="K58" s="3">
        <v>690000</v>
      </c>
      <c r="L58" s="28">
        <v>730000</v>
      </c>
      <c r="M58" s="11"/>
      <c r="N58" s="1" t="s">
        <v>65</v>
      </c>
      <c r="O58" s="3">
        <v>1293010999.99999</v>
      </c>
      <c r="Z58" s="49"/>
    </row>
    <row r="59" spans="1:26" ht="15.75" customHeight="1">
      <c r="A59" s="1" t="s">
        <v>67</v>
      </c>
      <c r="B59" s="13">
        <v>18</v>
      </c>
      <c r="C59" s="55" t="e">
        <f>J59/inputoutput!#REF!</f>
        <v>#REF!</v>
      </c>
      <c r="D59" s="55" t="e">
        <f>K59/inputoutput!#REF!</f>
        <v>#REF!</v>
      </c>
      <c r="E59" s="55" t="e">
        <f>L59/inputoutput!#REF!</f>
        <v>#REF!</v>
      </c>
      <c r="G59" s="45" t="e">
        <f t="shared" si="0"/>
        <v>#REF!</v>
      </c>
      <c r="I59" s="11"/>
      <c r="J59" s="3">
        <v>89234000</v>
      </c>
      <c r="K59" s="3">
        <v>9000</v>
      </c>
      <c r="L59" s="28">
        <v>910000</v>
      </c>
      <c r="M59" s="11"/>
      <c r="N59" s="1" t="s">
        <v>67</v>
      </c>
      <c r="O59" s="3">
        <v>3640755999.9999804</v>
      </c>
      <c r="Z59" s="49"/>
    </row>
    <row r="60" spans="1:26" ht="15.75" customHeight="1">
      <c r="A60" s="1" t="s">
        <v>69</v>
      </c>
      <c r="B60" s="13">
        <v>19</v>
      </c>
      <c r="C60" s="55" t="e">
        <f>J60/inputoutput!#REF!</f>
        <v>#REF!</v>
      </c>
      <c r="D60" s="55" t="e">
        <f>K60/inputoutput!#REF!</f>
        <v>#REF!</v>
      </c>
      <c r="E60" s="55" t="e">
        <f>L60/inputoutput!#REF!</f>
        <v>#REF!</v>
      </c>
      <c r="G60" s="45" t="e">
        <f t="shared" si="0"/>
        <v>#REF!</v>
      </c>
      <c r="I60" s="11"/>
      <c r="J60" s="3">
        <v>454023000</v>
      </c>
      <c r="K60" s="3">
        <v>1000</v>
      </c>
      <c r="L60" s="28">
        <v>24000</v>
      </c>
      <c r="M60" s="11"/>
      <c r="N60" s="1" t="s">
        <v>69</v>
      </c>
      <c r="O60" s="3">
        <v>184691000</v>
      </c>
      <c r="Z60" s="49"/>
    </row>
    <row r="61" spans="1:26" ht="15.75" customHeight="1">
      <c r="A61" s="1" t="s">
        <v>71</v>
      </c>
      <c r="B61" s="13">
        <v>20</v>
      </c>
      <c r="C61" s="55" t="e">
        <f>J61/inputoutput!#REF!</f>
        <v>#REF!</v>
      </c>
      <c r="D61" s="55" t="e">
        <f>K61/inputoutput!#REF!</f>
        <v>#REF!</v>
      </c>
      <c r="E61" s="55" t="e">
        <f>L61/inputoutput!#REF!</f>
        <v>#REF!</v>
      </c>
      <c r="G61" s="45" t="e">
        <f t="shared" si="0"/>
        <v>#REF!</v>
      </c>
      <c r="I61" s="4"/>
      <c r="J61" s="3">
        <v>46161000</v>
      </c>
      <c r="K61" s="3">
        <v>2000</v>
      </c>
      <c r="L61" s="28">
        <v>68839000</v>
      </c>
      <c r="M61" s="4"/>
      <c r="N61" s="1" t="s">
        <v>71</v>
      </c>
      <c r="O61" s="3">
        <v>2715784999.9999905</v>
      </c>
      <c r="Z61" s="49"/>
    </row>
    <row r="62" spans="1:26" ht="15.75" customHeight="1">
      <c r="A62" s="1" t="s">
        <v>73</v>
      </c>
      <c r="B62" s="13">
        <v>21</v>
      </c>
      <c r="C62" s="55" t="e">
        <f>J62/inputoutput!#REF!</f>
        <v>#REF!</v>
      </c>
      <c r="D62" s="55" t="e">
        <f>K62/inputoutput!#REF!</f>
        <v>#REF!</v>
      </c>
      <c r="E62" s="55" t="e">
        <f>L62/inputoutput!#REF!</f>
        <v>#REF!</v>
      </c>
      <c r="G62" s="45" t="e">
        <f t="shared" si="0"/>
        <v>#REF!</v>
      </c>
      <c r="I62" s="11"/>
      <c r="J62" s="11">
        <v>33108000</v>
      </c>
      <c r="K62" s="11">
        <v>0</v>
      </c>
      <c r="L62" s="40">
        <v>780000</v>
      </c>
      <c r="M62" s="11"/>
      <c r="N62" s="1" t="s">
        <v>73</v>
      </c>
      <c r="O62" s="3">
        <v>639529999.99999881</v>
      </c>
      <c r="Z62" s="49"/>
    </row>
    <row r="63" spans="1:26" ht="15.75" customHeight="1">
      <c r="A63" s="1" t="s">
        <v>75</v>
      </c>
      <c r="B63" s="13">
        <v>22</v>
      </c>
      <c r="C63" s="55" t="e">
        <f>J63/inputoutput!#REF!</f>
        <v>#REF!</v>
      </c>
      <c r="D63" s="55" t="e">
        <f>K63/inputoutput!#REF!</f>
        <v>#REF!</v>
      </c>
      <c r="E63" s="55" t="e">
        <f>L63/inputoutput!#REF!</f>
        <v>#REF!</v>
      </c>
      <c r="G63" s="45" t="e">
        <f t="shared" si="0"/>
        <v>#REF!</v>
      </c>
      <c r="I63"/>
      <c r="J63" s="11">
        <v>641000</v>
      </c>
      <c r="K63" s="11">
        <v>64000</v>
      </c>
      <c r="L63" s="40">
        <v>153000</v>
      </c>
      <c r="M63" s="11"/>
      <c r="N63" s="1" t="s">
        <v>75</v>
      </c>
      <c r="O63" s="3">
        <v>55793999.999999896</v>
      </c>
      <c r="Z63" s="49"/>
    </row>
    <row r="64" spans="1:26" ht="15.75" customHeight="1">
      <c r="A64" s="1" t="s">
        <v>77</v>
      </c>
      <c r="B64" s="13">
        <v>23</v>
      </c>
      <c r="C64" s="55" t="e">
        <f>J64/inputoutput!#REF!</f>
        <v>#REF!</v>
      </c>
      <c r="D64" s="55" t="e">
        <f>K64/inputoutput!#REF!</f>
        <v>#REF!</v>
      </c>
      <c r="E64" s="55" t="e">
        <f>L64/inputoutput!#REF!</f>
        <v>#REF!</v>
      </c>
      <c r="G64" s="45" t="e">
        <f t="shared" si="0"/>
        <v>#REF!</v>
      </c>
      <c r="I64"/>
      <c r="J64" s="11">
        <v>8120000</v>
      </c>
      <c r="K64" s="11">
        <v>4000</v>
      </c>
      <c r="L64" s="40">
        <v>7512000</v>
      </c>
      <c r="M64" s="11"/>
      <c r="N64" s="1" t="s">
        <v>77</v>
      </c>
      <c r="O64" s="3">
        <v>1662095999.999999</v>
      </c>
      <c r="Z64" s="49"/>
    </row>
    <row r="65" spans="1:32" ht="15.75" customHeight="1">
      <c r="A65" s="1" t="s">
        <v>79</v>
      </c>
      <c r="B65" s="13">
        <v>24</v>
      </c>
      <c r="C65" s="55" t="e">
        <f>J65/inputoutput!#REF!</f>
        <v>#REF!</v>
      </c>
      <c r="D65" s="55" t="e">
        <f>K65/inputoutput!#REF!</f>
        <v>#REF!</v>
      </c>
      <c r="E65" s="55" t="e">
        <f>L65/inputoutput!#REF!</f>
        <v>#REF!</v>
      </c>
      <c r="G65" s="45" t="e">
        <f t="shared" si="0"/>
        <v>#REF!</v>
      </c>
      <c r="I65"/>
      <c r="J65">
        <v>657000</v>
      </c>
      <c r="K65">
        <v>50000</v>
      </c>
      <c r="L65" s="22">
        <v>3841000</v>
      </c>
      <c r="M65"/>
      <c r="N65" s="1" t="s">
        <v>79</v>
      </c>
      <c r="O65" s="3">
        <v>388555999.99999905</v>
      </c>
      <c r="Z65" s="49"/>
    </row>
    <row r="66" spans="1:32" ht="15.75" customHeight="1">
      <c r="A66" s="1" t="s">
        <v>81</v>
      </c>
      <c r="B66" s="13">
        <v>25</v>
      </c>
      <c r="C66" s="55" t="e">
        <f>J66/inputoutput!#REF!</f>
        <v>#REF!</v>
      </c>
      <c r="D66" s="55" t="e">
        <f>K66/inputoutput!#REF!</f>
        <v>#REF!</v>
      </c>
      <c r="E66" s="55" t="e">
        <f>L66/inputoutput!#REF!</f>
        <v>#REF!</v>
      </c>
      <c r="G66" s="45" t="e">
        <f t="shared" si="0"/>
        <v>#REF!</v>
      </c>
      <c r="I66"/>
      <c r="J66">
        <v>53000</v>
      </c>
      <c r="K66">
        <v>0</v>
      </c>
      <c r="L66" s="22">
        <v>110000</v>
      </c>
      <c r="M66"/>
      <c r="N66" s="1" t="s">
        <v>81</v>
      </c>
      <c r="O66" s="3">
        <v>104808000</v>
      </c>
      <c r="Z66" s="49"/>
    </row>
    <row r="67" spans="1:32" ht="15.75" customHeight="1">
      <c r="A67" s="1" t="s">
        <v>83</v>
      </c>
      <c r="B67" s="13">
        <v>26</v>
      </c>
      <c r="C67" s="55" t="e">
        <f>J67/inputoutput!#REF!</f>
        <v>#REF!</v>
      </c>
      <c r="D67" s="55" t="e">
        <f>K67/inputoutput!#REF!</f>
        <v>#REF!</v>
      </c>
      <c r="E67" s="55" t="e">
        <f>L67/inputoutput!#REF!</f>
        <v>#REF!</v>
      </c>
      <c r="G67" s="45" t="e">
        <f t="shared" si="0"/>
        <v>#REF!</v>
      </c>
      <c r="I67"/>
      <c r="J67">
        <v>9820000</v>
      </c>
      <c r="K67">
        <v>1426000</v>
      </c>
      <c r="L67" s="22">
        <v>5943000</v>
      </c>
      <c r="M67"/>
      <c r="N67" s="1" t="s">
        <v>83</v>
      </c>
      <c r="O67" s="3">
        <v>99863000</v>
      </c>
      <c r="Z67" s="49"/>
    </row>
    <row r="68" spans="1:32" ht="15.75" customHeight="1">
      <c r="A68" s="1" t="s">
        <v>85</v>
      </c>
      <c r="B68" s="13">
        <v>27</v>
      </c>
      <c r="C68" s="55" t="e">
        <f>J68/inputoutput!#REF!</f>
        <v>#REF!</v>
      </c>
      <c r="D68" s="55" t="e">
        <f>K68/inputoutput!#REF!</f>
        <v>#REF!</v>
      </c>
      <c r="E68" s="55" t="e">
        <f>L68/inputoutput!#REF!</f>
        <v>#REF!</v>
      </c>
      <c r="G68" s="45" t="e">
        <f t="shared" si="0"/>
        <v>#REF!</v>
      </c>
      <c r="I68"/>
      <c r="J68">
        <v>119872000</v>
      </c>
      <c r="K68">
        <v>1014000</v>
      </c>
      <c r="L68" s="22">
        <v>8523000</v>
      </c>
      <c r="M68"/>
      <c r="N68" s="1" t="s">
        <v>85</v>
      </c>
      <c r="O68" s="3">
        <v>8384000</v>
      </c>
      <c r="Z68" s="49"/>
    </row>
    <row r="69" spans="1:32" ht="15.75" customHeight="1">
      <c r="A69" s="1" t="s">
        <v>88</v>
      </c>
      <c r="B69" s="13">
        <v>28</v>
      </c>
      <c r="C69" s="55" t="e">
        <f>J69/inputoutput!#REF!</f>
        <v>#REF!</v>
      </c>
      <c r="D69" s="55" t="e">
        <f>K69/inputoutput!#REF!</f>
        <v>#REF!</v>
      </c>
      <c r="E69" s="55" t="e">
        <f>L69/inputoutput!#REF!</f>
        <v>#REF!</v>
      </c>
      <c r="G69" s="45" t="e">
        <f t="shared" si="0"/>
        <v>#REF!</v>
      </c>
      <c r="I69"/>
      <c r="J69">
        <v>6258000</v>
      </c>
      <c r="K69">
        <v>3163000</v>
      </c>
      <c r="L69" s="22">
        <v>1069000</v>
      </c>
      <c r="M69"/>
      <c r="N69" s="1" t="s">
        <v>88</v>
      </c>
      <c r="O69" s="3">
        <v>19631999.999999892</v>
      </c>
      <c r="Z69" s="49"/>
    </row>
    <row r="70" spans="1:32" ht="15.75" customHeight="1">
      <c r="A70" s="1" t="s">
        <v>91</v>
      </c>
      <c r="B70" s="13">
        <v>29</v>
      </c>
      <c r="C70" s="55" t="e">
        <f>J70/inputoutput!#REF!</f>
        <v>#REF!</v>
      </c>
      <c r="D70" s="55" t="e">
        <f>K70/inputoutput!#REF!</f>
        <v>#REF!</v>
      </c>
      <c r="E70" s="55" t="e">
        <f>L70/inputoutput!#REF!</f>
        <v>#REF!</v>
      </c>
      <c r="G70" s="45" t="e">
        <f t="shared" si="0"/>
        <v>#REF!</v>
      </c>
      <c r="I70"/>
      <c r="J70">
        <v>3797000</v>
      </c>
      <c r="K70">
        <v>3000</v>
      </c>
      <c r="L70" s="22">
        <v>189000</v>
      </c>
      <c r="M70"/>
      <c r="N70" s="1" t="s">
        <v>91</v>
      </c>
      <c r="O70" s="3">
        <v>27409000</v>
      </c>
      <c r="Z70" s="49"/>
    </row>
    <row r="71" spans="1:32" ht="15.75" customHeight="1">
      <c r="A71" s="1" t="s">
        <v>93</v>
      </c>
      <c r="B71" s="13">
        <v>30</v>
      </c>
      <c r="C71" s="55" t="e">
        <f>J71/inputoutput!#REF!</f>
        <v>#REF!</v>
      </c>
      <c r="D71" s="55" t="e">
        <f>K71/inputoutput!#REF!</f>
        <v>#REF!</v>
      </c>
      <c r="E71" s="55" t="e">
        <f>L71/inputoutput!#REF!</f>
        <v>#REF!</v>
      </c>
      <c r="G71" s="45" t="e">
        <f t="shared" si="0"/>
        <v>#REF!</v>
      </c>
      <c r="I71"/>
      <c r="J71">
        <v>29000</v>
      </c>
      <c r="K71">
        <v>11000</v>
      </c>
      <c r="L71" s="22">
        <v>28000</v>
      </c>
      <c r="M71"/>
      <c r="N71" s="1" t="s">
        <v>93</v>
      </c>
      <c r="O71" s="3">
        <v>15164000</v>
      </c>
      <c r="Z71" s="49"/>
    </row>
    <row r="72" spans="1:32" ht="15.75" customHeight="1">
      <c r="A72" s="1" t="s">
        <v>95</v>
      </c>
      <c r="B72" s="13">
        <v>31</v>
      </c>
      <c r="C72" s="55" t="e">
        <f>J72/inputoutput!#REF!</f>
        <v>#REF!</v>
      </c>
      <c r="D72" s="55" t="e">
        <f>K72/inputoutput!#REF!</f>
        <v>#REF!</v>
      </c>
      <c r="E72" s="55" t="e">
        <f>L72/inputoutput!#REF!</f>
        <v>#REF!</v>
      </c>
      <c r="G72" s="45" t="e">
        <f t="shared" si="0"/>
        <v>#REF!</v>
      </c>
      <c r="I72"/>
      <c r="J72">
        <v>3329000</v>
      </c>
      <c r="K72">
        <v>84000</v>
      </c>
      <c r="L72" s="22">
        <v>224000</v>
      </c>
      <c r="M72"/>
      <c r="N72" s="1" t="s">
        <v>95</v>
      </c>
      <c r="O72" s="3">
        <v>1012000</v>
      </c>
      <c r="Z72" s="49"/>
    </row>
    <row r="73" spans="1:32" ht="15.75" customHeight="1">
      <c r="B73" s="13"/>
      <c r="I73" s="33" t="s">
        <v>153</v>
      </c>
      <c r="J73" s="42">
        <f>SUM(J42:J72)</f>
        <v>1549250000</v>
      </c>
      <c r="K73" s="42">
        <f t="shared" ref="K73:O73" si="1">SUM(K42:K72)</f>
        <v>27182000</v>
      </c>
      <c r="L73" s="42">
        <f t="shared" si="1"/>
        <v>179429000</v>
      </c>
      <c r="M73"/>
      <c r="N73" s="43" t="s">
        <v>153</v>
      </c>
      <c r="O73" s="42">
        <f t="shared" si="1"/>
        <v>68849419999.999939</v>
      </c>
      <c r="P73" s="45" t="s">
        <v>153</v>
      </c>
      <c r="Z73" s="49"/>
    </row>
    <row r="74" spans="1:32" ht="15.75" customHeight="1">
      <c r="Z74" s="49"/>
    </row>
    <row r="75" spans="1:32" ht="15.75" customHeight="1">
      <c r="A75" s="18" t="s">
        <v>167</v>
      </c>
      <c r="B75" s="19"/>
      <c r="C75" s="53"/>
      <c r="D75" s="53"/>
      <c r="E75" s="53"/>
      <c r="F75" s="53"/>
      <c r="G75" s="50"/>
      <c r="H75" s="50"/>
      <c r="I75" s="50"/>
      <c r="J75" s="50"/>
      <c r="K75" s="50"/>
      <c r="L75" s="50"/>
      <c r="M75" s="50"/>
      <c r="N75" s="50"/>
      <c r="O75" s="50"/>
      <c r="P75" s="50"/>
      <c r="Q75" s="50"/>
      <c r="R75" s="50"/>
      <c r="S75" s="50"/>
      <c r="T75" s="50"/>
      <c r="U75" s="50"/>
      <c r="V75" s="50"/>
      <c r="Z75" s="49"/>
    </row>
    <row r="76" spans="1:32" ht="15.75" customHeight="1">
      <c r="B76" s="1" t="s">
        <v>31</v>
      </c>
      <c r="C76" s="1" t="s">
        <v>33</v>
      </c>
      <c r="D76" s="1" t="s">
        <v>35</v>
      </c>
      <c r="E76" s="1" t="s">
        <v>37</v>
      </c>
      <c r="F76" s="1" t="s">
        <v>39</v>
      </c>
      <c r="G76" s="1" t="s">
        <v>41</v>
      </c>
      <c r="H76" s="1" t="s">
        <v>43</v>
      </c>
      <c r="I76" s="1" t="s">
        <v>46</v>
      </c>
      <c r="J76" s="1" t="s">
        <v>48</v>
      </c>
      <c r="K76" s="1" t="s">
        <v>50</v>
      </c>
      <c r="L76" s="1" t="s">
        <v>52</v>
      </c>
      <c r="M76" s="1" t="s">
        <v>54</v>
      </c>
      <c r="N76" s="1" t="s">
        <v>56</v>
      </c>
      <c r="O76" s="1" t="s">
        <v>58</v>
      </c>
      <c r="P76" s="1" t="s">
        <v>61</v>
      </c>
      <c r="Q76" s="1" t="s">
        <v>63</v>
      </c>
      <c r="R76" s="1" t="s">
        <v>65</v>
      </c>
      <c r="S76" s="1" t="s">
        <v>67</v>
      </c>
      <c r="T76" s="1" t="s">
        <v>69</v>
      </c>
      <c r="U76" s="1" t="s">
        <v>71</v>
      </c>
      <c r="V76" s="1" t="s">
        <v>73</v>
      </c>
      <c r="W76" s="1" t="s">
        <v>75</v>
      </c>
      <c r="X76" s="1" t="s">
        <v>77</v>
      </c>
      <c r="Y76" s="1" t="s">
        <v>79</v>
      </c>
      <c r="Z76" s="1" t="s">
        <v>81</v>
      </c>
      <c r="AA76" s="1" t="s">
        <v>83</v>
      </c>
      <c r="AB76" s="1" t="s">
        <v>85</v>
      </c>
      <c r="AC76" s="1" t="s">
        <v>88</v>
      </c>
      <c r="AD76" s="1" t="s">
        <v>91</v>
      </c>
      <c r="AE76" s="1" t="s">
        <v>93</v>
      </c>
      <c r="AF76" s="1" t="s">
        <v>95</v>
      </c>
    </row>
    <row r="77" spans="1:32" ht="15.75" customHeight="1">
      <c r="A77" s="1" t="s">
        <v>31</v>
      </c>
      <c r="B77" s="34" t="e">
        <f>IF(inputoutput!C14=0, 0, C2/inputoutput!C14)</f>
        <v>#VALUE!</v>
      </c>
      <c r="C77" s="34">
        <f>IF(inputoutput!D14=0, 0, D2/inputoutput!D14)</f>
        <v>0</v>
      </c>
      <c r="D77" s="34">
        <f>IF(inputoutput!E14=0, 0, E2/inputoutput!E14)</f>
        <v>0</v>
      </c>
      <c r="E77" s="34">
        <f>IF(inputoutput!F14=0, 0, F2/inputoutput!F14)</f>
        <v>0</v>
      </c>
      <c r="F77" s="34">
        <f>IF(inputoutput!G14=0, 0, G2/inputoutput!G14)</f>
        <v>3.1157317837415977E-2</v>
      </c>
      <c r="G77" s="34">
        <f>IF(inputoutput!H14=0, 0, H2/inputoutput!H14)</f>
        <v>0</v>
      </c>
      <c r="H77" s="34">
        <f>IF(inputoutput!I14=0, 0, I2/inputoutput!I14)</f>
        <v>0</v>
      </c>
      <c r="I77" s="34">
        <f>IF(inputoutput!J14=0, 0, J2/inputoutput!J14)</f>
        <v>0</v>
      </c>
      <c r="J77" s="34">
        <f>IF(inputoutput!K14=0, 0, K2/inputoutput!K14)</f>
        <v>0</v>
      </c>
      <c r="K77" s="34">
        <f>IF(inputoutput!L14=0, 0, L2/inputoutput!L14)</f>
        <v>0</v>
      </c>
      <c r="L77" s="34">
        <f>IF(inputoutput!M14=0, 0, M2/inputoutput!M14)</f>
        <v>0</v>
      </c>
      <c r="M77" s="34">
        <f>IF(inputoutput!N14=0, 0, N2/inputoutput!N14)</f>
        <v>0</v>
      </c>
      <c r="N77" s="34">
        <f>IF(inputoutput!O14=0, 0, O2/inputoutput!O14)</f>
        <v>0</v>
      </c>
      <c r="O77" s="34">
        <f>IF(inputoutput!P14=0, 0, P2/inputoutput!P14)</f>
        <v>0</v>
      </c>
      <c r="P77" s="34">
        <f>IF(inputoutput!Q14=0, 0, Q2/inputoutput!Q14)</f>
        <v>0</v>
      </c>
      <c r="Q77" s="34">
        <f>IF(inputoutput!R14=0, 0, R2/inputoutput!R14)</f>
        <v>0</v>
      </c>
      <c r="R77" s="34">
        <f>IF(inputoutput!S14=0, 0, S2/inputoutput!S14)</f>
        <v>0</v>
      </c>
      <c r="S77" s="34">
        <f>IF(inputoutput!T14=0, 0, T2/inputoutput!T14)</f>
        <v>0</v>
      </c>
      <c r="T77" s="34">
        <f>IF(inputoutput!U14=0, 0, U2/inputoutput!U14)</f>
        <v>0</v>
      </c>
      <c r="U77" s="34">
        <f>IF(inputoutput!V14=0, 0, V2/inputoutput!V14)</f>
        <v>0</v>
      </c>
      <c r="V77" s="34">
        <f>IF(inputoutput!W14=0, 0, W2/inputoutput!W14)</f>
        <v>0</v>
      </c>
      <c r="W77" s="34" t="e">
        <f>IF(inputoutput!#REF!=0, 0, X2/inputoutput!#REF!)</f>
        <v>#REF!</v>
      </c>
      <c r="X77" s="34" t="e">
        <f>IF(inputoutput!#REF!=0, 0, Y2/inputoutput!#REF!)</f>
        <v>#REF!</v>
      </c>
      <c r="Y77" s="34" t="e">
        <f>IF(inputoutput!#REF!=0, 0, Z2/inputoutput!#REF!)</f>
        <v>#REF!</v>
      </c>
      <c r="Z77" s="34" t="e">
        <f>IF(inputoutput!#REF!=0, 0, AA2/inputoutput!#REF!)</f>
        <v>#REF!</v>
      </c>
      <c r="AA77" s="34" t="e">
        <f>IF(inputoutput!#REF!=0, 0, AB2/inputoutput!#REF!)</f>
        <v>#REF!</v>
      </c>
      <c r="AB77" s="34" t="e">
        <f>IF(inputoutput!#REF!=0, 0, AC2/inputoutput!#REF!)</f>
        <v>#REF!</v>
      </c>
      <c r="AC77" s="34" t="e">
        <f>IF(inputoutput!#REF!=0, 0, AD2/inputoutput!#REF!)</f>
        <v>#REF!</v>
      </c>
      <c r="AD77" s="34" t="e">
        <f>IF(inputoutput!#REF!=0, 0, AE2/inputoutput!#REF!)</f>
        <v>#REF!</v>
      </c>
      <c r="AE77" s="34" t="e">
        <f>IF(inputoutput!#REF!=0, 0, AF2/inputoutput!#REF!)</f>
        <v>#REF!</v>
      </c>
      <c r="AF77" s="34" t="e">
        <f>IF(inputoutput!#REF!=0, 0, AG2/inputoutput!#REF!)</f>
        <v>#REF!</v>
      </c>
    </row>
    <row r="78" spans="1:32" ht="15.75" customHeight="1">
      <c r="A78" s="1" t="s">
        <v>33</v>
      </c>
      <c r="B78" s="34" t="e">
        <f>IF(inputoutput!C15=0, 0, C3/inputoutput!C15)</f>
        <v>#VALUE!</v>
      </c>
      <c r="C78" s="34">
        <f>IF(inputoutput!D15=0, 0, D3/inputoutput!D15)</f>
        <v>3.9105901870574057E-5</v>
      </c>
      <c r="D78" s="34">
        <f>IF(inputoutput!E15=0, 0, E3/inputoutput!E15)</f>
        <v>0</v>
      </c>
      <c r="E78" s="34">
        <f>IF(inputoutput!F15=0, 0, F3/inputoutput!F15)</f>
        <v>0</v>
      </c>
      <c r="F78" s="34">
        <f>IF(inputoutput!G15=0, 0, G3/inputoutput!G15)</f>
        <v>9.8169950381173113E-2</v>
      </c>
      <c r="G78" s="34">
        <f>IF(inputoutput!H15=0, 0, H3/inputoutput!H15)</f>
        <v>0</v>
      </c>
      <c r="H78" s="34">
        <f>IF(inputoutput!I15=0, 0, I3/inputoutput!I15)</f>
        <v>0</v>
      </c>
      <c r="I78" s="34">
        <f>IF(inputoutput!J15=0, 0, J3/inputoutput!J15)</f>
        <v>0</v>
      </c>
      <c r="J78" s="34">
        <f>IF(inputoutput!K15=0, 0, K3/inputoutput!K15)</f>
        <v>0</v>
      </c>
      <c r="K78" s="34">
        <f>IF(inputoutput!L15=0, 0, L3/inputoutput!L15)</f>
        <v>0</v>
      </c>
      <c r="L78" s="34">
        <f>IF(inputoutput!M15=0, 0, M3/inputoutput!M15)</f>
        <v>0</v>
      </c>
      <c r="M78" s="34">
        <f>IF(inputoutput!N15=0, 0, N3/inputoutput!N15)</f>
        <v>0</v>
      </c>
      <c r="N78" s="34">
        <f>IF(inputoutput!O15=0, 0, O3/inputoutput!O15)</f>
        <v>0</v>
      </c>
      <c r="O78" s="34">
        <f>IF(inputoutput!P15=0, 0, P3/inputoutput!P15)</f>
        <v>0</v>
      </c>
      <c r="P78" s="34">
        <f>IF(inputoutput!Q15=0, 0, Q3/inputoutput!Q15)</f>
        <v>0</v>
      </c>
      <c r="Q78" s="34">
        <f>IF(inputoutput!R15=0, 0, R3/inputoutput!R15)</f>
        <v>0</v>
      </c>
      <c r="R78" s="34">
        <f>IF(inputoutput!S15=0, 0, S3/inputoutput!S15)</f>
        <v>0</v>
      </c>
      <c r="S78" s="34">
        <f>IF(inputoutput!T15=0, 0, T3/inputoutput!T15)</f>
        <v>0</v>
      </c>
      <c r="T78" s="34">
        <f>IF(inputoutput!U15=0, 0, U3/inputoutput!U15)</f>
        <v>0</v>
      </c>
      <c r="U78" s="34">
        <f>IF(inputoutput!V15=0, 0, V3/inputoutput!V15)</f>
        <v>0</v>
      </c>
      <c r="V78" s="34">
        <f>IF(inputoutput!W15=0, 0, W3/inputoutput!W15)</f>
        <v>0</v>
      </c>
      <c r="W78" s="34" t="e">
        <f>IF(inputoutput!#REF!=0, 0, X3/inputoutput!#REF!)</f>
        <v>#REF!</v>
      </c>
      <c r="X78" s="34" t="e">
        <f>IF(inputoutput!#REF!=0, 0, Y3/inputoutput!#REF!)</f>
        <v>#REF!</v>
      </c>
      <c r="Y78" s="34" t="e">
        <f>IF(inputoutput!#REF!=0, 0, Z3/inputoutput!#REF!)</f>
        <v>#REF!</v>
      </c>
      <c r="Z78" s="34" t="e">
        <f>IF(inputoutput!#REF!=0, 0, AA3/inputoutput!#REF!)</f>
        <v>#REF!</v>
      </c>
      <c r="AA78" s="34" t="e">
        <f>IF(inputoutput!#REF!=0, 0, AB3/inputoutput!#REF!)</f>
        <v>#REF!</v>
      </c>
      <c r="AB78" s="34" t="e">
        <f>IF(inputoutput!#REF!=0, 0, AC3/inputoutput!#REF!)</f>
        <v>#REF!</v>
      </c>
      <c r="AC78" s="34" t="e">
        <f>IF(inputoutput!#REF!=0, 0, AD3/inputoutput!#REF!)</f>
        <v>#REF!</v>
      </c>
      <c r="AD78" s="34" t="e">
        <f>IF(inputoutput!#REF!=0, 0, AE3/inputoutput!#REF!)</f>
        <v>#REF!</v>
      </c>
      <c r="AE78" s="34" t="e">
        <f>IF(inputoutput!#REF!=0, 0, AF3/inputoutput!#REF!)</f>
        <v>#REF!</v>
      </c>
      <c r="AF78" s="34" t="e">
        <f>IF(inputoutput!#REF!=0, 0, AG3/inputoutput!#REF!)</f>
        <v>#REF!</v>
      </c>
    </row>
    <row r="79" spans="1:32" ht="15.75" customHeight="1">
      <c r="A79" s="1" t="s">
        <v>35</v>
      </c>
      <c r="B79" s="34" t="e">
        <f>IF(inputoutput!C16=0, 0, C4/inputoutput!C16)</f>
        <v>#VALUE!</v>
      </c>
      <c r="C79" s="34">
        <f>IF(inputoutput!D16=0, 0, D4/inputoutput!D16)</f>
        <v>1.6047376210533447E-6</v>
      </c>
      <c r="D79" s="34">
        <f>IF(inputoutput!E16=0, 0, E4/inputoutput!E16)</f>
        <v>7.1362214730652474E-5</v>
      </c>
      <c r="E79" s="34">
        <f>IF(inputoutput!F16=0, 0, F4/inputoutput!F16)</f>
        <v>0</v>
      </c>
      <c r="F79" s="34">
        <f>IF(inputoutput!G16=0, 0, G4/inputoutput!G16)</f>
        <v>3.2180089283861285E-3</v>
      </c>
      <c r="G79" s="34">
        <f>IF(inputoutput!H16=0, 0, H4/inputoutput!H16)</f>
        <v>0</v>
      </c>
      <c r="H79" s="34">
        <f>IF(inputoutput!I16=0, 0, I4/inputoutput!I16)</f>
        <v>0</v>
      </c>
      <c r="I79" s="34">
        <f>IF(inputoutput!J16=0, 0, J4/inputoutput!J16)</f>
        <v>0</v>
      </c>
      <c r="J79" s="34">
        <f>IF(inputoutput!K16=0, 0, K4/inputoutput!K16)</f>
        <v>0</v>
      </c>
      <c r="K79" s="34">
        <f>IF(inputoutput!L16=0, 0, L4/inputoutput!L16)</f>
        <v>0</v>
      </c>
      <c r="L79" s="34">
        <f>IF(inputoutput!M16=0, 0, M4/inputoutput!M16)</f>
        <v>0</v>
      </c>
      <c r="M79" s="34">
        <f>IF(inputoutput!N16=0, 0, N4/inputoutput!N16)</f>
        <v>0</v>
      </c>
      <c r="N79" s="34">
        <f>IF(inputoutput!O16=0, 0, O4/inputoutput!O16)</f>
        <v>0</v>
      </c>
      <c r="O79" s="34">
        <f>IF(inputoutput!P16=0, 0, P4/inputoutput!P16)</f>
        <v>0</v>
      </c>
      <c r="P79" s="34">
        <f>IF(inputoutput!Q16=0, 0, Q4/inputoutput!Q16)</f>
        <v>0</v>
      </c>
      <c r="Q79" s="34">
        <f>IF(inputoutput!R16=0, 0, R4/inputoutput!R16)</f>
        <v>0</v>
      </c>
      <c r="R79" s="34">
        <f>IF(inputoutput!S16=0, 0, S4/inputoutput!S16)</f>
        <v>0</v>
      </c>
      <c r="S79" s="34">
        <f>IF(inputoutput!T16=0, 0, T4/inputoutput!T16)</f>
        <v>0</v>
      </c>
      <c r="T79" s="34">
        <f>IF(inputoutput!U16=0, 0, U4/inputoutput!U16)</f>
        <v>0</v>
      </c>
      <c r="U79" s="34">
        <f>IF(inputoutput!V16=0, 0, V4/inputoutput!V16)</f>
        <v>0</v>
      </c>
      <c r="V79" s="34">
        <f>IF(inputoutput!W16=0, 0, W4/inputoutput!W16)</f>
        <v>0</v>
      </c>
      <c r="W79" s="34" t="e">
        <f>IF(inputoutput!#REF!=0, 0, X4/inputoutput!#REF!)</f>
        <v>#REF!</v>
      </c>
      <c r="X79" s="34" t="e">
        <f>IF(inputoutput!#REF!=0, 0, Y4/inputoutput!#REF!)</f>
        <v>#REF!</v>
      </c>
      <c r="Y79" s="34" t="e">
        <f>IF(inputoutput!#REF!=0, 0, Z4/inputoutput!#REF!)</f>
        <v>#REF!</v>
      </c>
      <c r="Z79" s="34" t="e">
        <f>IF(inputoutput!#REF!=0, 0, AA4/inputoutput!#REF!)</f>
        <v>#REF!</v>
      </c>
      <c r="AA79" s="34" t="e">
        <f>IF(inputoutput!#REF!=0, 0, AB4/inputoutput!#REF!)</f>
        <v>#REF!</v>
      </c>
      <c r="AB79" s="34" t="e">
        <f>IF(inputoutput!#REF!=0, 0, AC4/inputoutput!#REF!)</f>
        <v>#REF!</v>
      </c>
      <c r="AC79" s="34" t="e">
        <f>IF(inputoutput!#REF!=0, 0, AD4/inputoutput!#REF!)</f>
        <v>#REF!</v>
      </c>
      <c r="AD79" s="34" t="e">
        <f>IF(inputoutput!#REF!=0, 0, AE4/inputoutput!#REF!)</f>
        <v>#REF!</v>
      </c>
      <c r="AE79" s="34" t="e">
        <f>IF(inputoutput!#REF!=0, 0, AF4/inputoutput!#REF!)</f>
        <v>#REF!</v>
      </c>
      <c r="AF79" s="34" t="e">
        <f>IF(inputoutput!#REF!=0, 0, AG4/inputoutput!#REF!)</f>
        <v>#REF!</v>
      </c>
    </row>
    <row r="80" spans="1:32" ht="15.75" customHeight="1">
      <c r="A80" s="1" t="s">
        <v>37</v>
      </c>
      <c r="B80" s="34" t="e">
        <f>IF(inputoutput!C17=0, 0, C5/inputoutput!C17)</f>
        <v>#VALUE!</v>
      </c>
      <c r="C80" s="34">
        <f>IF(inputoutput!D17=0, 0, D5/inputoutput!D17)</f>
        <v>0</v>
      </c>
      <c r="D80" s="34">
        <f>IF(inputoutput!E17=0, 0, E5/inputoutput!E17)</f>
        <v>0</v>
      </c>
      <c r="E80" s="34">
        <f>IF(inputoutput!F17=0, 0, F5/inputoutput!F17)</f>
        <v>1.0124818528501197E-2</v>
      </c>
      <c r="F80" s="34">
        <f>IF(inputoutput!G17=0, 0, G5/inputoutput!G17)</f>
        <v>1.7949711351477073E-3</v>
      </c>
      <c r="G80" s="34">
        <f>IF(inputoutput!H17=0, 0, H5/inputoutput!H17)</f>
        <v>0</v>
      </c>
      <c r="H80" s="34">
        <f>IF(inputoutput!I17=0, 0, I5/inputoutput!I17)</f>
        <v>0</v>
      </c>
      <c r="I80" s="34">
        <f>IF(inputoutput!J17=0, 0, J5/inputoutput!J17)</f>
        <v>0</v>
      </c>
      <c r="J80" s="34">
        <f>IF(inputoutput!K17=0, 0, K5/inputoutput!K17)</f>
        <v>0</v>
      </c>
      <c r="K80" s="34">
        <f>IF(inputoutput!L17=0, 0, L5/inputoutput!L17)</f>
        <v>0</v>
      </c>
      <c r="L80" s="34">
        <f>IF(inputoutput!M17=0, 0, M5/inputoutput!M17)</f>
        <v>0</v>
      </c>
      <c r="M80" s="34">
        <f>IF(inputoutput!N17=0, 0, N5/inputoutput!N17)</f>
        <v>0</v>
      </c>
      <c r="N80" s="34">
        <f>IF(inputoutput!O17=0, 0, O5/inputoutput!O17)</f>
        <v>0</v>
      </c>
      <c r="O80" s="34">
        <f>IF(inputoutput!P17=0, 0, P5/inputoutput!P17)</f>
        <v>0</v>
      </c>
      <c r="P80" s="34">
        <f>IF(inputoutput!Q17=0, 0, Q5/inputoutput!Q17)</f>
        <v>0</v>
      </c>
      <c r="Q80" s="34">
        <f>IF(inputoutput!R17=0, 0, R5/inputoutput!R17)</f>
        <v>0</v>
      </c>
      <c r="R80" s="34">
        <f>IF(inputoutput!S17=0, 0, S5/inputoutput!S17)</f>
        <v>0</v>
      </c>
      <c r="S80" s="34">
        <f>IF(inputoutput!T17=0, 0, T5/inputoutput!T17)</f>
        <v>0</v>
      </c>
      <c r="T80" s="34">
        <f>IF(inputoutput!U17=0, 0, U5/inputoutput!U17)</f>
        <v>0</v>
      </c>
      <c r="U80" s="34">
        <f>IF(inputoutput!V17=0, 0, V5/inputoutput!V17)</f>
        <v>0</v>
      </c>
      <c r="V80" s="34">
        <f>IF(inputoutput!W17=0, 0, W5/inputoutput!W17)</f>
        <v>0</v>
      </c>
      <c r="W80" s="34" t="e">
        <f>IF(inputoutput!#REF!=0, 0, X5/inputoutput!#REF!)</f>
        <v>#REF!</v>
      </c>
      <c r="X80" s="34" t="e">
        <f>IF(inputoutput!#REF!=0, 0, Y5/inputoutput!#REF!)</f>
        <v>#REF!</v>
      </c>
      <c r="Y80" s="34" t="e">
        <f>IF(inputoutput!#REF!=0, 0, Z5/inputoutput!#REF!)</f>
        <v>#REF!</v>
      </c>
      <c r="Z80" s="34" t="e">
        <f>IF(inputoutput!#REF!=0, 0, AA5/inputoutput!#REF!)</f>
        <v>#REF!</v>
      </c>
      <c r="AA80" s="34" t="e">
        <f>IF(inputoutput!#REF!=0, 0, AB5/inputoutput!#REF!)</f>
        <v>#REF!</v>
      </c>
      <c r="AB80" s="34" t="e">
        <f>IF(inputoutput!#REF!=0, 0, AC5/inputoutput!#REF!)</f>
        <v>#REF!</v>
      </c>
      <c r="AC80" s="34" t="e">
        <f>IF(inputoutput!#REF!=0, 0, AD5/inputoutput!#REF!)</f>
        <v>#REF!</v>
      </c>
      <c r="AD80" s="34" t="e">
        <f>IF(inputoutput!#REF!=0, 0, AE5/inputoutput!#REF!)</f>
        <v>#REF!</v>
      </c>
      <c r="AE80" s="34" t="e">
        <f>IF(inputoutput!#REF!=0, 0, AF5/inputoutput!#REF!)</f>
        <v>#REF!</v>
      </c>
      <c r="AF80" s="34" t="e">
        <f>IF(inputoutput!#REF!=0, 0, AG5/inputoutput!#REF!)</f>
        <v>#REF!</v>
      </c>
    </row>
    <row r="81" spans="1:32" ht="15.75" customHeight="1">
      <c r="A81" s="1" t="s">
        <v>39</v>
      </c>
      <c r="B81" s="34" t="e">
        <f>IF(inputoutput!C18=0, 0, C6/inputoutput!C18)</f>
        <v>#VALUE!</v>
      </c>
      <c r="C81" s="34">
        <f>IF(inputoutput!D18=0, 0, D6/inputoutput!D18)</f>
        <v>1.0733315289446351E-5</v>
      </c>
      <c r="D81" s="34">
        <f>IF(inputoutput!E18=0, 0, E6/inputoutput!E18)</f>
        <v>6.7674266097800818E-6</v>
      </c>
      <c r="E81" s="34">
        <f>IF(inputoutput!F18=0, 0, F6/inputoutput!F18)</f>
        <v>0</v>
      </c>
      <c r="F81" s="34">
        <f>IF(inputoutput!G18=0, 0, G6/inputoutput!G18)</f>
        <v>0.35093842950286513</v>
      </c>
      <c r="G81" s="34">
        <f>IF(inputoutput!H18=0, 0, H6/inputoutput!H18)</f>
        <v>0</v>
      </c>
      <c r="H81" s="34">
        <f>IF(inputoutput!I18=0, 0, I6/inputoutput!I18)</f>
        <v>0</v>
      </c>
      <c r="I81" s="34">
        <f>IF(inputoutput!J18=0, 0, J6/inputoutput!J18)</f>
        <v>0</v>
      </c>
      <c r="J81" s="34">
        <f>IF(inputoutput!K18=0, 0, K6/inputoutput!K18)</f>
        <v>0</v>
      </c>
      <c r="K81" s="34">
        <f>IF(inputoutput!L18=0, 0, L6/inputoutput!L18)</f>
        <v>0</v>
      </c>
      <c r="L81" s="34">
        <f>IF(inputoutput!M18=0, 0, M6/inputoutput!M18)</f>
        <v>0</v>
      </c>
      <c r="M81" s="34">
        <f>IF(inputoutput!N18=0, 0, N6/inputoutput!N18)</f>
        <v>0</v>
      </c>
      <c r="N81" s="34">
        <f>IF(inputoutput!O18=0, 0, O6/inputoutput!O18)</f>
        <v>0</v>
      </c>
      <c r="O81" s="34">
        <f>IF(inputoutput!P18=0, 0, P6/inputoutput!P18)</f>
        <v>0</v>
      </c>
      <c r="P81" s="34">
        <f>IF(inputoutput!Q18=0, 0, Q6/inputoutput!Q18)</f>
        <v>0</v>
      </c>
      <c r="Q81" s="34">
        <f>IF(inputoutput!R18=0, 0, R6/inputoutput!R18)</f>
        <v>0</v>
      </c>
      <c r="R81" s="34">
        <f>IF(inputoutput!S18=0, 0, S6/inputoutput!S18)</f>
        <v>0</v>
      </c>
      <c r="S81" s="34">
        <f>IF(inputoutput!T18=0, 0, T6/inputoutput!T18)</f>
        <v>0</v>
      </c>
      <c r="T81" s="34">
        <f>IF(inputoutput!U18=0, 0, U6/inputoutput!U18)</f>
        <v>0</v>
      </c>
      <c r="U81" s="34">
        <f>IF(inputoutput!V18=0, 0, V6/inputoutput!V18)</f>
        <v>0</v>
      </c>
      <c r="V81" s="34">
        <f>IF(inputoutput!W18=0, 0, W6/inputoutput!W18)</f>
        <v>0</v>
      </c>
      <c r="W81" s="34" t="e">
        <f>IF(inputoutput!#REF!=0, 0, X6/inputoutput!#REF!)</f>
        <v>#REF!</v>
      </c>
      <c r="X81" s="34" t="e">
        <f>IF(inputoutput!#REF!=0, 0, Y6/inputoutput!#REF!)</f>
        <v>#REF!</v>
      </c>
      <c r="Y81" s="34" t="e">
        <f>IF(inputoutput!#REF!=0, 0, Z6/inputoutput!#REF!)</f>
        <v>#REF!</v>
      </c>
      <c r="Z81" s="34" t="e">
        <f>IF(inputoutput!#REF!=0, 0, AA6/inputoutput!#REF!)</f>
        <v>#REF!</v>
      </c>
      <c r="AA81" s="34" t="e">
        <f>IF(inputoutput!#REF!=0, 0, AB6/inputoutput!#REF!)</f>
        <v>#REF!</v>
      </c>
      <c r="AB81" s="34" t="e">
        <f>IF(inputoutput!#REF!=0, 0, AC6/inputoutput!#REF!)</f>
        <v>#REF!</v>
      </c>
      <c r="AC81" s="34" t="e">
        <f>IF(inputoutput!#REF!=0, 0, AD6/inputoutput!#REF!)</f>
        <v>#REF!</v>
      </c>
      <c r="AD81" s="34" t="e">
        <f>IF(inputoutput!#REF!=0, 0, AE6/inputoutput!#REF!)</f>
        <v>#REF!</v>
      </c>
      <c r="AE81" s="34" t="e">
        <f>IF(inputoutput!#REF!=0, 0, AF6/inputoutput!#REF!)</f>
        <v>#REF!</v>
      </c>
      <c r="AF81" s="34" t="e">
        <f>IF(inputoutput!#REF!=0, 0, AG6/inputoutput!#REF!)</f>
        <v>#REF!</v>
      </c>
    </row>
    <row r="82" spans="1:32" ht="15.75" customHeight="1">
      <c r="A82" s="1" t="s">
        <v>41</v>
      </c>
      <c r="B82" s="34" t="e">
        <f>IF(inputoutput!C19=0, 0, C7/inputoutput!C19)</f>
        <v>#VALUE!</v>
      </c>
      <c r="C82" s="34">
        <f>IF(inputoutput!D19=0, 0, D7/inputoutput!D19)</f>
        <v>1.5377620591880882E-5</v>
      </c>
      <c r="D82" s="34">
        <f>IF(inputoutput!E19=0, 0, E7/inputoutput!E19)</f>
        <v>0</v>
      </c>
      <c r="E82" s="34">
        <f>IF(inputoutput!F19=0, 0, F7/inputoutput!F19)</f>
        <v>4.9332795792501226E-5</v>
      </c>
      <c r="F82" s="34">
        <f>IF(inputoutput!G19=0, 0, G7/inputoutput!G19)</f>
        <v>2.2952447386194452E-4</v>
      </c>
      <c r="G82" s="34">
        <f>IF(inputoutput!H19=0, 0, H7/inputoutput!H19)</f>
        <v>0</v>
      </c>
      <c r="H82" s="34">
        <f>IF(inputoutput!I19=0, 0, I7/inputoutput!I19)</f>
        <v>0</v>
      </c>
      <c r="I82" s="34">
        <f>IF(inputoutput!J19=0, 0, J7/inputoutput!J19)</f>
        <v>0</v>
      </c>
      <c r="J82" s="34">
        <f>IF(inputoutput!K19=0, 0, K7/inputoutput!K19)</f>
        <v>0</v>
      </c>
      <c r="K82" s="34">
        <f>IF(inputoutput!L19=0, 0, L7/inputoutput!L19)</f>
        <v>0</v>
      </c>
      <c r="L82" s="34">
        <f>IF(inputoutput!M19=0, 0, M7/inputoutput!M19)</f>
        <v>0</v>
      </c>
      <c r="M82" s="34">
        <f>IF(inputoutput!N19=0, 0, N7/inputoutput!N19)</f>
        <v>0</v>
      </c>
      <c r="N82" s="34">
        <f>IF(inputoutput!O19=0, 0, O7/inputoutput!O19)</f>
        <v>0</v>
      </c>
      <c r="O82" s="34">
        <f>IF(inputoutput!P19=0, 0, P7/inputoutput!P19)</f>
        <v>0</v>
      </c>
      <c r="P82" s="34">
        <f>IF(inputoutput!Q19=0, 0, Q7/inputoutput!Q19)</f>
        <v>0</v>
      </c>
      <c r="Q82" s="34">
        <f>IF(inputoutput!R19=0, 0, R7/inputoutput!R19)</f>
        <v>0</v>
      </c>
      <c r="R82" s="34">
        <f>IF(inputoutput!S19=0, 0, S7/inputoutput!S19)</f>
        <v>0</v>
      </c>
      <c r="S82" s="34">
        <f>IF(inputoutput!T19=0, 0, T7/inputoutput!T19)</f>
        <v>0</v>
      </c>
      <c r="T82" s="34">
        <f>IF(inputoutput!U19=0, 0, U7/inputoutput!U19)</f>
        <v>0</v>
      </c>
      <c r="U82" s="34">
        <f>IF(inputoutput!V19=0, 0, V7/inputoutput!V19)</f>
        <v>0</v>
      </c>
      <c r="V82" s="34">
        <f>IF(inputoutput!W19=0, 0, W7/inputoutput!W19)</f>
        <v>0</v>
      </c>
      <c r="W82" s="34" t="e">
        <f>IF(inputoutput!#REF!=0, 0, X7/inputoutput!#REF!)</f>
        <v>#REF!</v>
      </c>
      <c r="X82" s="34" t="e">
        <f>IF(inputoutput!#REF!=0, 0, Y7/inputoutput!#REF!)</f>
        <v>#REF!</v>
      </c>
      <c r="Y82" s="34" t="e">
        <f>IF(inputoutput!#REF!=0, 0, Z7/inputoutput!#REF!)</f>
        <v>#REF!</v>
      </c>
      <c r="Z82" s="34" t="e">
        <f>IF(inputoutput!#REF!=0, 0, AA7/inputoutput!#REF!)</f>
        <v>#REF!</v>
      </c>
      <c r="AA82" s="34" t="e">
        <f>IF(inputoutput!#REF!=0, 0, AB7/inputoutput!#REF!)</f>
        <v>#REF!</v>
      </c>
      <c r="AB82" s="34" t="e">
        <f>IF(inputoutput!#REF!=0, 0, AC7/inputoutput!#REF!)</f>
        <v>#REF!</v>
      </c>
      <c r="AC82" s="34" t="e">
        <f>IF(inputoutput!#REF!=0, 0, AD7/inputoutput!#REF!)</f>
        <v>#REF!</v>
      </c>
      <c r="AD82" s="34" t="e">
        <f>IF(inputoutput!#REF!=0, 0, AE7/inputoutput!#REF!)</f>
        <v>#REF!</v>
      </c>
      <c r="AE82" s="34" t="e">
        <f>IF(inputoutput!#REF!=0, 0, AF7/inputoutput!#REF!)</f>
        <v>#REF!</v>
      </c>
      <c r="AF82" s="34" t="e">
        <f>IF(inputoutput!#REF!=0, 0, AG7/inputoutput!#REF!)</f>
        <v>#REF!</v>
      </c>
    </row>
    <row r="83" spans="1:32" ht="15.75" customHeight="1">
      <c r="A83" s="1" t="s">
        <v>43</v>
      </c>
      <c r="B83" s="34" t="e">
        <f>IF(inputoutput!C20=0, 0, C8/inputoutput!C20)</f>
        <v>#VALUE!</v>
      </c>
      <c r="C83" s="34">
        <f>IF(inputoutput!D20=0, 0, D8/inputoutput!D20)</f>
        <v>6.9086307416125104E-4</v>
      </c>
      <c r="D83" s="34">
        <f>IF(inputoutput!E20=0, 0, E8/inputoutput!E20)</f>
        <v>0</v>
      </c>
      <c r="E83" s="34">
        <f>IF(inputoutput!F20=0, 0, F8/inputoutput!F20)</f>
        <v>1.142934591515549E-3</v>
      </c>
      <c r="F83" s="34">
        <f>IF(inputoutput!G20=0, 0, G8/inputoutput!G20)</f>
        <v>0.7248478379107306</v>
      </c>
      <c r="G83" s="34">
        <f>IF(inputoutput!H20=0, 0, H8/inputoutput!H20)</f>
        <v>0</v>
      </c>
      <c r="H83" s="34">
        <f>IF(inputoutput!I20=0, 0, I8/inputoutput!I20)</f>
        <v>0</v>
      </c>
      <c r="I83" s="34">
        <f>IF(inputoutput!J20=0, 0, J8/inputoutput!J20)</f>
        <v>0</v>
      </c>
      <c r="J83" s="34">
        <f>IF(inputoutput!K20=0, 0, K8/inputoutput!K20)</f>
        <v>0</v>
      </c>
      <c r="K83" s="34">
        <f>IF(inputoutput!L20=0, 0, L8/inputoutput!L20)</f>
        <v>0</v>
      </c>
      <c r="L83" s="34">
        <f>IF(inputoutput!M20=0, 0, M8/inputoutput!M20)</f>
        <v>0</v>
      </c>
      <c r="M83" s="34">
        <f>IF(inputoutput!N20=0, 0, N8/inputoutput!N20)</f>
        <v>0</v>
      </c>
      <c r="N83" s="34">
        <f>IF(inputoutput!O20=0, 0, O8/inputoutput!O20)</f>
        <v>0</v>
      </c>
      <c r="O83" s="34">
        <f>IF(inputoutput!P20=0, 0, P8/inputoutput!P20)</f>
        <v>0</v>
      </c>
      <c r="P83" s="34">
        <f>IF(inputoutput!Q20=0, 0, Q8/inputoutput!Q20)</f>
        <v>0</v>
      </c>
      <c r="Q83" s="34">
        <f>IF(inputoutput!R20=0, 0, R8/inputoutput!R20)</f>
        <v>0</v>
      </c>
      <c r="R83" s="34">
        <f>IF(inputoutput!S20=0, 0, S8/inputoutput!S20)</f>
        <v>0</v>
      </c>
      <c r="S83" s="34">
        <f>IF(inputoutput!T20=0, 0, T8/inputoutput!T20)</f>
        <v>0</v>
      </c>
      <c r="T83" s="34">
        <f>IF(inputoutput!U20=0, 0, U8/inputoutput!U20)</f>
        <v>0</v>
      </c>
      <c r="U83" s="34">
        <f>IF(inputoutput!V20=0, 0, V8/inputoutput!V20)</f>
        <v>0</v>
      </c>
      <c r="V83" s="34">
        <f>IF(inputoutput!W20=0, 0, W8/inputoutput!W20)</f>
        <v>0</v>
      </c>
      <c r="W83" s="34" t="e">
        <f>IF(inputoutput!#REF!=0, 0, X8/inputoutput!#REF!)</f>
        <v>#REF!</v>
      </c>
      <c r="X83" s="34" t="e">
        <f>IF(inputoutput!#REF!=0, 0, Y8/inputoutput!#REF!)</f>
        <v>#REF!</v>
      </c>
      <c r="Y83" s="34" t="e">
        <f>IF(inputoutput!#REF!=0, 0, Z8/inputoutput!#REF!)</f>
        <v>#REF!</v>
      </c>
      <c r="Z83" s="34" t="e">
        <f>IF(inputoutput!#REF!=0, 0, AA8/inputoutput!#REF!)</f>
        <v>#REF!</v>
      </c>
      <c r="AA83" s="34" t="e">
        <f>IF(inputoutput!#REF!=0, 0, AB8/inputoutput!#REF!)</f>
        <v>#REF!</v>
      </c>
      <c r="AB83" s="34" t="e">
        <f>IF(inputoutput!#REF!=0, 0, AC8/inputoutput!#REF!)</f>
        <v>#REF!</v>
      </c>
      <c r="AC83" s="34" t="e">
        <f>IF(inputoutput!#REF!=0, 0, AD8/inputoutput!#REF!)</f>
        <v>#REF!</v>
      </c>
      <c r="AD83" s="34" t="e">
        <f>IF(inputoutput!#REF!=0, 0, AE8/inputoutput!#REF!)</f>
        <v>#REF!</v>
      </c>
      <c r="AE83" s="34" t="e">
        <f>IF(inputoutput!#REF!=0, 0, AF8/inputoutput!#REF!)</f>
        <v>#REF!</v>
      </c>
      <c r="AF83" s="34" t="e">
        <f>IF(inputoutput!#REF!=0, 0, AG8/inputoutput!#REF!)</f>
        <v>#REF!</v>
      </c>
    </row>
    <row r="84" spans="1:32" ht="15.75" customHeight="1">
      <c r="A84" s="1" t="s">
        <v>46</v>
      </c>
      <c r="B84" s="34" t="e">
        <f>IF(inputoutput!C21=0, 0, C9/inputoutput!C21)</f>
        <v>#VALUE!</v>
      </c>
      <c r="C84" s="34">
        <f>IF(inputoutput!D21=0, 0, D9/inputoutput!D21)</f>
        <v>2.9133495057816938E-3</v>
      </c>
      <c r="D84" s="34">
        <f>IF(inputoutput!E21=0, 0, E9/inputoutput!E21)</f>
        <v>0</v>
      </c>
      <c r="E84" s="34">
        <f>IF(inputoutput!F21=0, 0, F9/inputoutput!F21)</f>
        <v>0.58445216292751245</v>
      </c>
      <c r="F84" s="34">
        <f>IF(inputoutput!G21=0, 0, G9/inputoutput!G21)</f>
        <v>4.6137471715885541</v>
      </c>
      <c r="G84" s="34">
        <f>IF(inputoutput!H21=0, 0, H9/inputoutput!H21)</f>
        <v>0</v>
      </c>
      <c r="H84" s="34">
        <f>IF(inputoutput!I21=0, 0, I9/inputoutput!I21)</f>
        <v>0</v>
      </c>
      <c r="I84" s="34">
        <f>IF(inputoutput!J21=0, 0, J9/inputoutput!J21)</f>
        <v>0</v>
      </c>
      <c r="J84" s="34">
        <f>IF(inputoutput!K21=0, 0, K9/inputoutput!K21)</f>
        <v>0</v>
      </c>
      <c r="K84" s="34">
        <f>IF(inputoutput!L21=0, 0, L9/inputoutput!L21)</f>
        <v>0</v>
      </c>
      <c r="L84" s="34">
        <f>IF(inputoutput!M21=0, 0, M9/inputoutput!M21)</f>
        <v>0</v>
      </c>
      <c r="M84" s="34">
        <f>IF(inputoutput!N21=0, 0, N9/inputoutput!N21)</f>
        <v>0</v>
      </c>
      <c r="N84" s="34">
        <f>IF(inputoutput!O21=0, 0, O9/inputoutput!O21)</f>
        <v>0</v>
      </c>
      <c r="O84" s="34">
        <f>IF(inputoutput!P21=0, 0, P9/inputoutput!P21)</f>
        <v>0</v>
      </c>
      <c r="P84" s="34">
        <f>IF(inputoutput!Q21=0, 0, Q9/inputoutput!Q21)</f>
        <v>0</v>
      </c>
      <c r="Q84" s="34">
        <f>IF(inputoutput!R21=0, 0, R9/inputoutput!R21)</f>
        <v>0</v>
      </c>
      <c r="R84" s="34">
        <f>IF(inputoutput!S21=0, 0, S9/inputoutput!S21)</f>
        <v>0</v>
      </c>
      <c r="S84" s="34">
        <f>IF(inputoutput!T21=0, 0, T9/inputoutput!T21)</f>
        <v>0</v>
      </c>
      <c r="T84" s="34">
        <f>IF(inputoutput!U21=0, 0, U9/inputoutput!U21)</f>
        <v>0</v>
      </c>
      <c r="U84" s="34">
        <f>IF(inputoutput!V21=0, 0, V9/inputoutput!V21)</f>
        <v>0</v>
      </c>
      <c r="V84" s="34">
        <f>IF(inputoutput!W21=0, 0, W9/inputoutput!W21)</f>
        <v>0</v>
      </c>
      <c r="W84" s="34" t="e">
        <f>IF(inputoutput!#REF!=0, 0, X9/inputoutput!#REF!)</f>
        <v>#REF!</v>
      </c>
      <c r="X84" s="34" t="e">
        <f>IF(inputoutput!#REF!=0, 0, Y9/inputoutput!#REF!)</f>
        <v>#REF!</v>
      </c>
      <c r="Y84" s="34" t="e">
        <f>IF(inputoutput!#REF!=0, 0, Z9/inputoutput!#REF!)</f>
        <v>#REF!</v>
      </c>
      <c r="Z84" s="34" t="e">
        <f>IF(inputoutput!#REF!=0, 0, AA9/inputoutput!#REF!)</f>
        <v>#REF!</v>
      </c>
      <c r="AA84" s="34" t="e">
        <f>IF(inputoutput!#REF!=0, 0, AB9/inputoutput!#REF!)</f>
        <v>#REF!</v>
      </c>
      <c r="AB84" s="34" t="e">
        <f>IF(inputoutput!#REF!=0, 0, AC9/inputoutput!#REF!)</f>
        <v>#REF!</v>
      </c>
      <c r="AC84" s="34" t="e">
        <f>IF(inputoutput!#REF!=0, 0, AD9/inputoutput!#REF!)</f>
        <v>#REF!</v>
      </c>
      <c r="AD84" s="34" t="e">
        <f>IF(inputoutput!#REF!=0, 0, AE9/inputoutput!#REF!)</f>
        <v>#REF!</v>
      </c>
      <c r="AE84" s="34" t="e">
        <f>IF(inputoutput!#REF!=0, 0, AF9/inputoutput!#REF!)</f>
        <v>#REF!</v>
      </c>
      <c r="AF84" s="34" t="e">
        <f>IF(inputoutput!#REF!=0, 0, AG9/inputoutput!#REF!)</f>
        <v>#REF!</v>
      </c>
    </row>
    <row r="85" spans="1:32" ht="15.75" customHeight="1">
      <c r="A85" s="1" t="s">
        <v>48</v>
      </c>
      <c r="B85" s="34" t="e">
        <f>IF(inputoutput!C22=0, 0, C10/inputoutput!C22)</f>
        <v>#VALUE!</v>
      </c>
      <c r="C85" s="34">
        <f>IF(inputoutput!D22=0, 0, D10/inputoutput!D22)</f>
        <v>1.6998463425782432E-3</v>
      </c>
      <c r="D85" s="34">
        <f>IF(inputoutput!E22=0, 0, E10/inputoutput!E22)</f>
        <v>4.9970198902166352E-6</v>
      </c>
      <c r="E85" s="34">
        <f>IF(inputoutput!F22=0, 0, F10/inputoutput!F22)</f>
        <v>2.6968922282330131E-2</v>
      </c>
      <c r="F85" s="34">
        <f>IF(inputoutput!G22=0, 0, G10/inputoutput!G22)</f>
        <v>4.2510420750298209E-3</v>
      </c>
      <c r="G85" s="34">
        <f>IF(inputoutput!H22=0, 0, H10/inputoutput!H22)</f>
        <v>0</v>
      </c>
      <c r="H85" s="34">
        <f>IF(inputoutput!I22=0, 0, I10/inputoutput!I22)</f>
        <v>0</v>
      </c>
      <c r="I85" s="34">
        <f>IF(inputoutput!J22=0, 0, J10/inputoutput!J22)</f>
        <v>0</v>
      </c>
      <c r="J85" s="34">
        <f>IF(inputoutput!K22=0, 0, K10/inputoutput!K22)</f>
        <v>0</v>
      </c>
      <c r="K85" s="34">
        <f>IF(inputoutput!L22=0, 0, L10/inputoutput!L22)</f>
        <v>0</v>
      </c>
      <c r="L85" s="34">
        <f>IF(inputoutput!M22=0, 0, M10/inputoutput!M22)</f>
        <v>0</v>
      </c>
      <c r="M85" s="34">
        <f>IF(inputoutput!N22=0, 0, N10/inputoutput!N22)</f>
        <v>0</v>
      </c>
      <c r="N85" s="34">
        <f>IF(inputoutput!O22=0, 0, O10/inputoutput!O22)</f>
        <v>0</v>
      </c>
      <c r="O85" s="34">
        <f>IF(inputoutput!P22=0, 0, P10/inputoutput!P22)</f>
        <v>0</v>
      </c>
      <c r="P85" s="34">
        <f>IF(inputoutput!Q22=0, 0, Q10/inputoutput!Q22)</f>
        <v>0</v>
      </c>
      <c r="Q85" s="34">
        <f>IF(inputoutput!R22=0, 0, R10/inputoutput!R22)</f>
        <v>0</v>
      </c>
      <c r="R85" s="34">
        <f>IF(inputoutput!S22=0, 0, S10/inputoutput!S22)</f>
        <v>0</v>
      </c>
      <c r="S85" s="34">
        <f>IF(inputoutput!T22=0, 0, T10/inputoutput!T22)</f>
        <v>0</v>
      </c>
      <c r="T85" s="34">
        <f>IF(inputoutput!U22=0, 0, U10/inputoutput!U22)</f>
        <v>0</v>
      </c>
      <c r="U85" s="34">
        <f>IF(inputoutput!V22=0, 0, V10/inputoutput!V22)</f>
        <v>0</v>
      </c>
      <c r="V85" s="34">
        <f>IF(inputoutput!W22=0, 0, W10/inputoutput!W22)</f>
        <v>0</v>
      </c>
      <c r="W85" s="34" t="e">
        <f>IF(inputoutput!#REF!=0, 0, X10/inputoutput!#REF!)</f>
        <v>#REF!</v>
      </c>
      <c r="X85" s="34" t="e">
        <f>IF(inputoutput!#REF!=0, 0, Y10/inputoutput!#REF!)</f>
        <v>#REF!</v>
      </c>
      <c r="Y85" s="34" t="e">
        <f>IF(inputoutput!#REF!=0, 0, Z10/inputoutput!#REF!)</f>
        <v>#REF!</v>
      </c>
      <c r="Z85" s="34" t="e">
        <f>IF(inputoutput!#REF!=0, 0, AA10/inputoutput!#REF!)</f>
        <v>#REF!</v>
      </c>
      <c r="AA85" s="34" t="e">
        <f>IF(inputoutput!#REF!=0, 0, AB10/inputoutput!#REF!)</f>
        <v>#REF!</v>
      </c>
      <c r="AB85" s="34" t="e">
        <f>IF(inputoutput!#REF!=0, 0, AC10/inputoutput!#REF!)</f>
        <v>#REF!</v>
      </c>
      <c r="AC85" s="34" t="e">
        <f>IF(inputoutput!#REF!=0, 0, AD10/inputoutput!#REF!)</f>
        <v>#REF!</v>
      </c>
      <c r="AD85" s="34" t="e">
        <f>IF(inputoutput!#REF!=0, 0, AE10/inputoutput!#REF!)</f>
        <v>#REF!</v>
      </c>
      <c r="AE85" s="34" t="e">
        <f>IF(inputoutput!#REF!=0, 0, AF10/inputoutput!#REF!)</f>
        <v>#REF!</v>
      </c>
      <c r="AF85" s="34" t="e">
        <f>IF(inputoutput!#REF!=0, 0, AG10/inputoutput!#REF!)</f>
        <v>#REF!</v>
      </c>
    </row>
    <row r="86" spans="1:32" ht="15.75" customHeight="1">
      <c r="A86" s="1" t="s">
        <v>50</v>
      </c>
      <c r="B86" s="34" t="e">
        <f>IF(inputoutput!C23=0, 0, C11/inputoutput!C23)</f>
        <v>#VALUE!</v>
      </c>
      <c r="C86" s="34">
        <f>IF(inputoutput!D23=0, 0, D11/inputoutput!D23)</f>
        <v>0</v>
      </c>
      <c r="D86" s="34">
        <f>IF(inputoutput!E23=0, 0, E11/inputoutput!E23)</f>
        <v>0</v>
      </c>
      <c r="E86" s="34">
        <f>IF(inputoutput!F23=0, 0, F11/inputoutput!F23)</f>
        <v>0</v>
      </c>
      <c r="F86" s="34">
        <f>IF(inputoutput!G23=0, 0, G11/inputoutput!G23)</f>
        <v>0</v>
      </c>
      <c r="G86" s="34">
        <f>IF(inputoutput!H23=0, 0, H11/inputoutput!H23)</f>
        <v>0</v>
      </c>
      <c r="H86" s="34">
        <f>IF(inputoutput!I23=0, 0, I11/inputoutput!I23)</f>
        <v>0</v>
      </c>
      <c r="I86" s="34">
        <f>IF(inputoutput!J23=0, 0, J11/inputoutput!J23)</f>
        <v>0</v>
      </c>
      <c r="J86" s="34">
        <f>IF(inputoutput!K23=0, 0, K11/inputoutput!K23)</f>
        <v>0</v>
      </c>
      <c r="K86" s="34">
        <f>IF(inputoutput!L23=0, 0, L11/inputoutput!L23)</f>
        <v>0</v>
      </c>
      <c r="L86" s="34">
        <f>IF(inputoutput!M23=0, 0, M11/inputoutput!M23)</f>
        <v>0</v>
      </c>
      <c r="M86" s="34">
        <f>IF(inputoutput!N23=0, 0, N11/inputoutput!N23)</f>
        <v>0</v>
      </c>
      <c r="N86" s="34">
        <f>IF(inputoutput!O23=0, 0, O11/inputoutput!O23)</f>
        <v>0</v>
      </c>
      <c r="O86" s="34">
        <f>IF(inputoutput!P23=0, 0, P11/inputoutput!P23)</f>
        <v>0</v>
      </c>
      <c r="P86" s="34">
        <f>IF(inputoutput!Q23=0, 0, Q11/inputoutput!Q23)</f>
        <v>0</v>
      </c>
      <c r="Q86" s="34">
        <f>IF(inputoutput!R23=0, 0, R11/inputoutput!R23)</f>
        <v>0</v>
      </c>
      <c r="R86" s="34">
        <f>IF(inputoutput!S23=0, 0, S11/inputoutput!S23)</f>
        <v>0</v>
      </c>
      <c r="S86" s="34">
        <f>IF(inputoutput!T23=0, 0, T11/inputoutput!T23)</f>
        <v>0</v>
      </c>
      <c r="T86" s="34">
        <f>IF(inputoutput!U23=0, 0, U11/inputoutput!U23)</f>
        <v>0</v>
      </c>
      <c r="U86" s="34">
        <f>IF(inputoutput!V23=0, 0, V11/inputoutput!V23)</f>
        <v>0</v>
      </c>
      <c r="V86" s="34">
        <f>IF(inputoutput!W23=0, 0, W11/inputoutput!W23)</f>
        <v>0</v>
      </c>
      <c r="W86" s="34" t="e">
        <f>IF(inputoutput!#REF!=0, 0, X11/inputoutput!#REF!)</f>
        <v>#REF!</v>
      </c>
      <c r="X86" s="34" t="e">
        <f>IF(inputoutput!#REF!=0, 0, Y11/inputoutput!#REF!)</f>
        <v>#REF!</v>
      </c>
      <c r="Y86" s="34" t="e">
        <f>IF(inputoutput!#REF!=0, 0, Z11/inputoutput!#REF!)</f>
        <v>#REF!</v>
      </c>
      <c r="Z86" s="34" t="e">
        <f>IF(inputoutput!#REF!=0, 0, AA11/inputoutput!#REF!)</f>
        <v>#REF!</v>
      </c>
      <c r="AA86" s="34" t="e">
        <f>IF(inputoutput!#REF!=0, 0, AB11/inputoutput!#REF!)</f>
        <v>#REF!</v>
      </c>
      <c r="AB86" s="34" t="e">
        <f>IF(inputoutput!#REF!=0, 0, AC11/inputoutput!#REF!)</f>
        <v>#REF!</v>
      </c>
      <c r="AC86" s="34" t="e">
        <f>IF(inputoutput!#REF!=0, 0, AD11/inputoutput!#REF!)</f>
        <v>#REF!</v>
      </c>
      <c r="AD86" s="34" t="e">
        <f>IF(inputoutput!#REF!=0, 0, AE11/inputoutput!#REF!)</f>
        <v>#REF!</v>
      </c>
      <c r="AE86" s="34" t="e">
        <f>IF(inputoutput!#REF!=0, 0, AF11/inputoutput!#REF!)</f>
        <v>#REF!</v>
      </c>
      <c r="AF86" s="34" t="e">
        <f>IF(inputoutput!#REF!=0, 0, AG11/inputoutput!#REF!)</f>
        <v>#REF!</v>
      </c>
    </row>
    <row r="87" spans="1:32" ht="15.75" customHeight="1">
      <c r="A87" s="1" t="s">
        <v>52</v>
      </c>
      <c r="B87" s="34" t="e">
        <f>IF(inputoutput!C24=0, 0, C12/inputoutput!C24)</f>
        <v>#VALUE!</v>
      </c>
      <c r="C87" s="34">
        <f>IF(inputoutput!D24=0, 0, D12/inputoutput!D24)</f>
        <v>1.6203489391770152E-3</v>
      </c>
      <c r="D87" s="34">
        <f>IF(inputoutput!E24=0, 0, E12/inputoutput!E24)</f>
        <v>1.691135749829217E-2</v>
      </c>
      <c r="E87" s="34">
        <f>IF(inputoutput!F24=0, 0, F12/inputoutput!F24)</f>
        <v>0.50926296547305983</v>
      </c>
      <c r="F87" s="34">
        <f>IF(inputoutput!G24=0, 0, G12/inputoutput!G24)</f>
        <v>0</v>
      </c>
      <c r="G87" s="34">
        <f>IF(inputoutput!H24=0, 0, H12/inputoutput!H24)</f>
        <v>0</v>
      </c>
      <c r="H87" s="34">
        <f>IF(inputoutput!I24=0, 0, I12/inputoutput!I24)</f>
        <v>0</v>
      </c>
      <c r="I87" s="34">
        <f>IF(inputoutput!J24=0, 0, J12/inputoutput!J24)</f>
        <v>0</v>
      </c>
      <c r="J87" s="34">
        <f>IF(inputoutput!K24=0, 0, K12/inputoutput!K24)</f>
        <v>0</v>
      </c>
      <c r="K87" s="34">
        <f>IF(inputoutput!L24=0, 0, L12/inputoutput!L24)</f>
        <v>0</v>
      </c>
      <c r="L87" s="34">
        <f>IF(inputoutput!M24=0, 0, M12/inputoutput!M24)</f>
        <v>0</v>
      </c>
      <c r="M87" s="34">
        <f>IF(inputoutput!N24=0, 0, N12/inputoutput!N24)</f>
        <v>0</v>
      </c>
      <c r="N87" s="34">
        <f>IF(inputoutput!O24=0, 0, O12/inputoutput!O24)</f>
        <v>0</v>
      </c>
      <c r="O87" s="34">
        <f>IF(inputoutput!P24=0, 0, P12/inputoutput!P24)</f>
        <v>0</v>
      </c>
      <c r="P87" s="34">
        <f>IF(inputoutput!Q24=0, 0, Q12/inputoutput!Q24)</f>
        <v>0</v>
      </c>
      <c r="Q87" s="34">
        <f>IF(inputoutput!R24=0, 0, R12/inputoutput!R24)</f>
        <v>0</v>
      </c>
      <c r="R87" s="34">
        <f>IF(inputoutput!S24=0, 0, S12/inputoutput!S24)</f>
        <v>0</v>
      </c>
      <c r="S87" s="34">
        <f>IF(inputoutput!T24=0, 0, T12/inputoutput!T24)</f>
        <v>0</v>
      </c>
      <c r="T87" s="34">
        <f>IF(inputoutput!U24=0, 0, U12/inputoutput!U24)</f>
        <v>0</v>
      </c>
      <c r="U87" s="34">
        <f>IF(inputoutput!V24=0, 0, V12/inputoutput!V24)</f>
        <v>0</v>
      </c>
      <c r="V87" s="34">
        <f>IF(inputoutput!W24=0, 0, W12/inputoutput!W24)</f>
        <v>0</v>
      </c>
      <c r="W87" s="34" t="e">
        <f>IF(inputoutput!#REF!=0, 0, X12/inputoutput!#REF!)</f>
        <v>#REF!</v>
      </c>
      <c r="X87" s="34" t="e">
        <f>IF(inputoutput!#REF!=0, 0, Y12/inputoutput!#REF!)</f>
        <v>#REF!</v>
      </c>
      <c r="Y87" s="34" t="e">
        <f>IF(inputoutput!#REF!=0, 0, Z12/inputoutput!#REF!)</f>
        <v>#REF!</v>
      </c>
      <c r="Z87" s="34" t="e">
        <f>IF(inputoutput!#REF!=0, 0, AA12/inputoutput!#REF!)</f>
        <v>#REF!</v>
      </c>
      <c r="AA87" s="34" t="e">
        <f>IF(inputoutput!#REF!=0, 0, AB12/inputoutput!#REF!)</f>
        <v>#REF!</v>
      </c>
      <c r="AB87" s="34" t="e">
        <f>IF(inputoutput!#REF!=0, 0, AC12/inputoutput!#REF!)</f>
        <v>#REF!</v>
      </c>
      <c r="AC87" s="34" t="e">
        <f>IF(inputoutput!#REF!=0, 0, AD12/inputoutput!#REF!)</f>
        <v>#REF!</v>
      </c>
      <c r="AD87" s="34" t="e">
        <f>IF(inputoutput!#REF!=0, 0, AE12/inputoutput!#REF!)</f>
        <v>#REF!</v>
      </c>
      <c r="AE87" s="34" t="e">
        <f>IF(inputoutput!#REF!=0, 0, AF12/inputoutput!#REF!)</f>
        <v>#REF!</v>
      </c>
      <c r="AF87" s="34" t="e">
        <f>IF(inputoutput!#REF!=0, 0, AG12/inputoutput!#REF!)</f>
        <v>#REF!</v>
      </c>
    </row>
    <row r="88" spans="1:32" ht="15.75" customHeight="1">
      <c r="A88" s="1" t="s">
        <v>54</v>
      </c>
      <c r="B88" s="34" t="e">
        <f>IF(inputoutput!C25=0, 0, C13/inputoutput!C25)</f>
        <v>#VALUE!</v>
      </c>
      <c r="C88" s="34">
        <f>IF(inputoutput!D25=0, 0, D13/inputoutput!D25)</f>
        <v>1.4558710005273552E-5</v>
      </c>
      <c r="D88" s="34">
        <f>IF(inputoutput!E25=0, 0, E13/inputoutput!E25)</f>
        <v>0</v>
      </c>
      <c r="E88" s="34">
        <f>IF(inputoutput!F25=0, 0, F13/inputoutput!F25)</f>
        <v>0</v>
      </c>
      <c r="F88" s="34">
        <f>IF(inputoutput!G25=0, 0, G13/inputoutput!G25)</f>
        <v>0</v>
      </c>
      <c r="G88" s="34">
        <f>IF(inputoutput!H25=0, 0, H13/inputoutput!H25)</f>
        <v>0</v>
      </c>
      <c r="H88" s="34">
        <f>IF(inputoutput!I25=0, 0, I13/inputoutput!I25)</f>
        <v>0</v>
      </c>
      <c r="I88" s="34">
        <f>IF(inputoutput!J25=0, 0, J13/inputoutput!J25)</f>
        <v>0</v>
      </c>
      <c r="J88" s="34">
        <f>IF(inputoutput!K25=0, 0, K13/inputoutput!K25)</f>
        <v>0</v>
      </c>
      <c r="K88" s="34">
        <f>IF(inputoutput!L25=0, 0, L13/inputoutput!L25)</f>
        <v>0</v>
      </c>
      <c r="L88" s="34">
        <f>IF(inputoutput!M25=0, 0, M13/inputoutput!M25)</f>
        <v>0</v>
      </c>
      <c r="M88" s="34">
        <f>IF(inputoutput!N25=0, 0, N13/inputoutput!N25)</f>
        <v>0</v>
      </c>
      <c r="N88" s="34">
        <f>IF(inputoutput!O25=0, 0, O13/inputoutput!O25)</f>
        <v>0</v>
      </c>
      <c r="O88" s="34">
        <f>IF(inputoutput!P25=0, 0, P13/inputoutput!P25)</f>
        <v>0</v>
      </c>
      <c r="P88" s="34">
        <f>IF(inputoutput!Q25=0, 0, Q13/inputoutput!Q25)</f>
        <v>0</v>
      </c>
      <c r="Q88" s="34">
        <f>IF(inputoutput!R25=0, 0, R13/inputoutput!R25)</f>
        <v>0</v>
      </c>
      <c r="R88" s="34">
        <f>IF(inputoutput!S25=0, 0, S13/inputoutput!S25)</f>
        <v>0</v>
      </c>
      <c r="S88" s="34">
        <f>IF(inputoutput!T25=0, 0, T13/inputoutput!T25)</f>
        <v>0</v>
      </c>
      <c r="T88" s="34">
        <f>IF(inputoutput!U25=0, 0, U13/inputoutput!U25)</f>
        <v>0</v>
      </c>
      <c r="U88" s="34">
        <f>IF(inputoutput!V25=0, 0, V13/inputoutput!V25)</f>
        <v>0</v>
      </c>
      <c r="V88" s="34">
        <f>IF(inputoutput!W25=0, 0, W13/inputoutput!W25)</f>
        <v>0</v>
      </c>
      <c r="W88" s="34" t="e">
        <f>IF(inputoutput!#REF!=0, 0, X13/inputoutput!#REF!)</f>
        <v>#REF!</v>
      </c>
      <c r="X88" s="34" t="e">
        <f>IF(inputoutput!#REF!=0, 0, Y13/inputoutput!#REF!)</f>
        <v>#REF!</v>
      </c>
      <c r="Y88" s="34" t="e">
        <f>IF(inputoutput!#REF!=0, 0, Z13/inputoutput!#REF!)</f>
        <v>#REF!</v>
      </c>
      <c r="Z88" s="34" t="e">
        <f>IF(inputoutput!#REF!=0, 0, AA13/inputoutput!#REF!)</f>
        <v>#REF!</v>
      </c>
      <c r="AA88" s="34" t="e">
        <f>IF(inputoutput!#REF!=0, 0, AB13/inputoutput!#REF!)</f>
        <v>#REF!</v>
      </c>
      <c r="AB88" s="34" t="e">
        <f>IF(inputoutput!#REF!=0, 0, AC13/inputoutput!#REF!)</f>
        <v>#REF!</v>
      </c>
      <c r="AC88" s="34" t="e">
        <f>IF(inputoutput!#REF!=0, 0, AD13/inputoutput!#REF!)</f>
        <v>#REF!</v>
      </c>
      <c r="AD88" s="34" t="e">
        <f>IF(inputoutput!#REF!=0, 0, AE13/inputoutput!#REF!)</f>
        <v>#REF!</v>
      </c>
      <c r="AE88" s="34" t="e">
        <f>IF(inputoutput!#REF!=0, 0, AF13/inputoutput!#REF!)</f>
        <v>#REF!</v>
      </c>
      <c r="AF88" s="34" t="e">
        <f>IF(inputoutput!#REF!=0, 0, AG13/inputoutput!#REF!)</f>
        <v>#REF!</v>
      </c>
    </row>
    <row r="89" spans="1:32" ht="15.75" customHeight="1">
      <c r="A89" s="1" t="s">
        <v>56</v>
      </c>
      <c r="B89" s="34" t="e">
        <f>IF(inputoutput!C26=0, 0, C14/inputoutput!C26)</f>
        <v>#VALUE!</v>
      </c>
      <c r="C89" s="34">
        <f>IF(inputoutput!D26=0, 0, D14/inputoutput!D26)</f>
        <v>1.759699699760006E-6</v>
      </c>
      <c r="D89" s="34">
        <f>IF(inputoutput!E26=0, 0, E14/inputoutput!E26)</f>
        <v>0</v>
      </c>
      <c r="E89" s="34">
        <f>IF(inputoutput!F26=0, 0, F14/inputoutput!F26)</f>
        <v>0</v>
      </c>
      <c r="F89" s="34">
        <f>IF(inputoutput!G26=0, 0, G14/inputoutput!G26)</f>
        <v>0</v>
      </c>
      <c r="G89" s="34">
        <f>IF(inputoutput!H26=0, 0, H14/inputoutput!H26)</f>
        <v>0</v>
      </c>
      <c r="H89" s="34">
        <f>IF(inputoutput!I26=0, 0, I14/inputoutput!I26)</f>
        <v>0</v>
      </c>
      <c r="I89" s="34">
        <f>IF(inputoutput!J26=0, 0, J14/inputoutput!J26)</f>
        <v>0</v>
      </c>
      <c r="J89" s="34">
        <f>IF(inputoutput!K26=0, 0, K14/inputoutput!K26)</f>
        <v>0</v>
      </c>
      <c r="K89" s="34">
        <f>IF(inputoutput!L26=0, 0, L14/inputoutput!L26)</f>
        <v>0</v>
      </c>
      <c r="L89" s="34">
        <f>IF(inputoutput!M26=0, 0, M14/inputoutput!M26)</f>
        <v>0</v>
      </c>
      <c r="M89" s="34">
        <f>IF(inputoutput!N26=0, 0, N14/inputoutput!N26)</f>
        <v>0</v>
      </c>
      <c r="N89" s="34">
        <f>IF(inputoutput!O26=0, 0, O14/inputoutput!O26)</f>
        <v>0</v>
      </c>
      <c r="O89" s="34">
        <f>IF(inputoutput!P26=0, 0, P14/inputoutput!P26)</f>
        <v>0</v>
      </c>
      <c r="P89" s="34">
        <f>IF(inputoutput!Q26=0, 0, Q14/inputoutput!Q26)</f>
        <v>0</v>
      </c>
      <c r="Q89" s="34">
        <f>IF(inputoutput!R26=0, 0, R14/inputoutput!R26)</f>
        <v>0</v>
      </c>
      <c r="R89" s="34">
        <f>IF(inputoutput!S26=0, 0, S14/inputoutput!S26)</f>
        <v>0</v>
      </c>
      <c r="S89" s="34">
        <f>IF(inputoutput!T26=0, 0, T14/inputoutput!T26)</f>
        <v>0</v>
      </c>
      <c r="T89" s="34">
        <f>IF(inputoutput!U26=0, 0, U14/inputoutput!U26)</f>
        <v>0</v>
      </c>
      <c r="U89" s="34">
        <f>IF(inputoutput!V26=0, 0, V14/inputoutput!V26)</f>
        <v>0</v>
      </c>
      <c r="V89" s="34">
        <f>IF(inputoutput!W26=0, 0, W14/inputoutput!W26)</f>
        <v>0</v>
      </c>
      <c r="W89" s="34" t="e">
        <f>IF(inputoutput!#REF!=0, 0, X14/inputoutput!#REF!)</f>
        <v>#REF!</v>
      </c>
      <c r="X89" s="34" t="e">
        <f>IF(inputoutput!#REF!=0, 0, Y14/inputoutput!#REF!)</f>
        <v>#REF!</v>
      </c>
      <c r="Y89" s="34" t="e">
        <f>IF(inputoutput!#REF!=0, 0, Z14/inputoutput!#REF!)</f>
        <v>#REF!</v>
      </c>
      <c r="Z89" s="34" t="e">
        <f>IF(inputoutput!#REF!=0, 0, AA14/inputoutput!#REF!)</f>
        <v>#REF!</v>
      </c>
      <c r="AA89" s="34" t="e">
        <f>IF(inputoutput!#REF!=0, 0, AB14/inputoutput!#REF!)</f>
        <v>#REF!</v>
      </c>
      <c r="AB89" s="34" t="e">
        <f>IF(inputoutput!#REF!=0, 0, AC14/inputoutput!#REF!)</f>
        <v>#REF!</v>
      </c>
      <c r="AC89" s="34" t="e">
        <f>IF(inputoutput!#REF!=0, 0, AD14/inputoutput!#REF!)</f>
        <v>#REF!</v>
      </c>
      <c r="AD89" s="34" t="e">
        <f>IF(inputoutput!#REF!=0, 0, AE14/inputoutput!#REF!)</f>
        <v>#REF!</v>
      </c>
      <c r="AE89" s="34" t="e">
        <f>IF(inputoutput!#REF!=0, 0, AF14/inputoutput!#REF!)</f>
        <v>#REF!</v>
      </c>
      <c r="AF89" s="34" t="e">
        <f>IF(inputoutput!#REF!=0, 0, AG14/inputoutput!#REF!)</f>
        <v>#REF!</v>
      </c>
    </row>
    <row r="90" spans="1:32" ht="15.75" customHeight="1">
      <c r="A90" s="1" t="s">
        <v>58</v>
      </c>
      <c r="B90" s="34" t="e">
        <f>IF(inputoutput!C27=0, 0, C15/inputoutput!C27)</f>
        <v>#VALUE!</v>
      </c>
      <c r="C90" s="34">
        <f>IF(inputoutput!D27=0, 0, D15/inputoutput!D27)</f>
        <v>9.0962828471924937E-4</v>
      </c>
      <c r="D90" s="34">
        <f>IF(inputoutput!E27=0, 0, E15/inputoutput!E27)</f>
        <v>1.4904103102749285E-2</v>
      </c>
      <c r="E90" s="34">
        <f>IF(inputoutput!F27=0, 0, F15/inputoutput!F27)</f>
        <v>0.7478780273247907</v>
      </c>
      <c r="F90" s="34">
        <f>IF(inputoutput!G27=0, 0, G15/inputoutput!G27)</f>
        <v>0</v>
      </c>
      <c r="G90" s="34">
        <f>IF(inputoutput!H27=0, 0, H15/inputoutput!H27)</f>
        <v>0</v>
      </c>
      <c r="H90" s="34">
        <f>IF(inputoutput!I27=0, 0, I15/inputoutput!I27)</f>
        <v>0</v>
      </c>
      <c r="I90" s="34">
        <f>IF(inputoutput!J27=0, 0, J15/inputoutput!J27)</f>
        <v>0</v>
      </c>
      <c r="J90" s="34">
        <f>IF(inputoutput!K27=0, 0, K15/inputoutput!K27)</f>
        <v>0</v>
      </c>
      <c r="K90" s="34">
        <f>IF(inputoutput!L27=0, 0, L15/inputoutput!L27)</f>
        <v>0</v>
      </c>
      <c r="L90" s="34">
        <f>IF(inputoutput!M27=0, 0, M15/inputoutput!M27)</f>
        <v>0</v>
      </c>
      <c r="M90" s="34">
        <f>IF(inputoutput!N27=0, 0, N15/inputoutput!N27)</f>
        <v>0</v>
      </c>
      <c r="N90" s="34">
        <f>IF(inputoutput!O27=0, 0, O15/inputoutput!O27)</f>
        <v>0</v>
      </c>
      <c r="O90" s="34">
        <f>IF(inputoutput!P27=0, 0, P15/inputoutput!P27)</f>
        <v>0</v>
      </c>
      <c r="P90" s="34">
        <f>IF(inputoutput!Q27=0, 0, Q15/inputoutput!Q27)</f>
        <v>0</v>
      </c>
      <c r="Q90" s="34">
        <f>IF(inputoutput!R27=0, 0, R15/inputoutput!R27)</f>
        <v>0</v>
      </c>
      <c r="R90" s="34">
        <f>IF(inputoutput!S27=0, 0, S15/inputoutput!S27)</f>
        <v>0</v>
      </c>
      <c r="S90" s="34">
        <f>IF(inputoutput!T27=0, 0, T15/inputoutput!T27)</f>
        <v>0</v>
      </c>
      <c r="T90" s="34">
        <f>IF(inputoutput!U27=0, 0, U15/inputoutput!U27)</f>
        <v>0</v>
      </c>
      <c r="U90" s="34">
        <f>IF(inputoutput!V27=0, 0, V15/inputoutput!V27)</f>
        <v>0</v>
      </c>
      <c r="V90" s="34">
        <f>IF(inputoutput!W27=0, 0, W15/inputoutput!W27)</f>
        <v>0</v>
      </c>
      <c r="W90" s="34" t="e">
        <f>IF(inputoutput!#REF!=0, 0, X15/inputoutput!#REF!)</f>
        <v>#REF!</v>
      </c>
      <c r="X90" s="34" t="e">
        <f>IF(inputoutput!#REF!=0, 0, Y15/inputoutput!#REF!)</f>
        <v>#REF!</v>
      </c>
      <c r="Y90" s="34" t="e">
        <f>IF(inputoutput!#REF!=0, 0, Z15/inputoutput!#REF!)</f>
        <v>#REF!</v>
      </c>
      <c r="Z90" s="34" t="e">
        <f>IF(inputoutput!#REF!=0, 0, AA15/inputoutput!#REF!)</f>
        <v>#REF!</v>
      </c>
      <c r="AA90" s="34" t="e">
        <f>IF(inputoutput!#REF!=0, 0, AB15/inputoutput!#REF!)</f>
        <v>#REF!</v>
      </c>
      <c r="AB90" s="34" t="e">
        <f>IF(inputoutput!#REF!=0, 0, AC15/inputoutput!#REF!)</f>
        <v>#REF!</v>
      </c>
      <c r="AC90" s="34" t="e">
        <f>IF(inputoutput!#REF!=0, 0, AD15/inputoutput!#REF!)</f>
        <v>#REF!</v>
      </c>
      <c r="AD90" s="34" t="e">
        <f>IF(inputoutput!#REF!=0, 0, AE15/inputoutput!#REF!)</f>
        <v>#REF!</v>
      </c>
      <c r="AE90" s="34" t="e">
        <f>IF(inputoutput!#REF!=0, 0, AF15/inputoutput!#REF!)</f>
        <v>#REF!</v>
      </c>
      <c r="AF90" s="34" t="e">
        <f>IF(inputoutput!#REF!=0, 0, AG15/inputoutput!#REF!)</f>
        <v>#REF!</v>
      </c>
    </row>
    <row r="91" spans="1:32" ht="15.75" customHeight="1">
      <c r="A91" s="1" t="s">
        <v>61</v>
      </c>
      <c r="B91" s="34" t="e">
        <f>IF(inputoutput!C28=0, 0, C16/inputoutput!C28)</f>
        <v>#VALUE!</v>
      </c>
      <c r="C91" s="34">
        <f>IF(inputoutput!D28=0, 0, D16/inputoutput!D28)</f>
        <v>0</v>
      </c>
      <c r="D91" s="34">
        <f>IF(inputoutput!E28=0, 0, E16/inputoutput!E28)</f>
        <v>0</v>
      </c>
      <c r="E91" s="34">
        <f>IF(inputoutput!F28=0, 0, F16/inputoutput!F28)</f>
        <v>8.2799610118423558E-4</v>
      </c>
      <c r="F91" s="34">
        <f>IF(inputoutput!G28=0, 0, G16/inputoutput!G28)</f>
        <v>0</v>
      </c>
      <c r="G91" s="34">
        <f>IF(inputoutput!H28=0, 0, H16/inputoutput!H28)</f>
        <v>0</v>
      </c>
      <c r="H91" s="34">
        <f>IF(inputoutput!I28=0, 0, I16/inputoutput!I28)</f>
        <v>0</v>
      </c>
      <c r="I91" s="34">
        <f>IF(inputoutput!J28=0, 0, J16/inputoutput!J28)</f>
        <v>0</v>
      </c>
      <c r="J91" s="34">
        <f>IF(inputoutput!K28=0, 0, K16/inputoutput!K28)</f>
        <v>0</v>
      </c>
      <c r="K91" s="34">
        <f>IF(inputoutput!L28=0, 0, L16/inputoutput!L28)</f>
        <v>0</v>
      </c>
      <c r="L91" s="34">
        <f>IF(inputoutput!M28=0, 0, M16/inputoutput!M28)</f>
        <v>0</v>
      </c>
      <c r="M91" s="34">
        <f>IF(inputoutput!N28=0, 0, N16/inputoutput!N28)</f>
        <v>0</v>
      </c>
      <c r="N91" s="34">
        <f>IF(inputoutput!O28=0, 0, O16/inputoutput!O28)</f>
        <v>0</v>
      </c>
      <c r="O91" s="34">
        <f>IF(inputoutput!P28=0, 0, P16/inputoutput!P28)</f>
        <v>0</v>
      </c>
      <c r="P91" s="34">
        <f>IF(inputoutput!Q28=0, 0, Q16/inputoutput!Q28)</f>
        <v>0</v>
      </c>
      <c r="Q91" s="34">
        <f>IF(inputoutput!R28=0, 0, R16/inputoutput!R28)</f>
        <v>0</v>
      </c>
      <c r="R91" s="34">
        <f>IF(inputoutput!S28=0, 0, S16/inputoutput!S28)</f>
        <v>0</v>
      </c>
      <c r="S91" s="34">
        <f>IF(inputoutput!T28=0, 0, T16/inputoutput!T28)</f>
        <v>0</v>
      </c>
      <c r="T91" s="34">
        <f>IF(inputoutput!U28=0, 0, U16/inputoutput!U28)</f>
        <v>0</v>
      </c>
      <c r="U91" s="34">
        <f>IF(inputoutput!V28=0, 0, V16/inputoutput!V28)</f>
        <v>0</v>
      </c>
      <c r="V91" s="34">
        <f>IF(inputoutput!W28=0, 0, W16/inputoutput!W28)</f>
        <v>0</v>
      </c>
      <c r="W91" s="34" t="e">
        <f>IF(inputoutput!#REF!=0, 0, X16/inputoutput!#REF!)</f>
        <v>#REF!</v>
      </c>
      <c r="X91" s="34" t="e">
        <f>IF(inputoutput!#REF!=0, 0, Y16/inputoutput!#REF!)</f>
        <v>#REF!</v>
      </c>
      <c r="Y91" s="34" t="e">
        <f>IF(inputoutput!#REF!=0, 0, Z16/inputoutput!#REF!)</f>
        <v>#REF!</v>
      </c>
      <c r="Z91" s="34" t="e">
        <f>IF(inputoutput!#REF!=0, 0, AA16/inputoutput!#REF!)</f>
        <v>#REF!</v>
      </c>
      <c r="AA91" s="34" t="e">
        <f>IF(inputoutput!#REF!=0, 0, AB16/inputoutput!#REF!)</f>
        <v>#REF!</v>
      </c>
      <c r="AB91" s="34" t="e">
        <f>IF(inputoutput!#REF!=0, 0, AC16/inputoutput!#REF!)</f>
        <v>#REF!</v>
      </c>
      <c r="AC91" s="34" t="e">
        <f>IF(inputoutput!#REF!=0, 0, AD16/inputoutput!#REF!)</f>
        <v>#REF!</v>
      </c>
      <c r="AD91" s="34" t="e">
        <f>IF(inputoutput!#REF!=0, 0, AE16/inputoutput!#REF!)</f>
        <v>#REF!</v>
      </c>
      <c r="AE91" s="34" t="e">
        <f>IF(inputoutput!#REF!=0, 0, AF16/inputoutput!#REF!)</f>
        <v>#REF!</v>
      </c>
      <c r="AF91" s="34" t="e">
        <f>IF(inputoutput!#REF!=0, 0, AG16/inputoutput!#REF!)</f>
        <v>#REF!</v>
      </c>
    </row>
    <row r="92" spans="1:32" ht="15.75" customHeight="1">
      <c r="A92" s="1" t="s">
        <v>63</v>
      </c>
      <c r="B92" s="34" t="e">
        <f>IF(inputoutput!C29=0, 0, C17/inputoutput!C29)</f>
        <v>#VALUE!</v>
      </c>
      <c r="C92" s="34">
        <f>IF(inputoutput!D29=0, 0, D17/inputoutput!D29)</f>
        <v>0</v>
      </c>
      <c r="D92" s="34">
        <f>IF(inputoutput!E29=0, 0, E17/inputoutput!E29)</f>
        <v>0</v>
      </c>
      <c r="E92" s="34">
        <f>IF(inputoutput!F29=0, 0, F17/inputoutput!F29)</f>
        <v>0</v>
      </c>
      <c r="F92" s="34">
        <f>IF(inputoutput!G29=0, 0, G17/inputoutput!G29)</f>
        <v>0</v>
      </c>
      <c r="G92" s="34">
        <f>IF(inputoutput!H29=0, 0, H17/inputoutput!H29)</f>
        <v>0</v>
      </c>
      <c r="H92" s="34">
        <f>IF(inputoutput!I29=0, 0, I17/inputoutput!I29)</f>
        <v>0</v>
      </c>
      <c r="I92" s="34">
        <f>IF(inputoutput!J29=0, 0, J17/inputoutput!J29)</f>
        <v>0</v>
      </c>
      <c r="J92" s="34">
        <f>IF(inputoutput!K29=0, 0, K17/inputoutput!K29)</f>
        <v>0</v>
      </c>
      <c r="K92" s="34">
        <f>IF(inputoutput!L29=0, 0, L17/inputoutput!L29)</f>
        <v>0</v>
      </c>
      <c r="L92" s="34">
        <f>IF(inputoutput!M29=0, 0, M17/inputoutput!M29)</f>
        <v>0</v>
      </c>
      <c r="M92" s="34">
        <f>IF(inputoutput!N29=0, 0, N17/inputoutput!N29)</f>
        <v>0</v>
      </c>
      <c r="N92" s="34">
        <f>IF(inputoutput!O29=0, 0, O17/inputoutput!O29)</f>
        <v>0</v>
      </c>
      <c r="O92" s="34">
        <f>IF(inputoutput!P29=0, 0, P17/inputoutput!P29)</f>
        <v>0</v>
      </c>
      <c r="P92" s="34">
        <f>IF(inputoutput!Q29=0, 0, Q17/inputoutput!Q29)</f>
        <v>0</v>
      </c>
      <c r="Q92" s="34">
        <f>IF(inputoutput!R29=0, 0, R17/inputoutput!R29)</f>
        <v>0</v>
      </c>
      <c r="R92" s="34">
        <f>IF(inputoutput!S29=0, 0, S17/inputoutput!S29)</f>
        <v>0</v>
      </c>
      <c r="S92" s="34">
        <f>IF(inputoutput!T29=0, 0, T17/inputoutput!T29)</f>
        <v>0</v>
      </c>
      <c r="T92" s="34">
        <f>IF(inputoutput!U29=0, 0, U17/inputoutput!U29)</f>
        <v>0</v>
      </c>
      <c r="U92" s="34">
        <f>IF(inputoutput!V29=0, 0, V17/inputoutput!V29)</f>
        <v>0</v>
      </c>
      <c r="V92" s="34">
        <f>IF(inputoutput!W29=0, 0, W17/inputoutput!W29)</f>
        <v>0</v>
      </c>
      <c r="W92" s="34" t="e">
        <f>IF(inputoutput!#REF!=0, 0, X17/inputoutput!#REF!)</f>
        <v>#REF!</v>
      </c>
      <c r="X92" s="34" t="e">
        <f>IF(inputoutput!#REF!=0, 0, Y17/inputoutput!#REF!)</f>
        <v>#REF!</v>
      </c>
      <c r="Y92" s="34" t="e">
        <f>IF(inputoutput!#REF!=0, 0, Z17/inputoutput!#REF!)</f>
        <v>#REF!</v>
      </c>
      <c r="Z92" s="34" t="e">
        <f>IF(inputoutput!#REF!=0, 0, AA17/inputoutput!#REF!)</f>
        <v>#REF!</v>
      </c>
      <c r="AA92" s="34" t="e">
        <f>IF(inputoutput!#REF!=0, 0, AB17/inputoutput!#REF!)</f>
        <v>#REF!</v>
      </c>
      <c r="AB92" s="34" t="e">
        <f>IF(inputoutput!#REF!=0, 0, AC17/inputoutput!#REF!)</f>
        <v>#REF!</v>
      </c>
      <c r="AC92" s="34" t="e">
        <f>IF(inputoutput!#REF!=0, 0, AD17/inputoutput!#REF!)</f>
        <v>#REF!</v>
      </c>
      <c r="AD92" s="34" t="e">
        <f>IF(inputoutput!#REF!=0, 0, AE17/inputoutput!#REF!)</f>
        <v>#REF!</v>
      </c>
      <c r="AE92" s="34" t="e">
        <f>IF(inputoutput!#REF!=0, 0, AF17/inputoutput!#REF!)</f>
        <v>#REF!</v>
      </c>
      <c r="AF92" s="34" t="e">
        <f>IF(inputoutput!#REF!=0, 0, AG17/inputoutput!#REF!)</f>
        <v>#REF!</v>
      </c>
    </row>
    <row r="93" spans="1:32" ht="15.75" customHeight="1">
      <c r="A93" s="1" t="s">
        <v>65</v>
      </c>
      <c r="B93" s="34" t="e">
        <f>IF(inputoutput!C30=0, 0, C18/inputoutput!C30)</f>
        <v>#VALUE!</v>
      </c>
      <c r="C93" s="34">
        <f>IF(inputoutput!D30=0, 0, D18/inputoutput!D30)</f>
        <v>4.2401709112070618E-3</v>
      </c>
      <c r="D93" s="34">
        <f>IF(inputoutput!E30=0, 0, E18/inputoutput!E30)</f>
        <v>1.2179884310378409E-2</v>
      </c>
      <c r="E93" s="34">
        <f>IF(inputoutput!F30=0, 0, F18/inputoutput!F30)</f>
        <v>0</v>
      </c>
      <c r="F93" s="34">
        <f>IF(inputoutput!G30=0, 0, G18/inputoutput!G30)</f>
        <v>0</v>
      </c>
      <c r="G93" s="34">
        <f>IF(inputoutput!H30=0, 0, H18/inputoutput!H30)</f>
        <v>0</v>
      </c>
      <c r="H93" s="34">
        <f>IF(inputoutput!I30=0, 0, I18/inputoutput!I30)</f>
        <v>0</v>
      </c>
      <c r="I93" s="34">
        <f>IF(inputoutput!J30=0, 0, J18/inputoutput!J30)</f>
        <v>0</v>
      </c>
      <c r="J93" s="34">
        <f>IF(inputoutput!K30=0, 0, K18/inputoutput!K30)</f>
        <v>0</v>
      </c>
      <c r="K93" s="34">
        <f>IF(inputoutput!L30=0, 0, L18/inputoutput!L30)</f>
        <v>0</v>
      </c>
      <c r="L93" s="34">
        <f>IF(inputoutput!M30=0, 0, M18/inputoutput!M30)</f>
        <v>0</v>
      </c>
      <c r="M93" s="34">
        <f>IF(inputoutput!N30=0, 0, N18/inputoutput!N30)</f>
        <v>0</v>
      </c>
      <c r="N93" s="34">
        <f>IF(inputoutput!O30=0, 0, O18/inputoutput!O30)</f>
        <v>0</v>
      </c>
      <c r="O93" s="34">
        <f>IF(inputoutput!P30=0, 0, P18/inputoutput!P30)</f>
        <v>0</v>
      </c>
      <c r="P93" s="34">
        <f>IF(inputoutput!Q30=0, 0, Q18/inputoutput!Q30)</f>
        <v>0</v>
      </c>
      <c r="Q93" s="34">
        <f>IF(inputoutput!R30=0, 0, R18/inputoutput!R30)</f>
        <v>0</v>
      </c>
      <c r="R93" s="34">
        <f>IF(inputoutput!S30=0, 0, S18/inputoutput!S30)</f>
        <v>0</v>
      </c>
      <c r="S93" s="34">
        <f>IF(inputoutput!T30=0, 0, T18/inputoutput!T30)</f>
        <v>0</v>
      </c>
      <c r="T93" s="34">
        <f>IF(inputoutput!U30=0, 0, U18/inputoutput!U30)</f>
        <v>0</v>
      </c>
      <c r="U93" s="34">
        <f>IF(inputoutput!V30=0, 0, V18/inputoutput!V30)</f>
        <v>0</v>
      </c>
      <c r="V93" s="34">
        <f>IF(inputoutput!W30=0, 0, W18/inputoutput!W30)</f>
        <v>0</v>
      </c>
      <c r="W93" s="34" t="e">
        <f>IF(inputoutput!#REF!=0, 0, X18/inputoutput!#REF!)</f>
        <v>#REF!</v>
      </c>
      <c r="X93" s="34" t="e">
        <f>IF(inputoutput!#REF!=0, 0, Y18/inputoutput!#REF!)</f>
        <v>#REF!</v>
      </c>
      <c r="Y93" s="34" t="e">
        <f>IF(inputoutput!#REF!=0, 0, Z18/inputoutput!#REF!)</f>
        <v>#REF!</v>
      </c>
      <c r="Z93" s="34" t="e">
        <f>IF(inputoutput!#REF!=0, 0, AA18/inputoutput!#REF!)</f>
        <v>#REF!</v>
      </c>
      <c r="AA93" s="34" t="e">
        <f>IF(inputoutput!#REF!=0, 0, AB18/inputoutput!#REF!)</f>
        <v>#REF!</v>
      </c>
      <c r="AB93" s="34" t="e">
        <f>IF(inputoutput!#REF!=0, 0, AC18/inputoutput!#REF!)</f>
        <v>#REF!</v>
      </c>
      <c r="AC93" s="34" t="e">
        <f>IF(inputoutput!#REF!=0, 0, AD18/inputoutput!#REF!)</f>
        <v>#REF!</v>
      </c>
      <c r="AD93" s="34" t="e">
        <f>IF(inputoutput!#REF!=0, 0, AE18/inputoutput!#REF!)</f>
        <v>#REF!</v>
      </c>
      <c r="AE93" s="34" t="e">
        <f>IF(inputoutput!#REF!=0, 0, AF18/inputoutput!#REF!)</f>
        <v>#REF!</v>
      </c>
      <c r="AF93" s="34" t="e">
        <f>IF(inputoutput!#REF!=0, 0, AG18/inputoutput!#REF!)</f>
        <v>#REF!</v>
      </c>
    </row>
    <row r="94" spans="1:32" ht="15.75" customHeight="1">
      <c r="A94" s="1" t="s">
        <v>67</v>
      </c>
      <c r="B94" s="34" t="e">
        <f>IF(inputoutput!C31=0, 0, C19/inputoutput!C31)</f>
        <v>#VALUE!</v>
      </c>
      <c r="C94" s="34">
        <f>IF(inputoutput!D31=0, 0, D19/inputoutput!D31)</f>
        <v>0.51990960536503195</v>
      </c>
      <c r="D94" s="34">
        <f>IF(inputoutput!E31=0, 0, E19/inputoutput!E31)</f>
        <v>2.0151836686678304</v>
      </c>
      <c r="E94" s="34">
        <f>IF(inputoutput!F31=0, 0, F19/inputoutput!F31)</f>
        <v>0.56420167843177449</v>
      </c>
      <c r="F94" s="34">
        <f>IF(inputoutput!G31=0, 0, G19/inputoutput!G31)</f>
        <v>0</v>
      </c>
      <c r="G94" s="34">
        <f>IF(inputoutput!H31=0, 0, H19/inputoutput!H31)</f>
        <v>0</v>
      </c>
      <c r="H94" s="34">
        <f>IF(inputoutput!I31=0, 0, I19/inputoutput!I31)</f>
        <v>0</v>
      </c>
      <c r="I94" s="34">
        <f>IF(inputoutput!J31=0, 0, J19/inputoutput!J31)</f>
        <v>0</v>
      </c>
      <c r="J94" s="34">
        <f>IF(inputoutput!K31=0, 0, K19/inputoutput!K31)</f>
        <v>0</v>
      </c>
      <c r="K94" s="34">
        <f>IF(inputoutput!L31=0, 0, L19/inputoutput!L31)</f>
        <v>0</v>
      </c>
      <c r="L94" s="34">
        <f>IF(inputoutput!M31=0, 0, M19/inputoutput!M31)</f>
        <v>0</v>
      </c>
      <c r="M94" s="34">
        <f>IF(inputoutput!N31=0, 0, N19/inputoutput!N31)</f>
        <v>0</v>
      </c>
      <c r="N94" s="34">
        <f>IF(inputoutput!O31=0, 0, O19/inputoutput!O31)</f>
        <v>0</v>
      </c>
      <c r="O94" s="34">
        <f>IF(inputoutput!P31=0, 0, P19/inputoutput!P31)</f>
        <v>0</v>
      </c>
      <c r="P94" s="34">
        <f>IF(inputoutput!Q31=0, 0, Q19/inputoutput!Q31)</f>
        <v>0</v>
      </c>
      <c r="Q94" s="34">
        <f>IF(inputoutput!R31=0, 0, R19/inputoutput!R31)</f>
        <v>0</v>
      </c>
      <c r="R94" s="34">
        <f>IF(inputoutput!S31=0, 0, S19/inputoutput!S31)</f>
        <v>0</v>
      </c>
      <c r="S94" s="34">
        <f>IF(inputoutput!T31=0, 0, T19/inputoutput!T31)</f>
        <v>0</v>
      </c>
      <c r="T94" s="34">
        <f>IF(inputoutput!U31=0, 0, U19/inputoutput!U31)</f>
        <v>0</v>
      </c>
      <c r="U94" s="34">
        <f>IF(inputoutput!V31=0, 0, V19/inputoutput!V31)</f>
        <v>0</v>
      </c>
      <c r="V94" s="34">
        <f>IF(inputoutput!W31=0, 0, W19/inputoutput!W31)</f>
        <v>0</v>
      </c>
      <c r="W94" s="34" t="e">
        <f>IF(inputoutput!#REF!=0, 0, X19/inputoutput!#REF!)</f>
        <v>#REF!</v>
      </c>
      <c r="X94" s="34" t="e">
        <f>IF(inputoutput!#REF!=0, 0, Y19/inputoutput!#REF!)</f>
        <v>#REF!</v>
      </c>
      <c r="Y94" s="34" t="e">
        <f>IF(inputoutput!#REF!=0, 0, Z19/inputoutput!#REF!)</f>
        <v>#REF!</v>
      </c>
      <c r="Z94" s="34" t="e">
        <f>IF(inputoutput!#REF!=0, 0, AA19/inputoutput!#REF!)</f>
        <v>#REF!</v>
      </c>
      <c r="AA94" s="34" t="e">
        <f>IF(inputoutput!#REF!=0, 0, AB19/inputoutput!#REF!)</f>
        <v>#REF!</v>
      </c>
      <c r="AB94" s="34" t="e">
        <f>IF(inputoutput!#REF!=0, 0, AC19/inputoutput!#REF!)</f>
        <v>#REF!</v>
      </c>
      <c r="AC94" s="34" t="e">
        <f>IF(inputoutput!#REF!=0, 0, AD19/inputoutput!#REF!)</f>
        <v>#REF!</v>
      </c>
      <c r="AD94" s="34" t="e">
        <f>IF(inputoutput!#REF!=0, 0, AE19/inputoutput!#REF!)</f>
        <v>#REF!</v>
      </c>
      <c r="AE94" s="34" t="e">
        <f>IF(inputoutput!#REF!=0, 0, AF19/inputoutput!#REF!)</f>
        <v>#REF!</v>
      </c>
      <c r="AF94" s="34" t="e">
        <f>IF(inputoutput!#REF!=0, 0, AG19/inputoutput!#REF!)</f>
        <v>#REF!</v>
      </c>
    </row>
    <row r="95" spans="1:32" ht="15.75" customHeight="1">
      <c r="A95" s="1" t="s">
        <v>69</v>
      </c>
      <c r="B95" s="34" t="e">
        <f>IF(inputoutput!C32=0, 0, C20/inputoutput!C32)</f>
        <v>#VALUE!</v>
      </c>
      <c r="C95" s="34">
        <f>IF(inputoutput!D32=0, 0, D20/inputoutput!D32)</f>
        <v>1.0498771193130935E-2</v>
      </c>
      <c r="D95" s="34">
        <f>IF(inputoutput!E32=0, 0, E20/inputoutput!E32)</f>
        <v>7.7294016691537319E-3</v>
      </c>
      <c r="E95" s="34">
        <f>IF(inputoutput!F32=0, 0, F20/inputoutput!F32)</f>
        <v>2.0559075512061298E-3</v>
      </c>
      <c r="F95" s="34">
        <f>IF(inputoutput!G32=0, 0, G20/inputoutput!G32)</f>
        <v>0</v>
      </c>
      <c r="G95" s="34">
        <f>IF(inputoutput!H32=0, 0, H20/inputoutput!H32)</f>
        <v>0</v>
      </c>
      <c r="H95" s="34">
        <f>IF(inputoutput!I32=0, 0, I20/inputoutput!I32)</f>
        <v>0</v>
      </c>
      <c r="I95" s="34">
        <f>IF(inputoutput!J32=0, 0, J20/inputoutput!J32)</f>
        <v>0</v>
      </c>
      <c r="J95" s="34">
        <f>IF(inputoutput!K32=0, 0, K20/inputoutput!K32)</f>
        <v>0</v>
      </c>
      <c r="K95" s="34">
        <f>IF(inputoutput!L32=0, 0, L20/inputoutput!L32)</f>
        <v>0</v>
      </c>
      <c r="L95" s="34">
        <f>IF(inputoutput!M32=0, 0, M20/inputoutput!M32)</f>
        <v>0</v>
      </c>
      <c r="M95" s="34">
        <f>IF(inputoutput!N32=0, 0, N20/inputoutput!N32)</f>
        <v>0</v>
      </c>
      <c r="N95" s="34">
        <f>IF(inputoutput!O32=0, 0, O20/inputoutput!O32)</f>
        <v>0</v>
      </c>
      <c r="O95" s="34">
        <f>IF(inputoutput!P32=0, 0, P20/inputoutput!P32)</f>
        <v>0</v>
      </c>
      <c r="P95" s="34">
        <f>IF(inputoutput!Q32=0, 0, Q20/inputoutput!Q32)</f>
        <v>0</v>
      </c>
      <c r="Q95" s="34">
        <f>IF(inputoutput!R32=0, 0, R20/inputoutput!R32)</f>
        <v>0</v>
      </c>
      <c r="R95" s="34">
        <f>IF(inputoutput!S32=0, 0, S20/inputoutput!S32)</f>
        <v>0</v>
      </c>
      <c r="S95" s="34">
        <f>IF(inputoutput!T32=0, 0, T20/inputoutput!T32)</f>
        <v>0</v>
      </c>
      <c r="T95" s="34">
        <f>IF(inputoutput!U32=0, 0, U20/inputoutput!U32)</f>
        <v>0</v>
      </c>
      <c r="U95" s="34">
        <f>IF(inputoutput!V32=0, 0, V20/inputoutput!V32)</f>
        <v>0</v>
      </c>
      <c r="V95" s="34">
        <f>IF(inputoutput!W32=0, 0, W20/inputoutput!W32)</f>
        <v>0</v>
      </c>
      <c r="W95" s="34" t="e">
        <f>IF(inputoutput!#REF!=0, 0, X20/inputoutput!#REF!)</f>
        <v>#REF!</v>
      </c>
      <c r="X95" s="34" t="e">
        <f>IF(inputoutput!#REF!=0, 0, Y20/inputoutput!#REF!)</f>
        <v>#REF!</v>
      </c>
      <c r="Y95" s="34" t="e">
        <f>IF(inputoutput!#REF!=0, 0, Z20/inputoutput!#REF!)</f>
        <v>#REF!</v>
      </c>
      <c r="Z95" s="34" t="e">
        <f>IF(inputoutput!#REF!=0, 0, AA20/inputoutput!#REF!)</f>
        <v>#REF!</v>
      </c>
      <c r="AA95" s="34" t="e">
        <f>IF(inputoutput!#REF!=0, 0, AB20/inputoutput!#REF!)</f>
        <v>#REF!</v>
      </c>
      <c r="AB95" s="34" t="e">
        <f>IF(inputoutput!#REF!=0, 0, AC20/inputoutput!#REF!)</f>
        <v>#REF!</v>
      </c>
      <c r="AC95" s="34" t="e">
        <f>IF(inputoutput!#REF!=0, 0, AD20/inputoutput!#REF!)</f>
        <v>#REF!</v>
      </c>
      <c r="AD95" s="34" t="e">
        <f>IF(inputoutput!#REF!=0, 0, AE20/inputoutput!#REF!)</f>
        <v>#REF!</v>
      </c>
      <c r="AE95" s="34" t="e">
        <f>IF(inputoutput!#REF!=0, 0, AF20/inputoutput!#REF!)</f>
        <v>#REF!</v>
      </c>
      <c r="AF95" s="34" t="e">
        <f>IF(inputoutput!#REF!=0, 0, AG20/inputoutput!#REF!)</f>
        <v>#REF!</v>
      </c>
    </row>
    <row r="96" spans="1:32" ht="15.75" customHeight="1">
      <c r="A96" s="1" t="s">
        <v>71</v>
      </c>
      <c r="B96" s="34" t="e">
        <f>IF(inputoutput!C33=0, 0, C21/inputoutput!C33)</f>
        <v>#VALUE!</v>
      </c>
      <c r="C96" s="34">
        <f>IF(inputoutput!D33=0, 0, D21/inputoutput!D33)</f>
        <v>8.2916755975454993E-3</v>
      </c>
      <c r="D96" s="34">
        <f>IF(inputoutput!E33=0, 0, E21/inputoutput!E33)</f>
        <v>4.5403462672466283E-3</v>
      </c>
      <c r="E96" s="34">
        <f>IF(inputoutput!F33=0, 0, F21/inputoutput!F33)</f>
        <v>1.7196571556984407E-2</v>
      </c>
      <c r="F96" s="34">
        <f>IF(inputoutput!G33=0, 0, G21/inputoutput!G33)</f>
        <v>0</v>
      </c>
      <c r="G96" s="34">
        <f>IF(inputoutput!H33=0, 0, H21/inputoutput!H33)</f>
        <v>0</v>
      </c>
      <c r="H96" s="34">
        <f>IF(inputoutput!I33=0, 0, I21/inputoutput!I33)</f>
        <v>0</v>
      </c>
      <c r="I96" s="34">
        <f>IF(inputoutput!J33=0, 0, J21/inputoutput!J33)</f>
        <v>0</v>
      </c>
      <c r="J96" s="34">
        <f>IF(inputoutput!K33=0, 0, K21/inputoutput!K33)</f>
        <v>0</v>
      </c>
      <c r="K96" s="34">
        <f>IF(inputoutput!L33=0, 0, L21/inputoutput!L33)</f>
        <v>0</v>
      </c>
      <c r="L96" s="34">
        <f>IF(inputoutput!M33=0, 0, M21/inputoutput!M33)</f>
        <v>0</v>
      </c>
      <c r="M96" s="34">
        <f>IF(inputoutput!N33=0, 0, N21/inputoutput!N33)</f>
        <v>0</v>
      </c>
      <c r="N96" s="34">
        <f>IF(inputoutput!O33=0, 0, O21/inputoutput!O33)</f>
        <v>0</v>
      </c>
      <c r="O96" s="34">
        <f>IF(inputoutput!P33=0, 0, P21/inputoutput!P33)</f>
        <v>0</v>
      </c>
      <c r="P96" s="34">
        <f>IF(inputoutput!Q33=0, 0, Q21/inputoutput!Q33)</f>
        <v>0</v>
      </c>
      <c r="Q96" s="34">
        <f>IF(inputoutput!R33=0, 0, R21/inputoutput!R33)</f>
        <v>0</v>
      </c>
      <c r="R96" s="34">
        <f>IF(inputoutput!S33=0, 0, S21/inputoutput!S33)</f>
        <v>0</v>
      </c>
      <c r="S96" s="34">
        <f>IF(inputoutput!T33=0, 0, T21/inputoutput!T33)</f>
        <v>0</v>
      </c>
      <c r="T96" s="34">
        <f>IF(inputoutput!U33=0, 0, U21/inputoutput!U33)</f>
        <v>0</v>
      </c>
      <c r="U96" s="34">
        <f>IF(inputoutput!V33=0, 0, V21/inputoutput!V33)</f>
        <v>0</v>
      </c>
      <c r="V96" s="34">
        <f>IF(inputoutput!W33=0, 0, W21/inputoutput!W33)</f>
        <v>0</v>
      </c>
      <c r="W96" s="34" t="e">
        <f>IF(inputoutput!#REF!=0, 0, X21/inputoutput!#REF!)</f>
        <v>#REF!</v>
      </c>
      <c r="X96" s="34" t="e">
        <f>IF(inputoutput!#REF!=0, 0, Y21/inputoutput!#REF!)</f>
        <v>#REF!</v>
      </c>
      <c r="Y96" s="34" t="e">
        <f>IF(inputoutput!#REF!=0, 0, Z21/inputoutput!#REF!)</f>
        <v>#REF!</v>
      </c>
      <c r="Z96" s="34" t="e">
        <f>IF(inputoutput!#REF!=0, 0, AA21/inputoutput!#REF!)</f>
        <v>#REF!</v>
      </c>
      <c r="AA96" s="34" t="e">
        <f>IF(inputoutput!#REF!=0, 0, AB21/inputoutput!#REF!)</f>
        <v>#REF!</v>
      </c>
      <c r="AB96" s="34" t="e">
        <f>IF(inputoutput!#REF!=0, 0, AC21/inputoutput!#REF!)</f>
        <v>#REF!</v>
      </c>
      <c r="AC96" s="34" t="e">
        <f>IF(inputoutput!#REF!=0, 0, AD21/inputoutput!#REF!)</f>
        <v>#REF!</v>
      </c>
      <c r="AD96" s="34" t="e">
        <f>IF(inputoutput!#REF!=0, 0, AE21/inputoutput!#REF!)</f>
        <v>#REF!</v>
      </c>
      <c r="AE96" s="34" t="e">
        <f>IF(inputoutput!#REF!=0, 0, AF21/inputoutput!#REF!)</f>
        <v>#REF!</v>
      </c>
      <c r="AF96" s="34" t="e">
        <f>IF(inputoutput!#REF!=0, 0, AG21/inputoutput!#REF!)</f>
        <v>#REF!</v>
      </c>
    </row>
    <row r="97" spans="1:34" ht="15.75" customHeight="1">
      <c r="A97" s="1" t="s">
        <v>73</v>
      </c>
      <c r="B97" s="34" t="e">
        <f>IF(inputoutput!C34=0, 0, C22/inputoutput!C34)</f>
        <v>#VALUE!</v>
      </c>
      <c r="C97" s="34">
        <f>IF(inputoutput!D34=0, 0, D22/inputoutput!D34)</f>
        <v>1.6782517806871421E-4</v>
      </c>
      <c r="D97" s="34">
        <f>IF(inputoutput!E34=0, 0, E22/inputoutput!E34)</f>
        <v>8.7069198387587217E-5</v>
      </c>
      <c r="E97" s="34">
        <f>IF(inputoutput!F34=0, 0, F22/inputoutput!F34)</f>
        <v>6.5237655805666336E-4</v>
      </c>
      <c r="F97" s="34">
        <f>IF(inputoutput!G34=0, 0, G22/inputoutput!G34)</f>
        <v>0</v>
      </c>
      <c r="G97" s="34">
        <f>IF(inputoutput!H34=0, 0, H22/inputoutput!H34)</f>
        <v>0</v>
      </c>
      <c r="H97" s="34">
        <f>IF(inputoutput!I34=0, 0, I22/inputoutput!I34)</f>
        <v>0</v>
      </c>
      <c r="I97" s="34">
        <f>IF(inputoutput!J34=0, 0, J22/inputoutput!J34)</f>
        <v>0</v>
      </c>
      <c r="J97" s="34">
        <f>IF(inputoutput!K34=0, 0, K22/inputoutput!K34)</f>
        <v>0</v>
      </c>
      <c r="K97" s="34">
        <f>IF(inputoutput!L34=0, 0, L22/inputoutput!L34)</f>
        <v>0</v>
      </c>
      <c r="L97" s="34">
        <f>IF(inputoutput!M34=0, 0, M22/inputoutput!M34)</f>
        <v>0</v>
      </c>
      <c r="M97" s="34">
        <f>IF(inputoutput!N34=0, 0, N22/inputoutput!N34)</f>
        <v>0</v>
      </c>
      <c r="N97" s="34">
        <f>IF(inputoutput!O34=0, 0, O22/inputoutput!O34)</f>
        <v>0</v>
      </c>
      <c r="O97" s="34">
        <f>IF(inputoutput!P34=0, 0, P22/inputoutput!P34)</f>
        <v>0</v>
      </c>
      <c r="P97" s="34">
        <f>IF(inputoutput!Q34=0, 0, Q22/inputoutput!Q34)</f>
        <v>0</v>
      </c>
      <c r="Q97" s="34">
        <f>IF(inputoutput!R34=0, 0, R22/inputoutput!R34)</f>
        <v>0</v>
      </c>
      <c r="R97" s="34">
        <f>IF(inputoutput!S34=0, 0, S22/inputoutput!S34)</f>
        <v>0</v>
      </c>
      <c r="S97" s="34">
        <f>IF(inputoutput!T34=0, 0, T22/inputoutput!T34)</f>
        <v>0</v>
      </c>
      <c r="T97" s="34">
        <f>IF(inputoutput!U34=0, 0, U22/inputoutput!U34)</f>
        <v>0</v>
      </c>
      <c r="U97" s="34">
        <f>IF(inputoutput!V34=0, 0, V22/inputoutput!V34)</f>
        <v>0</v>
      </c>
      <c r="V97" s="34">
        <f>IF(inputoutput!W34=0, 0, W22/inputoutput!W34)</f>
        <v>0</v>
      </c>
      <c r="W97" s="34" t="e">
        <f>IF(inputoutput!#REF!=0, 0, X22/inputoutput!#REF!)</f>
        <v>#REF!</v>
      </c>
      <c r="X97" s="34" t="e">
        <f>IF(inputoutput!#REF!=0, 0, Y22/inputoutput!#REF!)</f>
        <v>#REF!</v>
      </c>
      <c r="Y97" s="34" t="e">
        <f>IF(inputoutput!#REF!=0, 0, Z22/inputoutput!#REF!)</f>
        <v>#REF!</v>
      </c>
      <c r="Z97" s="34" t="e">
        <f>IF(inputoutput!#REF!=0, 0, AA22/inputoutput!#REF!)</f>
        <v>#REF!</v>
      </c>
      <c r="AA97" s="34" t="e">
        <f>IF(inputoutput!#REF!=0, 0, AB22/inputoutput!#REF!)</f>
        <v>#REF!</v>
      </c>
      <c r="AB97" s="34" t="e">
        <f>IF(inputoutput!#REF!=0, 0, AC22/inputoutput!#REF!)</f>
        <v>#REF!</v>
      </c>
      <c r="AC97" s="34" t="e">
        <f>IF(inputoutput!#REF!=0, 0, AD22/inputoutput!#REF!)</f>
        <v>#REF!</v>
      </c>
      <c r="AD97" s="34" t="e">
        <f>IF(inputoutput!#REF!=0, 0, AE22/inputoutput!#REF!)</f>
        <v>#REF!</v>
      </c>
      <c r="AE97" s="34" t="e">
        <f>IF(inputoutput!#REF!=0, 0, AF22/inputoutput!#REF!)</f>
        <v>#REF!</v>
      </c>
      <c r="AF97" s="34" t="e">
        <f>IF(inputoutput!#REF!=0, 0, AG22/inputoutput!#REF!)</f>
        <v>#REF!</v>
      </c>
    </row>
    <row r="98" spans="1:34" ht="15.75" customHeight="1">
      <c r="A98" s="1" t="s">
        <v>75</v>
      </c>
      <c r="B98" s="34" t="e">
        <f>IF(inputoutput!C35=0, 0, C23/inputoutput!C35)</f>
        <v>#VALUE!</v>
      </c>
      <c r="C98" s="34">
        <f>IF(inputoutput!D35=0, 0, D23/inputoutput!D35)</f>
        <v>0</v>
      </c>
      <c r="D98" s="34">
        <f>IF(inputoutput!E35=0, 0, E23/inputoutput!E35)</f>
        <v>0</v>
      </c>
      <c r="E98" s="34">
        <f>IF(inputoutput!F35=0, 0, F23/inputoutput!F35)</f>
        <v>0</v>
      </c>
      <c r="F98" s="34">
        <f>IF(inputoutput!G35=0, 0, G23/inputoutput!G35)</f>
        <v>0</v>
      </c>
      <c r="G98" s="34">
        <f>IF(inputoutput!H35=0, 0, H23/inputoutput!H35)</f>
        <v>0</v>
      </c>
      <c r="H98" s="34">
        <f>IF(inputoutput!I35=0, 0, I23/inputoutput!I35)</f>
        <v>0</v>
      </c>
      <c r="I98" s="34">
        <f>IF(inputoutput!J35=0, 0, J23/inputoutput!J35)</f>
        <v>0</v>
      </c>
      <c r="J98" s="34">
        <f>IF(inputoutput!K35=0, 0, K23/inputoutput!K35)</f>
        <v>0</v>
      </c>
      <c r="K98" s="34">
        <f>IF(inputoutput!L35=0, 0, L23/inputoutput!L35)</f>
        <v>0</v>
      </c>
      <c r="L98" s="34">
        <f>IF(inputoutput!M35=0, 0, M23/inputoutput!M35)</f>
        <v>0</v>
      </c>
      <c r="M98" s="34">
        <f>IF(inputoutput!N35=0, 0, N23/inputoutput!N35)</f>
        <v>0</v>
      </c>
      <c r="N98" s="34">
        <f>IF(inputoutput!O35=0, 0, O23/inputoutput!O35)</f>
        <v>0</v>
      </c>
      <c r="O98" s="34">
        <f>IF(inputoutput!P35=0, 0, P23/inputoutput!P35)</f>
        <v>0</v>
      </c>
      <c r="P98" s="34">
        <f>IF(inputoutput!Q35=0, 0, Q23/inputoutput!Q35)</f>
        <v>0</v>
      </c>
      <c r="Q98" s="34">
        <f>IF(inputoutput!R35=0, 0, R23/inputoutput!R35)</f>
        <v>0</v>
      </c>
      <c r="R98" s="34">
        <f>IF(inputoutput!S35=0, 0, S23/inputoutput!S35)</f>
        <v>0</v>
      </c>
      <c r="S98" s="34">
        <f>IF(inputoutput!T35=0, 0, T23/inputoutput!T35)</f>
        <v>0</v>
      </c>
      <c r="T98" s="34">
        <f>IF(inputoutput!U35=0, 0, U23/inputoutput!U35)</f>
        <v>0</v>
      </c>
      <c r="U98" s="34">
        <f>IF(inputoutput!V35=0, 0, V23/inputoutput!V35)</f>
        <v>0</v>
      </c>
      <c r="V98" s="34">
        <f>IF(inputoutput!W35=0, 0, W23/inputoutput!W35)</f>
        <v>0</v>
      </c>
      <c r="W98" s="34" t="e">
        <f>IF(inputoutput!#REF!=0, 0, X23/inputoutput!#REF!)</f>
        <v>#REF!</v>
      </c>
      <c r="X98" s="34" t="e">
        <f>IF(inputoutput!#REF!=0, 0, Y23/inputoutput!#REF!)</f>
        <v>#REF!</v>
      </c>
      <c r="Y98" s="34" t="e">
        <f>IF(inputoutput!#REF!=0, 0, Z23/inputoutput!#REF!)</f>
        <v>#REF!</v>
      </c>
      <c r="Z98" s="34" t="e">
        <f>IF(inputoutput!#REF!=0, 0, AA23/inputoutput!#REF!)</f>
        <v>#REF!</v>
      </c>
      <c r="AA98" s="34" t="e">
        <f>IF(inputoutput!#REF!=0, 0, AB23/inputoutput!#REF!)</f>
        <v>#REF!</v>
      </c>
      <c r="AB98" s="34" t="e">
        <f>IF(inputoutput!#REF!=0, 0, AC23/inputoutput!#REF!)</f>
        <v>#REF!</v>
      </c>
      <c r="AC98" s="34" t="e">
        <f>IF(inputoutput!#REF!=0, 0, AD23/inputoutput!#REF!)</f>
        <v>#REF!</v>
      </c>
      <c r="AD98" s="34" t="e">
        <f>IF(inputoutput!#REF!=0, 0, AE23/inputoutput!#REF!)</f>
        <v>#REF!</v>
      </c>
      <c r="AE98" s="34" t="e">
        <f>IF(inputoutput!#REF!=0, 0, AF23/inputoutput!#REF!)</f>
        <v>#REF!</v>
      </c>
      <c r="AF98" s="34" t="e">
        <f>IF(inputoutput!#REF!=0, 0, AG23/inputoutput!#REF!)</f>
        <v>#REF!</v>
      </c>
    </row>
    <row r="99" spans="1:34" ht="15.75" customHeight="1">
      <c r="A99" s="1" t="s">
        <v>77</v>
      </c>
      <c r="B99" s="34" t="e">
        <f>IF(inputoutput!C36=0, 0, C24/inputoutput!C36)</f>
        <v>#VALUE!</v>
      </c>
      <c r="C99" s="34">
        <f>IF(inputoutput!D36=0, 0, D24/inputoutput!D36)</f>
        <v>5.8996627451003208E-3</v>
      </c>
      <c r="D99" s="34">
        <f>IF(inputoutput!E36=0, 0, E24/inputoutput!E36)</f>
        <v>2.7941034032107882E-2</v>
      </c>
      <c r="E99" s="34">
        <f>IF(inputoutput!F36=0, 0, F24/inputoutput!F36)</f>
        <v>8.6870008054622225</v>
      </c>
      <c r="F99" s="34">
        <f>IF(inputoutput!G36=0, 0, G24/inputoutput!G36)</f>
        <v>0</v>
      </c>
      <c r="G99" s="34">
        <f>IF(inputoutput!H36=0, 0, H24/inputoutput!H36)</f>
        <v>0</v>
      </c>
      <c r="H99" s="34">
        <f>IF(inputoutput!I36=0, 0, I24/inputoutput!I36)</f>
        <v>0</v>
      </c>
      <c r="I99" s="34">
        <f>IF(inputoutput!J36=0, 0, J24/inputoutput!J36)</f>
        <v>0</v>
      </c>
      <c r="J99" s="34">
        <f>IF(inputoutput!K36=0, 0, K24/inputoutput!K36)</f>
        <v>0</v>
      </c>
      <c r="K99" s="34">
        <f>IF(inputoutput!L36=0, 0, L24/inputoutput!L36)</f>
        <v>0</v>
      </c>
      <c r="L99" s="34">
        <f>IF(inputoutput!M36=0, 0, M24/inputoutput!M36)</f>
        <v>0</v>
      </c>
      <c r="M99" s="34">
        <f>IF(inputoutput!N36=0, 0, N24/inputoutput!N36)</f>
        <v>0</v>
      </c>
      <c r="N99" s="34">
        <f>IF(inputoutput!O36=0, 0, O24/inputoutput!O36)</f>
        <v>0</v>
      </c>
      <c r="O99" s="34">
        <f>IF(inputoutput!P36=0, 0, P24/inputoutput!P36)</f>
        <v>0</v>
      </c>
      <c r="P99" s="34">
        <f>IF(inputoutput!Q36=0, 0, Q24/inputoutput!Q36)</f>
        <v>0</v>
      </c>
      <c r="Q99" s="34">
        <f>IF(inputoutput!R36=0, 0, R24/inputoutput!R36)</f>
        <v>0</v>
      </c>
      <c r="R99" s="34">
        <f>IF(inputoutput!S36=0, 0, S24/inputoutput!S36)</f>
        <v>0</v>
      </c>
      <c r="S99" s="34">
        <f>IF(inputoutput!T36=0, 0, T24/inputoutput!T36)</f>
        <v>0</v>
      </c>
      <c r="T99" s="34">
        <f>IF(inputoutput!U36=0, 0, U24/inputoutput!U36)</f>
        <v>0</v>
      </c>
      <c r="U99" s="34">
        <f>IF(inputoutput!V36=0, 0, V24/inputoutput!V36)</f>
        <v>0</v>
      </c>
      <c r="V99" s="34">
        <f>IF(inputoutput!W36=0, 0, W24/inputoutput!W36)</f>
        <v>0</v>
      </c>
      <c r="W99" s="34" t="e">
        <f>IF(inputoutput!#REF!=0, 0, X24/inputoutput!#REF!)</f>
        <v>#REF!</v>
      </c>
      <c r="X99" s="34" t="e">
        <f>IF(inputoutput!#REF!=0, 0, Y24/inputoutput!#REF!)</f>
        <v>#REF!</v>
      </c>
      <c r="Y99" s="34" t="e">
        <f>IF(inputoutput!#REF!=0, 0, Z24/inputoutput!#REF!)</f>
        <v>#REF!</v>
      </c>
      <c r="Z99" s="34" t="e">
        <f>IF(inputoutput!#REF!=0, 0, AA24/inputoutput!#REF!)</f>
        <v>#REF!</v>
      </c>
      <c r="AA99" s="34" t="e">
        <f>IF(inputoutput!#REF!=0, 0, AB24/inputoutput!#REF!)</f>
        <v>#REF!</v>
      </c>
      <c r="AB99" s="34" t="e">
        <f>IF(inputoutput!#REF!=0, 0, AC24/inputoutput!#REF!)</f>
        <v>#REF!</v>
      </c>
      <c r="AC99" s="34" t="e">
        <f>IF(inputoutput!#REF!=0, 0, AD24/inputoutput!#REF!)</f>
        <v>#REF!</v>
      </c>
      <c r="AD99" s="34" t="e">
        <f>IF(inputoutput!#REF!=0, 0, AE24/inputoutput!#REF!)</f>
        <v>#REF!</v>
      </c>
      <c r="AE99" s="34" t="e">
        <f>IF(inputoutput!#REF!=0, 0, AF24/inputoutput!#REF!)</f>
        <v>#REF!</v>
      </c>
      <c r="AF99" s="34" t="e">
        <f>IF(inputoutput!#REF!=0, 0, AG24/inputoutput!#REF!)</f>
        <v>#REF!</v>
      </c>
    </row>
    <row r="100" spans="1:34" ht="15.75" customHeight="1">
      <c r="A100" s="1" t="s">
        <v>79</v>
      </c>
      <c r="B100" s="34" t="e">
        <f>IF(inputoutput!C37=0, 0, C25/inputoutput!C37)</f>
        <v>#VALUE!</v>
      </c>
      <c r="C100" s="34">
        <f>IF(inputoutput!D37=0, 0, D25/inputoutput!D37)</f>
        <v>0</v>
      </c>
      <c r="D100" s="34">
        <f>IF(inputoutput!E37=0, 0, E25/inputoutput!E37)</f>
        <v>0</v>
      </c>
      <c r="E100" s="34">
        <f>IF(inputoutput!F37=0, 0, F25/inputoutput!F37)</f>
        <v>0</v>
      </c>
      <c r="F100" s="34">
        <f>IF(inputoutput!G37=0, 0, G25/inputoutput!G37)</f>
        <v>0</v>
      </c>
      <c r="G100" s="34">
        <f>IF(inputoutput!H37=0, 0, H25/inputoutput!H37)</f>
        <v>0</v>
      </c>
      <c r="H100" s="34">
        <f>IF(inputoutput!I37=0, 0, I25/inputoutput!I37)</f>
        <v>0</v>
      </c>
      <c r="I100" s="34">
        <f>IF(inputoutput!J37=0, 0, J25/inputoutput!J37)</f>
        <v>0</v>
      </c>
      <c r="J100" s="34">
        <f>IF(inputoutput!K37=0, 0, K25/inputoutput!K37)</f>
        <v>0</v>
      </c>
      <c r="K100" s="34">
        <f>IF(inputoutput!L37=0, 0, L25/inputoutput!L37)</f>
        <v>0</v>
      </c>
      <c r="L100" s="34">
        <f>IF(inputoutput!M37=0, 0, M25/inputoutput!M37)</f>
        <v>0</v>
      </c>
      <c r="M100" s="34">
        <f>IF(inputoutput!N37=0, 0, N25/inputoutput!N37)</f>
        <v>0</v>
      </c>
      <c r="N100" s="34">
        <f>IF(inputoutput!O37=0, 0, O25/inputoutput!O37)</f>
        <v>0</v>
      </c>
      <c r="O100" s="34">
        <f>IF(inputoutput!P37=0, 0, P25/inputoutput!P37)</f>
        <v>0</v>
      </c>
      <c r="P100" s="34">
        <f>IF(inputoutput!Q37=0, 0, Q25/inputoutput!Q37)</f>
        <v>0</v>
      </c>
      <c r="Q100" s="34">
        <f>IF(inputoutput!R37=0, 0, R25/inputoutput!R37)</f>
        <v>0</v>
      </c>
      <c r="R100" s="34">
        <f>IF(inputoutput!S37=0, 0, S25/inputoutput!S37)</f>
        <v>0</v>
      </c>
      <c r="S100" s="34">
        <f>IF(inputoutput!T37=0, 0, T25/inputoutput!T37)</f>
        <v>0</v>
      </c>
      <c r="T100" s="34">
        <f>IF(inputoutput!U37=0, 0, U25/inputoutput!U37)</f>
        <v>0</v>
      </c>
      <c r="U100" s="34">
        <f>IF(inputoutput!V37=0, 0, V25/inputoutput!V37)</f>
        <v>0</v>
      </c>
      <c r="V100" s="34">
        <f>IF(inputoutput!W37=0, 0, W25/inputoutput!W37)</f>
        <v>0</v>
      </c>
      <c r="W100" s="34" t="e">
        <f>IF(inputoutput!#REF!=0, 0, X25/inputoutput!#REF!)</f>
        <v>#REF!</v>
      </c>
      <c r="X100" s="34" t="e">
        <f>IF(inputoutput!#REF!=0, 0, Y25/inputoutput!#REF!)</f>
        <v>#REF!</v>
      </c>
      <c r="Y100" s="34" t="e">
        <f>IF(inputoutput!#REF!=0, 0, Z25/inputoutput!#REF!)</f>
        <v>#REF!</v>
      </c>
      <c r="Z100" s="34" t="e">
        <f>IF(inputoutput!#REF!=0, 0, AA25/inputoutput!#REF!)</f>
        <v>#REF!</v>
      </c>
      <c r="AA100" s="34" t="e">
        <f>IF(inputoutput!#REF!=0, 0, AB25/inputoutput!#REF!)</f>
        <v>#REF!</v>
      </c>
      <c r="AB100" s="34" t="e">
        <f>IF(inputoutput!#REF!=0, 0, AC25/inputoutput!#REF!)</f>
        <v>#REF!</v>
      </c>
      <c r="AC100" s="34" t="e">
        <f>IF(inputoutput!#REF!=0, 0, AD25/inputoutput!#REF!)</f>
        <v>#REF!</v>
      </c>
      <c r="AD100" s="34" t="e">
        <f>IF(inputoutput!#REF!=0, 0, AE25/inputoutput!#REF!)</f>
        <v>#REF!</v>
      </c>
      <c r="AE100" s="34" t="e">
        <f>IF(inputoutput!#REF!=0, 0, AF25/inputoutput!#REF!)</f>
        <v>#REF!</v>
      </c>
      <c r="AF100" s="34" t="e">
        <f>IF(inputoutput!#REF!=0, 0, AG25/inputoutput!#REF!)</f>
        <v>#REF!</v>
      </c>
    </row>
    <row r="101" spans="1:34" ht="15.75" customHeight="1">
      <c r="A101" s="1" t="s">
        <v>81</v>
      </c>
      <c r="B101" s="34" t="e">
        <f>IF(inputoutput!C38=0, 0, C26/inputoutput!C38)</f>
        <v>#VALUE!</v>
      </c>
      <c r="C101" s="34">
        <f>IF(inputoutput!D38=0, 0, D26/inputoutput!D38)</f>
        <v>2.4822049812385657E-4</v>
      </c>
      <c r="D101" s="34">
        <f>IF(inputoutput!E38=0, 0, E26/inputoutput!E38)</f>
        <v>2.868821908816092E-3</v>
      </c>
      <c r="E101" s="34">
        <f>IF(inputoutput!F38=0, 0, F26/inputoutput!F38)</f>
        <v>5.0012154664639895E-2</v>
      </c>
      <c r="F101" s="34">
        <f>IF(inputoutput!G38=0, 0, G26/inputoutput!G38)</f>
        <v>0</v>
      </c>
      <c r="G101" s="34">
        <f>IF(inputoutput!H38=0, 0, H26/inputoutput!H38)</f>
        <v>0</v>
      </c>
      <c r="H101" s="34">
        <f>IF(inputoutput!I38=0, 0, I26/inputoutput!I38)</f>
        <v>0</v>
      </c>
      <c r="I101" s="34">
        <f>IF(inputoutput!J38=0, 0, J26/inputoutput!J38)</f>
        <v>0</v>
      </c>
      <c r="J101" s="34">
        <f>IF(inputoutput!K38=0, 0, K26/inputoutput!K38)</f>
        <v>0</v>
      </c>
      <c r="K101" s="34">
        <f>IF(inputoutput!L38=0, 0, L26/inputoutput!L38)</f>
        <v>0</v>
      </c>
      <c r="L101" s="34">
        <f>IF(inputoutput!M38=0, 0, M26/inputoutput!M38)</f>
        <v>0</v>
      </c>
      <c r="M101" s="34">
        <f>IF(inputoutput!N38=0, 0, N26/inputoutput!N38)</f>
        <v>0</v>
      </c>
      <c r="N101" s="34">
        <f>IF(inputoutput!O38=0, 0, O26/inputoutput!O38)</f>
        <v>0</v>
      </c>
      <c r="O101" s="34">
        <f>IF(inputoutput!P38=0, 0, P26/inputoutput!P38)</f>
        <v>0</v>
      </c>
      <c r="P101" s="34">
        <f>IF(inputoutput!Q38=0, 0, Q26/inputoutput!Q38)</f>
        <v>0</v>
      </c>
      <c r="Q101" s="34">
        <f>IF(inputoutput!R38=0, 0, R26/inputoutput!R38)</f>
        <v>0</v>
      </c>
      <c r="R101" s="34">
        <f>IF(inputoutput!S38=0, 0, S26/inputoutput!S38)</f>
        <v>0</v>
      </c>
      <c r="S101" s="34">
        <f>IF(inputoutput!T38=0, 0, T26/inputoutput!T38)</f>
        <v>0</v>
      </c>
      <c r="T101" s="34">
        <f>IF(inputoutput!U38=0, 0, U26/inputoutput!U38)</f>
        <v>0</v>
      </c>
      <c r="U101" s="34">
        <f>IF(inputoutput!V38=0, 0, V26/inputoutput!V38)</f>
        <v>0</v>
      </c>
      <c r="V101" s="34">
        <f>IF(inputoutput!W38=0, 0, W26/inputoutput!W38)</f>
        <v>0</v>
      </c>
      <c r="W101" s="34" t="e">
        <f>IF(inputoutput!#REF!=0, 0, X26/inputoutput!#REF!)</f>
        <v>#REF!</v>
      </c>
      <c r="X101" s="34" t="e">
        <f>IF(inputoutput!#REF!=0, 0, Y26/inputoutput!#REF!)</f>
        <v>#REF!</v>
      </c>
      <c r="Y101" s="34" t="e">
        <f>IF(inputoutput!#REF!=0, 0, Z26/inputoutput!#REF!)</f>
        <v>#REF!</v>
      </c>
      <c r="Z101" s="34" t="e">
        <f>IF(inputoutput!#REF!=0, 0, AA26/inputoutput!#REF!)</f>
        <v>#REF!</v>
      </c>
      <c r="AA101" s="34" t="e">
        <f>IF(inputoutput!#REF!=0, 0, AB26/inputoutput!#REF!)</f>
        <v>#REF!</v>
      </c>
      <c r="AB101" s="34" t="e">
        <f>IF(inputoutput!#REF!=0, 0, AC26/inputoutput!#REF!)</f>
        <v>#REF!</v>
      </c>
      <c r="AC101" s="34" t="e">
        <f>IF(inputoutput!#REF!=0, 0, AD26/inputoutput!#REF!)</f>
        <v>#REF!</v>
      </c>
      <c r="AD101" s="34" t="e">
        <f>IF(inputoutput!#REF!=0, 0, AE26/inputoutput!#REF!)</f>
        <v>#REF!</v>
      </c>
      <c r="AE101" s="34" t="e">
        <f>IF(inputoutput!#REF!=0, 0, AF26/inputoutput!#REF!)</f>
        <v>#REF!</v>
      </c>
      <c r="AF101" s="34" t="e">
        <f>IF(inputoutput!#REF!=0, 0, AG26/inputoutput!#REF!)</f>
        <v>#REF!</v>
      </c>
    </row>
    <row r="102" spans="1:34" ht="15.75" customHeight="1">
      <c r="A102" s="1" t="s">
        <v>83</v>
      </c>
      <c r="B102" s="34" t="e">
        <f>IF(inputoutput!C39=0, 0, C27/inputoutput!C39)</f>
        <v>#VALUE!</v>
      </c>
      <c r="C102" s="34">
        <f>IF(inputoutput!D39=0, 0, D27/inputoutput!D39)</f>
        <v>5.7893879226184085E-4</v>
      </c>
      <c r="D102" s="34">
        <f>IF(inputoutput!E39=0, 0, E27/inputoutput!E39)</f>
        <v>0</v>
      </c>
      <c r="E102" s="34">
        <f>IF(inputoutput!F39=0, 0, F27/inputoutput!F39)</f>
        <v>4.577750842555809E-2</v>
      </c>
      <c r="F102" s="34">
        <f>IF(inputoutput!G39=0, 0, G27/inputoutput!G39)</f>
        <v>0</v>
      </c>
      <c r="G102" s="34">
        <f>IF(inputoutput!H39=0, 0, H27/inputoutput!H39)</f>
        <v>0</v>
      </c>
      <c r="H102" s="34">
        <f>IF(inputoutput!I39=0, 0, I27/inputoutput!I39)</f>
        <v>0</v>
      </c>
      <c r="I102" s="34">
        <f>IF(inputoutput!J39=0, 0, J27/inputoutput!J39)</f>
        <v>0</v>
      </c>
      <c r="J102" s="34">
        <f>IF(inputoutput!K39=0, 0, K27/inputoutput!K39)</f>
        <v>0</v>
      </c>
      <c r="K102" s="34">
        <f>IF(inputoutput!L39=0, 0, L27/inputoutput!L39)</f>
        <v>0</v>
      </c>
      <c r="L102" s="34">
        <f>IF(inputoutput!M39=0, 0, M27/inputoutput!M39)</f>
        <v>0</v>
      </c>
      <c r="M102" s="34">
        <f>IF(inputoutput!N39=0, 0, N27/inputoutput!N39)</f>
        <v>0</v>
      </c>
      <c r="N102" s="34">
        <f>IF(inputoutput!O39=0, 0, O27/inputoutput!O39)</f>
        <v>0</v>
      </c>
      <c r="O102" s="34">
        <f>IF(inputoutput!P39=0, 0, P27/inputoutput!P39)</f>
        <v>0</v>
      </c>
      <c r="P102" s="34">
        <f>IF(inputoutput!Q39=0, 0, Q27/inputoutput!Q39)</f>
        <v>0</v>
      </c>
      <c r="Q102" s="34">
        <f>IF(inputoutput!R39=0, 0, R27/inputoutput!R39)</f>
        <v>0</v>
      </c>
      <c r="R102" s="34">
        <f>IF(inputoutput!S39=0, 0, S27/inputoutput!S39)</f>
        <v>0</v>
      </c>
      <c r="S102" s="34">
        <f>IF(inputoutput!T39=0, 0, T27/inputoutput!T39)</f>
        <v>0</v>
      </c>
      <c r="T102" s="34">
        <f>IF(inputoutput!U39=0, 0, U27/inputoutput!U39)</f>
        <v>0</v>
      </c>
      <c r="U102" s="34">
        <f>IF(inputoutput!V39=0, 0, V27/inputoutput!V39)</f>
        <v>0</v>
      </c>
      <c r="V102" s="34">
        <f>IF(inputoutput!W39=0, 0, W27/inputoutput!W39)</f>
        <v>0</v>
      </c>
      <c r="W102" s="34" t="e">
        <f>IF(inputoutput!#REF!=0, 0, X27/inputoutput!#REF!)</f>
        <v>#REF!</v>
      </c>
      <c r="X102" s="34" t="e">
        <f>IF(inputoutput!#REF!=0, 0, Y27/inputoutput!#REF!)</f>
        <v>#REF!</v>
      </c>
      <c r="Y102" s="34" t="e">
        <f>IF(inputoutput!#REF!=0, 0, Z27/inputoutput!#REF!)</f>
        <v>#REF!</v>
      </c>
      <c r="Z102" s="34" t="e">
        <f>IF(inputoutput!#REF!=0, 0, AA27/inputoutput!#REF!)</f>
        <v>#REF!</v>
      </c>
      <c r="AA102" s="34" t="e">
        <f>IF(inputoutput!#REF!=0, 0, AB27/inputoutput!#REF!)</f>
        <v>#REF!</v>
      </c>
      <c r="AB102" s="34" t="e">
        <f>IF(inputoutput!#REF!=0, 0, AC27/inputoutput!#REF!)</f>
        <v>#REF!</v>
      </c>
      <c r="AC102" s="34" t="e">
        <f>IF(inputoutput!#REF!=0, 0, AD27/inputoutput!#REF!)</f>
        <v>#REF!</v>
      </c>
      <c r="AD102" s="34" t="e">
        <f>IF(inputoutput!#REF!=0, 0, AE27/inputoutput!#REF!)</f>
        <v>#REF!</v>
      </c>
      <c r="AE102" s="34" t="e">
        <f>IF(inputoutput!#REF!=0, 0, AF27/inputoutput!#REF!)</f>
        <v>#REF!</v>
      </c>
      <c r="AF102" s="34" t="e">
        <f>IF(inputoutput!#REF!=0, 0, AG27/inputoutput!#REF!)</f>
        <v>#REF!</v>
      </c>
    </row>
    <row r="103" spans="1:34" ht="15.75" customHeight="1">
      <c r="A103" s="1" t="s">
        <v>85</v>
      </c>
      <c r="B103" s="34" t="e">
        <f>IF(inputoutput!C40=0, 0, C28/inputoutput!C40)</f>
        <v>#VALUE!</v>
      </c>
      <c r="C103" s="34">
        <f>IF(inputoutput!D40=0, 0, D28/inputoutput!D40)</f>
        <v>6.501211527706404E-6</v>
      </c>
      <c r="D103" s="34">
        <f>IF(inputoutput!E40=0, 0, E28/inputoutput!E40)</f>
        <v>0</v>
      </c>
      <c r="E103" s="34">
        <f>IF(inputoutput!F40=0, 0, F28/inputoutput!F40)</f>
        <v>0</v>
      </c>
      <c r="F103" s="34">
        <f>IF(inputoutput!G40=0, 0, G28/inputoutput!G40)</f>
        <v>0</v>
      </c>
      <c r="G103" s="34">
        <f>IF(inputoutput!H40=0, 0, H28/inputoutput!H40)</f>
        <v>0</v>
      </c>
      <c r="H103" s="34">
        <f>IF(inputoutput!I40=0, 0, I28/inputoutput!I40)</f>
        <v>0</v>
      </c>
      <c r="I103" s="34">
        <f>IF(inputoutput!J40=0, 0, J28/inputoutput!J40)</f>
        <v>0</v>
      </c>
      <c r="J103" s="34">
        <f>IF(inputoutput!K40=0, 0, K28/inputoutput!K40)</f>
        <v>0</v>
      </c>
      <c r="K103" s="34">
        <f>IF(inputoutput!L40=0, 0, L28/inputoutput!L40)</f>
        <v>0</v>
      </c>
      <c r="L103" s="34">
        <f>IF(inputoutput!M40=0, 0, M28/inputoutput!M40)</f>
        <v>0</v>
      </c>
      <c r="M103" s="34">
        <f>IF(inputoutput!N40=0, 0, N28/inputoutput!N40)</f>
        <v>0</v>
      </c>
      <c r="N103" s="34">
        <f>IF(inputoutput!O40=0, 0, O28/inputoutput!O40)</f>
        <v>0</v>
      </c>
      <c r="O103" s="34">
        <f>IF(inputoutput!P40=0, 0, P28/inputoutput!P40)</f>
        <v>0</v>
      </c>
      <c r="P103" s="34">
        <f>IF(inputoutput!Q40=0, 0, Q28/inputoutput!Q40)</f>
        <v>0</v>
      </c>
      <c r="Q103" s="34">
        <f>IF(inputoutput!R40=0, 0, R28/inputoutput!R40)</f>
        <v>0</v>
      </c>
      <c r="R103" s="34">
        <f>IF(inputoutput!S40=0, 0, S28/inputoutput!S40)</f>
        <v>0</v>
      </c>
      <c r="S103" s="34">
        <f>IF(inputoutput!T40=0, 0, T28/inputoutput!T40)</f>
        <v>0</v>
      </c>
      <c r="T103" s="34">
        <f>IF(inputoutput!U40=0, 0, U28/inputoutput!U40)</f>
        <v>0</v>
      </c>
      <c r="U103" s="34">
        <f>IF(inputoutput!V40=0, 0, V28/inputoutput!V40)</f>
        <v>0</v>
      </c>
      <c r="V103" s="34">
        <f>IF(inputoutput!W40=0, 0, W28/inputoutput!W40)</f>
        <v>0</v>
      </c>
      <c r="W103" s="34" t="e">
        <f>IF(inputoutput!#REF!=0, 0, X28/inputoutput!#REF!)</f>
        <v>#REF!</v>
      </c>
      <c r="X103" s="34" t="e">
        <f>IF(inputoutput!#REF!=0, 0, Y28/inputoutput!#REF!)</f>
        <v>#REF!</v>
      </c>
      <c r="Y103" s="34" t="e">
        <f>IF(inputoutput!#REF!=0, 0, Z28/inputoutput!#REF!)</f>
        <v>#REF!</v>
      </c>
      <c r="Z103" s="34" t="e">
        <f>IF(inputoutput!#REF!=0, 0, AA28/inputoutput!#REF!)</f>
        <v>#REF!</v>
      </c>
      <c r="AA103" s="34" t="e">
        <f>IF(inputoutput!#REF!=0, 0, AB28/inputoutput!#REF!)</f>
        <v>#REF!</v>
      </c>
      <c r="AB103" s="34" t="e">
        <f>IF(inputoutput!#REF!=0, 0, AC28/inputoutput!#REF!)</f>
        <v>#REF!</v>
      </c>
      <c r="AC103" s="34" t="e">
        <f>IF(inputoutput!#REF!=0, 0, AD28/inputoutput!#REF!)</f>
        <v>#REF!</v>
      </c>
      <c r="AD103" s="34" t="e">
        <f>IF(inputoutput!#REF!=0, 0, AE28/inputoutput!#REF!)</f>
        <v>#REF!</v>
      </c>
      <c r="AE103" s="34" t="e">
        <f>IF(inputoutput!#REF!=0, 0, AF28/inputoutput!#REF!)</f>
        <v>#REF!</v>
      </c>
      <c r="AF103" s="34" t="e">
        <f>IF(inputoutput!#REF!=0, 0, AG28/inputoutput!#REF!)</f>
        <v>#REF!</v>
      </c>
    </row>
    <row r="104" spans="1:34" ht="15.75" customHeight="1">
      <c r="A104" s="1" t="s">
        <v>88</v>
      </c>
      <c r="B104" s="34" t="e">
        <f>IF(inputoutput!C41=0, 0, C29/inputoutput!C41)</f>
        <v>#VALUE!</v>
      </c>
      <c r="C104" s="34">
        <f>IF(inputoutput!D41=0, 0, D29/inputoutput!D41)</f>
        <v>0</v>
      </c>
      <c r="D104" s="34">
        <f>IF(inputoutput!E41=0, 0, E29/inputoutput!E41)</f>
        <v>0</v>
      </c>
      <c r="E104" s="34">
        <f>IF(inputoutput!F41=0, 0, F29/inputoutput!F41)</f>
        <v>0</v>
      </c>
      <c r="F104" s="34">
        <f>IF(inputoutput!G41=0, 0, G29/inputoutput!G41)</f>
        <v>0</v>
      </c>
      <c r="G104" s="34">
        <f>IF(inputoutput!H41=0, 0, H29/inputoutput!H41)</f>
        <v>0</v>
      </c>
      <c r="H104" s="34">
        <f>IF(inputoutput!I41=0, 0, I29/inputoutput!I41)</f>
        <v>0</v>
      </c>
      <c r="I104" s="34">
        <f>IF(inputoutput!J41=0, 0, J29/inputoutput!J41)</f>
        <v>0</v>
      </c>
      <c r="J104" s="34">
        <f>IF(inputoutput!K41=0, 0, K29/inputoutput!K41)</f>
        <v>0</v>
      </c>
      <c r="K104" s="34">
        <f>IF(inputoutput!L41=0, 0, L29/inputoutput!L41)</f>
        <v>0</v>
      </c>
      <c r="L104" s="34">
        <f>IF(inputoutput!M41=0, 0, M29/inputoutput!M41)</f>
        <v>0</v>
      </c>
      <c r="M104" s="34">
        <f>IF(inputoutput!N41=0, 0, N29/inputoutput!N41)</f>
        <v>0</v>
      </c>
      <c r="N104" s="34">
        <f>IF(inputoutput!O41=0, 0, O29/inputoutput!O41)</f>
        <v>0</v>
      </c>
      <c r="O104" s="34">
        <f>IF(inputoutput!P41=0, 0, P29/inputoutput!P41)</f>
        <v>0</v>
      </c>
      <c r="P104" s="34">
        <f>IF(inputoutput!Q41=0, 0, Q29/inputoutput!Q41)</f>
        <v>0</v>
      </c>
      <c r="Q104" s="34">
        <f>IF(inputoutput!R41=0, 0, R29/inputoutput!R41)</f>
        <v>0</v>
      </c>
      <c r="R104" s="34">
        <f>IF(inputoutput!S41=0, 0, S29/inputoutput!S41)</f>
        <v>0</v>
      </c>
      <c r="S104" s="34">
        <f>IF(inputoutput!T41=0, 0, T29/inputoutput!T41)</f>
        <v>0</v>
      </c>
      <c r="T104" s="34">
        <f>IF(inputoutput!U41=0, 0, U29/inputoutput!U41)</f>
        <v>0</v>
      </c>
      <c r="U104" s="34">
        <f>IF(inputoutput!V41=0, 0, V29/inputoutput!V41)</f>
        <v>0</v>
      </c>
      <c r="V104" s="34">
        <f>IF(inputoutput!W41=0, 0, W29/inputoutput!W41)</f>
        <v>0</v>
      </c>
      <c r="W104" s="34" t="e">
        <f>IF(inputoutput!#REF!=0, 0, X29/inputoutput!#REF!)</f>
        <v>#REF!</v>
      </c>
      <c r="X104" s="34" t="e">
        <f>IF(inputoutput!#REF!=0, 0, Y29/inputoutput!#REF!)</f>
        <v>#REF!</v>
      </c>
      <c r="Y104" s="34" t="e">
        <f>IF(inputoutput!#REF!=0, 0, Z29/inputoutput!#REF!)</f>
        <v>#REF!</v>
      </c>
      <c r="Z104" s="34" t="e">
        <f>IF(inputoutput!#REF!=0, 0, AA29/inputoutput!#REF!)</f>
        <v>#REF!</v>
      </c>
      <c r="AA104" s="34" t="e">
        <f>IF(inputoutput!#REF!=0, 0, AB29/inputoutput!#REF!)</f>
        <v>#REF!</v>
      </c>
      <c r="AB104" s="34" t="e">
        <f>IF(inputoutput!#REF!=0, 0, AC29/inputoutput!#REF!)</f>
        <v>#REF!</v>
      </c>
      <c r="AC104" s="34" t="e">
        <f>IF(inputoutput!#REF!=0, 0, AD29/inputoutput!#REF!)</f>
        <v>#REF!</v>
      </c>
      <c r="AD104" s="34" t="e">
        <f>IF(inputoutput!#REF!=0, 0, AE29/inputoutput!#REF!)</f>
        <v>#REF!</v>
      </c>
      <c r="AE104" s="34" t="e">
        <f>IF(inputoutput!#REF!=0, 0, AF29/inputoutput!#REF!)</f>
        <v>#REF!</v>
      </c>
      <c r="AF104" s="34" t="e">
        <f>IF(inputoutput!#REF!=0, 0, AG29/inputoutput!#REF!)</f>
        <v>#REF!</v>
      </c>
    </row>
    <row r="105" spans="1:34" ht="15.75" customHeight="1">
      <c r="A105" s="1" t="s">
        <v>91</v>
      </c>
      <c r="B105" s="34" t="e">
        <f>IF(inputoutput!C42=0, 0, C30/inputoutput!C42)</f>
        <v>#VALUE!</v>
      </c>
      <c r="C105" s="34">
        <f>IF(inputoutput!D42=0, 0, D30/inputoutput!D42)</f>
        <v>0</v>
      </c>
      <c r="D105" s="34">
        <f>IF(inputoutput!E42=0, 0, E30/inputoutput!E42)</f>
        <v>0</v>
      </c>
      <c r="E105" s="34">
        <f>IF(inputoutput!F42=0, 0, F30/inputoutput!F42)</f>
        <v>0</v>
      </c>
      <c r="F105" s="34">
        <f>IF(inputoutput!G42=0, 0, G30/inputoutput!G42)</f>
        <v>0</v>
      </c>
      <c r="G105" s="34">
        <f>IF(inputoutput!H42=0, 0, H30/inputoutput!H42)</f>
        <v>0</v>
      </c>
      <c r="H105" s="34">
        <f>IF(inputoutput!I42=0, 0, I30/inputoutput!I42)</f>
        <v>0</v>
      </c>
      <c r="I105" s="34">
        <f>IF(inputoutput!J42=0, 0, J30/inputoutput!J42)</f>
        <v>0</v>
      </c>
      <c r="J105" s="34">
        <f>IF(inputoutput!K42=0, 0, K30/inputoutput!K42)</f>
        <v>0</v>
      </c>
      <c r="K105" s="34">
        <f>IF(inputoutput!L42=0, 0, L30/inputoutput!L42)</f>
        <v>0</v>
      </c>
      <c r="L105" s="34">
        <f>IF(inputoutput!M42=0, 0, M30/inputoutput!M42)</f>
        <v>0</v>
      </c>
      <c r="M105" s="34">
        <f>IF(inputoutput!N42=0, 0, N30/inputoutput!N42)</f>
        <v>0</v>
      </c>
      <c r="N105" s="34">
        <f>IF(inputoutput!O42=0, 0, O30/inputoutput!O42)</f>
        <v>0</v>
      </c>
      <c r="O105" s="34">
        <f>IF(inputoutput!P42=0, 0, P30/inputoutput!P42)</f>
        <v>0</v>
      </c>
      <c r="P105" s="34">
        <f>IF(inputoutput!Q42=0, 0, Q30/inputoutput!Q42)</f>
        <v>0</v>
      </c>
      <c r="Q105" s="34">
        <f>IF(inputoutput!R42=0, 0, R30/inputoutput!R42)</f>
        <v>0</v>
      </c>
      <c r="R105" s="34">
        <f>IF(inputoutput!S42=0, 0, S30/inputoutput!S42)</f>
        <v>0</v>
      </c>
      <c r="S105" s="34">
        <f>IF(inputoutput!T42=0, 0, T30/inputoutput!T42)</f>
        <v>0</v>
      </c>
      <c r="T105" s="34">
        <f>IF(inputoutput!U42=0, 0, U30/inputoutput!U42)</f>
        <v>0</v>
      </c>
      <c r="U105" s="34">
        <f>IF(inputoutput!V42=0, 0, V30/inputoutput!V42)</f>
        <v>0</v>
      </c>
      <c r="V105" s="34">
        <f>IF(inputoutput!W42=0, 0, W30/inputoutput!W42)</f>
        <v>0</v>
      </c>
      <c r="W105" s="34" t="e">
        <f>IF(inputoutput!#REF!=0, 0, X30/inputoutput!#REF!)</f>
        <v>#REF!</v>
      </c>
      <c r="X105" s="34" t="e">
        <f>IF(inputoutput!#REF!=0, 0, Y30/inputoutput!#REF!)</f>
        <v>#REF!</v>
      </c>
      <c r="Y105" s="34" t="e">
        <f>IF(inputoutput!#REF!=0, 0, Z30/inputoutput!#REF!)</f>
        <v>#REF!</v>
      </c>
      <c r="Z105" s="34" t="e">
        <f>IF(inputoutput!#REF!=0, 0, AA30/inputoutput!#REF!)</f>
        <v>#REF!</v>
      </c>
      <c r="AA105" s="34" t="e">
        <f>IF(inputoutput!#REF!=0, 0, AB30/inputoutput!#REF!)</f>
        <v>#REF!</v>
      </c>
      <c r="AB105" s="34" t="e">
        <f>IF(inputoutput!#REF!=0, 0, AC30/inputoutput!#REF!)</f>
        <v>#REF!</v>
      </c>
      <c r="AC105" s="34" t="e">
        <f>IF(inputoutput!#REF!=0, 0, AD30/inputoutput!#REF!)</f>
        <v>#REF!</v>
      </c>
      <c r="AD105" s="34" t="e">
        <f>IF(inputoutput!#REF!=0, 0, AE30/inputoutput!#REF!)</f>
        <v>#REF!</v>
      </c>
      <c r="AE105" s="34" t="e">
        <f>IF(inputoutput!#REF!=0, 0, AF30/inputoutput!#REF!)</f>
        <v>#REF!</v>
      </c>
      <c r="AF105" s="34" t="e">
        <f>IF(inputoutput!#REF!=0, 0, AG30/inputoutput!#REF!)</f>
        <v>#REF!</v>
      </c>
    </row>
    <row r="106" spans="1:34" ht="15.75" customHeight="1">
      <c r="A106" s="1" t="s">
        <v>93</v>
      </c>
      <c r="B106" s="34" t="e">
        <f>IF(inputoutput!C43=0, 0, C31/inputoutput!C43)</f>
        <v>#VALUE!</v>
      </c>
      <c r="C106" s="34">
        <f>IF(inputoutput!D43=0, 0, D31/inputoutput!D43)</f>
        <v>0</v>
      </c>
      <c r="D106" s="34">
        <f>IF(inputoutput!E43=0, 0, E31/inputoutput!E43)</f>
        <v>0</v>
      </c>
      <c r="E106" s="34">
        <f>IF(inputoutput!F43=0, 0, F31/inputoutput!F43)</f>
        <v>0</v>
      </c>
      <c r="F106" s="34">
        <f>IF(inputoutput!G43=0, 0, G31/inputoutput!G43)</f>
        <v>0</v>
      </c>
      <c r="G106" s="34">
        <f>IF(inputoutput!H43=0, 0, H31/inputoutput!H43)</f>
        <v>0</v>
      </c>
      <c r="H106" s="34">
        <f>IF(inputoutput!I43=0, 0, I31/inputoutput!I43)</f>
        <v>0</v>
      </c>
      <c r="I106" s="34">
        <f>IF(inputoutput!J43=0, 0, J31/inputoutput!J43)</f>
        <v>0</v>
      </c>
      <c r="J106" s="34">
        <f>IF(inputoutput!K43=0, 0, K31/inputoutput!K43)</f>
        <v>0</v>
      </c>
      <c r="K106" s="34">
        <f>IF(inputoutput!L43=0, 0, L31/inputoutput!L43)</f>
        <v>0</v>
      </c>
      <c r="L106" s="34">
        <f>IF(inputoutput!M43=0, 0, M31/inputoutput!M43)</f>
        <v>0</v>
      </c>
      <c r="M106" s="34">
        <f>IF(inputoutput!N43=0, 0, N31/inputoutput!N43)</f>
        <v>0</v>
      </c>
      <c r="N106" s="34">
        <f>IF(inputoutput!O43=0, 0, O31/inputoutput!O43)</f>
        <v>0</v>
      </c>
      <c r="O106" s="34">
        <f>IF(inputoutput!P43=0, 0, P31/inputoutput!P43)</f>
        <v>0</v>
      </c>
      <c r="P106" s="34">
        <f>IF(inputoutput!Q43=0, 0, Q31/inputoutput!Q43)</f>
        <v>0</v>
      </c>
      <c r="Q106" s="34">
        <f>IF(inputoutput!R43=0, 0, R31/inputoutput!R43)</f>
        <v>0</v>
      </c>
      <c r="R106" s="34">
        <f>IF(inputoutput!S43=0, 0, S31/inputoutput!S43)</f>
        <v>0</v>
      </c>
      <c r="S106" s="34">
        <f>IF(inputoutput!T43=0, 0, T31/inputoutput!T43)</f>
        <v>0</v>
      </c>
      <c r="T106" s="34">
        <f>IF(inputoutput!U43=0, 0, U31/inputoutput!U43)</f>
        <v>0</v>
      </c>
      <c r="U106" s="34">
        <f>IF(inputoutput!V43=0, 0, V31/inputoutput!V43)</f>
        <v>0</v>
      </c>
      <c r="V106" s="34">
        <f>IF(inputoutput!W43=0, 0, W31/inputoutput!W43)</f>
        <v>0</v>
      </c>
      <c r="W106" s="34" t="e">
        <f>IF(inputoutput!#REF!=0, 0, X31/inputoutput!#REF!)</f>
        <v>#REF!</v>
      </c>
      <c r="X106" s="34" t="e">
        <f>IF(inputoutput!#REF!=0, 0, Y31/inputoutput!#REF!)</f>
        <v>#REF!</v>
      </c>
      <c r="Y106" s="34" t="e">
        <f>IF(inputoutput!#REF!=0, 0, Z31/inputoutput!#REF!)</f>
        <v>#REF!</v>
      </c>
      <c r="Z106" s="34" t="e">
        <f>IF(inputoutput!#REF!=0, 0, AA31/inputoutput!#REF!)</f>
        <v>#REF!</v>
      </c>
      <c r="AA106" s="34" t="e">
        <f>IF(inputoutput!#REF!=0, 0, AB31/inputoutput!#REF!)</f>
        <v>#REF!</v>
      </c>
      <c r="AB106" s="34" t="e">
        <f>IF(inputoutput!#REF!=0, 0, AC31/inputoutput!#REF!)</f>
        <v>#REF!</v>
      </c>
      <c r="AC106" s="34" t="e">
        <f>IF(inputoutput!#REF!=0, 0, AD31/inputoutput!#REF!)</f>
        <v>#REF!</v>
      </c>
      <c r="AD106" s="34" t="e">
        <f>IF(inputoutput!#REF!=0, 0, AE31/inputoutput!#REF!)</f>
        <v>#REF!</v>
      </c>
      <c r="AE106" s="34" t="e">
        <f>IF(inputoutput!#REF!=0, 0, AF31/inputoutput!#REF!)</f>
        <v>#REF!</v>
      </c>
      <c r="AF106" s="34" t="e">
        <f>IF(inputoutput!#REF!=0, 0, AG31/inputoutput!#REF!)</f>
        <v>#REF!</v>
      </c>
    </row>
    <row r="107" spans="1:34" ht="15.75" customHeight="1">
      <c r="A107" s="1" t="s">
        <v>95</v>
      </c>
      <c r="B107" s="34" t="e">
        <f>IF(inputoutput!C44=0, 0, C32/inputoutput!C44)</f>
        <v>#VALUE!</v>
      </c>
      <c r="C107" s="34">
        <f>IF(inputoutput!D44=0, 0, D32/inputoutput!D44)</f>
        <v>0</v>
      </c>
      <c r="D107" s="34">
        <f>IF(inputoutput!E44=0, 0, E32/inputoutput!E44)</f>
        <v>0</v>
      </c>
      <c r="E107" s="34">
        <f>IF(inputoutput!F44=0, 0, F32/inputoutput!F44)</f>
        <v>0</v>
      </c>
      <c r="F107" s="34">
        <f>IF(inputoutput!G44=0, 0, G32/inputoutput!G44)</f>
        <v>0</v>
      </c>
      <c r="G107" s="34">
        <f>IF(inputoutput!H44=0, 0, H32/inputoutput!H44)</f>
        <v>0</v>
      </c>
      <c r="H107" s="34">
        <f>IF(inputoutput!I44=0, 0, I32/inputoutput!I44)</f>
        <v>0</v>
      </c>
      <c r="I107" s="34">
        <f>IF(inputoutput!J44=0, 0, J32/inputoutput!J44)</f>
        <v>0</v>
      </c>
      <c r="J107" s="34">
        <f>IF(inputoutput!K44=0, 0, K32/inputoutput!K44)</f>
        <v>0</v>
      </c>
      <c r="K107" s="34">
        <f>IF(inputoutput!L44=0, 0, L32/inputoutput!L44)</f>
        <v>0</v>
      </c>
      <c r="L107" s="34">
        <f>IF(inputoutput!M44=0, 0, M32/inputoutput!M44)</f>
        <v>0</v>
      </c>
      <c r="M107" s="34">
        <f>IF(inputoutput!N44=0, 0, N32/inputoutput!N44)</f>
        <v>0</v>
      </c>
      <c r="N107" s="34">
        <f>IF(inputoutput!O44=0, 0, O32/inputoutput!O44)</f>
        <v>0</v>
      </c>
      <c r="O107" s="34">
        <f>IF(inputoutput!P44=0, 0, P32/inputoutput!P44)</f>
        <v>0</v>
      </c>
      <c r="P107" s="34">
        <f>IF(inputoutput!Q44=0, 0, Q32/inputoutput!Q44)</f>
        <v>0</v>
      </c>
      <c r="Q107" s="34">
        <f>IF(inputoutput!R44=0, 0, R32/inputoutput!R44)</f>
        <v>0</v>
      </c>
      <c r="R107" s="34">
        <f>IF(inputoutput!S44=0, 0, S32/inputoutput!S44)</f>
        <v>0</v>
      </c>
      <c r="S107" s="34">
        <f>IF(inputoutput!T44=0, 0, T32/inputoutput!T44)</f>
        <v>0</v>
      </c>
      <c r="T107" s="34">
        <f>IF(inputoutput!U44=0, 0, U32/inputoutput!U44)</f>
        <v>0</v>
      </c>
      <c r="U107" s="34">
        <f>IF(inputoutput!V44=0, 0, V32/inputoutput!V44)</f>
        <v>0</v>
      </c>
      <c r="V107" s="34">
        <f>IF(inputoutput!W44=0, 0, W32/inputoutput!W44)</f>
        <v>0</v>
      </c>
      <c r="W107" s="34" t="e">
        <f>IF(inputoutput!#REF!=0, 0, X32/inputoutput!#REF!)</f>
        <v>#REF!</v>
      </c>
      <c r="X107" s="34" t="e">
        <f>IF(inputoutput!#REF!=0, 0, Y32/inputoutput!#REF!)</f>
        <v>#REF!</v>
      </c>
      <c r="Y107" s="34" t="e">
        <f>IF(inputoutput!#REF!=0, 0, Z32/inputoutput!#REF!)</f>
        <v>#REF!</v>
      </c>
      <c r="Z107" s="34" t="e">
        <f>IF(inputoutput!#REF!=0, 0, AA32/inputoutput!#REF!)</f>
        <v>#REF!</v>
      </c>
      <c r="AA107" s="34" t="e">
        <f>IF(inputoutput!#REF!=0, 0, AB32/inputoutput!#REF!)</f>
        <v>#REF!</v>
      </c>
      <c r="AB107" s="34" t="e">
        <f>IF(inputoutput!#REF!=0, 0, AC32/inputoutput!#REF!)</f>
        <v>#REF!</v>
      </c>
      <c r="AC107" s="34" t="e">
        <f>IF(inputoutput!#REF!=0, 0, AD32/inputoutput!#REF!)</f>
        <v>#REF!</v>
      </c>
      <c r="AD107" s="34" t="e">
        <f>IF(inputoutput!#REF!=0, 0, AE32/inputoutput!#REF!)</f>
        <v>#REF!</v>
      </c>
      <c r="AE107" s="34" t="e">
        <f>IF(inputoutput!#REF!=0, 0, AF32/inputoutput!#REF!)</f>
        <v>#REF!</v>
      </c>
      <c r="AF107" s="34" t="e">
        <f>IF(inputoutput!#REF!=0, 0, AG32/inputoutput!#REF!)</f>
        <v>#REF!</v>
      </c>
    </row>
    <row r="108" spans="1:34" ht="15.75" customHeight="1">
      <c r="B108" s="13"/>
      <c r="Z108" s="49"/>
    </row>
    <row r="109" spans="1:34" ht="15.75" customHeight="1">
      <c r="Z109" s="49"/>
    </row>
    <row r="110" spans="1:34" ht="15.75" customHeight="1">
      <c r="A110" s="37" t="s">
        <v>168</v>
      </c>
      <c r="B110" s="37"/>
      <c r="C110" s="53"/>
      <c r="D110" s="53"/>
      <c r="E110" s="53"/>
      <c r="F110" s="53"/>
      <c r="G110" s="53"/>
      <c r="H110" s="53"/>
      <c r="I110" s="53"/>
      <c r="Z110" s="49"/>
    </row>
    <row r="111" spans="1:34" ht="15.75" customHeight="1">
      <c r="C111" s="54"/>
      <c r="D111" s="54" t="s">
        <v>32</v>
      </c>
      <c r="E111" s="54" t="s">
        <v>34</v>
      </c>
      <c r="F111" s="54" t="s">
        <v>36</v>
      </c>
      <c r="G111" s="54" t="s">
        <v>38</v>
      </c>
      <c r="H111" s="54" t="s">
        <v>40</v>
      </c>
      <c r="I111" s="54" t="s">
        <v>42</v>
      </c>
      <c r="J111" s="54" t="s">
        <v>44</v>
      </c>
      <c r="K111" s="54" t="s">
        <v>47</v>
      </c>
      <c r="L111" s="54" t="s">
        <v>49</v>
      </c>
      <c r="M111" s="54" t="s">
        <v>51</v>
      </c>
      <c r="N111" s="54" t="s">
        <v>53</v>
      </c>
      <c r="O111" s="54" t="s">
        <v>55</v>
      </c>
      <c r="P111" s="54" t="s">
        <v>57</v>
      </c>
      <c r="Q111" s="54" t="s">
        <v>60</v>
      </c>
      <c r="R111" s="54" t="s">
        <v>62</v>
      </c>
      <c r="S111" s="54" t="s">
        <v>64</v>
      </c>
      <c r="T111" s="54" t="s">
        <v>66</v>
      </c>
      <c r="U111" s="54" t="s">
        <v>68</v>
      </c>
      <c r="V111" s="54" t="s">
        <v>70</v>
      </c>
      <c r="W111" s="54" t="s">
        <v>72</v>
      </c>
      <c r="X111" s="54" t="s">
        <v>74</v>
      </c>
      <c r="Y111" s="54" t="s">
        <v>76</v>
      </c>
      <c r="Z111" s="54" t="s">
        <v>78</v>
      </c>
      <c r="AA111" s="54" t="s">
        <v>80</v>
      </c>
      <c r="AB111" s="54" t="s">
        <v>82</v>
      </c>
      <c r="AC111" s="54" t="s">
        <v>84</v>
      </c>
      <c r="AD111" s="54" t="s">
        <v>87</v>
      </c>
      <c r="AE111" s="54" t="s">
        <v>90</v>
      </c>
      <c r="AF111" s="54" t="s">
        <v>92</v>
      </c>
      <c r="AG111" s="54" t="s">
        <v>94</v>
      </c>
      <c r="AH111" s="26" t="s">
        <v>169</v>
      </c>
    </row>
    <row r="112" spans="1:34" ht="15.75" customHeight="1">
      <c r="B112" s="2" t="s">
        <v>158</v>
      </c>
      <c r="C112" s="54"/>
      <c r="D112" s="44" t="s">
        <v>31</v>
      </c>
      <c r="E112" s="44" t="s">
        <v>33</v>
      </c>
      <c r="F112" s="44" t="s">
        <v>35</v>
      </c>
      <c r="G112" s="44" t="s">
        <v>37</v>
      </c>
      <c r="H112" s="44" t="s">
        <v>39</v>
      </c>
      <c r="I112" s="44" t="s">
        <v>41</v>
      </c>
      <c r="J112" s="44" t="s">
        <v>43</v>
      </c>
      <c r="K112" s="44" t="s">
        <v>46</v>
      </c>
      <c r="L112" s="44" t="s">
        <v>48</v>
      </c>
      <c r="M112" s="44" t="s">
        <v>50</v>
      </c>
      <c r="N112" s="44" t="s">
        <v>52</v>
      </c>
      <c r="O112" s="44" t="s">
        <v>54</v>
      </c>
      <c r="P112" s="44" t="s">
        <v>56</v>
      </c>
      <c r="Q112" s="44" t="s">
        <v>58</v>
      </c>
      <c r="R112" s="44" t="s">
        <v>61</v>
      </c>
      <c r="S112" s="44" t="s">
        <v>63</v>
      </c>
      <c r="T112" s="44" t="s">
        <v>65</v>
      </c>
      <c r="U112" s="44" t="s">
        <v>67</v>
      </c>
      <c r="V112" s="44" t="s">
        <v>69</v>
      </c>
      <c r="W112" s="44" t="s">
        <v>71</v>
      </c>
      <c r="X112" s="44" t="s">
        <v>73</v>
      </c>
      <c r="Y112" s="44" t="s">
        <v>75</v>
      </c>
      <c r="Z112" s="44" t="s">
        <v>77</v>
      </c>
      <c r="AA112" s="44" t="s">
        <v>79</v>
      </c>
      <c r="AB112" s="44" t="s">
        <v>81</v>
      </c>
      <c r="AC112" s="44" t="s">
        <v>83</v>
      </c>
      <c r="AD112" s="44" t="s">
        <v>85</v>
      </c>
      <c r="AE112" s="44" t="s">
        <v>88</v>
      </c>
      <c r="AF112" s="44" t="s">
        <v>91</v>
      </c>
      <c r="AG112" s="44" t="s">
        <v>93</v>
      </c>
      <c r="AH112" s="24" t="s">
        <v>95</v>
      </c>
    </row>
    <row r="113" spans="2:34" ht="15.75" customHeight="1">
      <c r="B113" s="2"/>
      <c r="C113" s="45" t="s">
        <v>170</v>
      </c>
      <c r="D113" s="45">
        <v>414043367.07999998</v>
      </c>
      <c r="E113" s="45">
        <v>-4486761451.1999998</v>
      </c>
      <c r="F113" s="45">
        <v>17016873.489999998</v>
      </c>
      <c r="G113" s="45">
        <v>649786833.80999994</v>
      </c>
      <c r="H113" s="45">
        <v>57140405820.910004</v>
      </c>
      <c r="I113" s="45">
        <v>47608371411.389999</v>
      </c>
      <c r="J113" s="45">
        <v>-67303032534.75</v>
      </c>
      <c r="K113" s="45">
        <v>-362491633734.31</v>
      </c>
      <c r="L113" s="45">
        <v>209388761063.03</v>
      </c>
      <c r="M113" s="45">
        <v>33575153506.119999</v>
      </c>
      <c r="N113" s="45">
        <v>18527109060.299999</v>
      </c>
      <c r="O113" s="45">
        <v>9721590308.8799992</v>
      </c>
      <c r="P113" s="45">
        <v>444049823.74000001</v>
      </c>
      <c r="Q113" s="45">
        <v>234542748</v>
      </c>
      <c r="R113" s="45">
        <v>342009350.26999998</v>
      </c>
      <c r="S113" s="45">
        <v>-19061588087.049999</v>
      </c>
      <c r="T113" s="45">
        <v>2331657807.8600001</v>
      </c>
      <c r="U113" s="45">
        <v>4351439660.6199999</v>
      </c>
      <c r="V113" s="45">
        <v>18730208734.25</v>
      </c>
      <c r="W113" s="45">
        <v>4839882386.3999996</v>
      </c>
      <c r="X113" s="45">
        <v>524815086.17000002</v>
      </c>
      <c r="Y113" s="45">
        <v>8139618.8600000003</v>
      </c>
      <c r="Z113" s="45">
        <v>-148790375169.73999</v>
      </c>
      <c r="AA113" s="45">
        <v>30331382217.32</v>
      </c>
      <c r="AB113" s="45">
        <v>213911736.25999999</v>
      </c>
      <c r="AC113" s="45">
        <v>-7396819463.5</v>
      </c>
      <c r="AD113" s="45">
        <v>15948320.630000001</v>
      </c>
      <c r="AE113" s="45">
        <v>19567659.879999999</v>
      </c>
      <c r="AF113" s="45">
        <v>46331775.590000004</v>
      </c>
      <c r="AG113" s="45">
        <v>26597850.52</v>
      </c>
      <c r="AH113">
        <v>2365064.2200000002</v>
      </c>
    </row>
    <row r="114" spans="2:34" ht="15.75" customHeight="1">
      <c r="B114" s="2" t="s">
        <v>171</v>
      </c>
      <c r="C114" s="45" t="s">
        <v>172</v>
      </c>
      <c r="D114" s="45">
        <v>-470250116.37</v>
      </c>
      <c r="E114" s="45">
        <v>2257654.6</v>
      </c>
      <c r="F114" s="45">
        <v>-9896974.0700000003</v>
      </c>
      <c r="G114" s="45">
        <v>688261927.77999997</v>
      </c>
      <c r="H114" s="45">
        <v>-27641654.859999999</v>
      </c>
      <c r="I114" s="45">
        <v>-23348939.399999999</v>
      </c>
      <c r="J114" s="45">
        <v>38821640.560000002</v>
      </c>
      <c r="K114" s="45">
        <v>183318802.27000001</v>
      </c>
      <c r="L114" s="45">
        <v>-101742468.45999999</v>
      </c>
      <c r="M114" s="45">
        <v>-16352548.289999999</v>
      </c>
      <c r="N114" s="45">
        <v>2461910376.6999998</v>
      </c>
      <c r="O114" s="45">
        <v>-5199654500.9300003</v>
      </c>
      <c r="P114" s="45">
        <v>23884376.32</v>
      </c>
      <c r="Q114" s="45">
        <v>-345977279.49000001</v>
      </c>
      <c r="R114" s="45">
        <v>42530828.119999997</v>
      </c>
      <c r="S114" s="45">
        <v>9483171.8599999994</v>
      </c>
      <c r="T114" s="45">
        <v>3044076166.2399998</v>
      </c>
      <c r="U114" s="45">
        <v>1131342629.6400001</v>
      </c>
      <c r="V114" s="45">
        <v>-9230322.1699999999</v>
      </c>
      <c r="W114" s="45">
        <v>7099477124.8400002</v>
      </c>
      <c r="X114" s="45">
        <v>-327239407.17000002</v>
      </c>
      <c r="Y114" s="45">
        <v>-16349338.199999999</v>
      </c>
      <c r="Z114" s="45">
        <v>74970131.620000005</v>
      </c>
      <c r="AA114" s="45">
        <v>-14847184.539999999</v>
      </c>
      <c r="AB114" s="45">
        <v>208826937.75999999</v>
      </c>
      <c r="AC114" s="45">
        <v>3717496.2</v>
      </c>
      <c r="AD114" s="45">
        <v>18120578.16</v>
      </c>
      <c r="AE114" s="45">
        <v>20614474.460000001</v>
      </c>
      <c r="AF114" s="45">
        <v>45155703.299999997</v>
      </c>
      <c r="AG114" s="45">
        <v>45851226.939999998</v>
      </c>
      <c r="AH114">
        <v>4216378.62</v>
      </c>
    </row>
    <row r="115" spans="2:34" ht="15.75" customHeight="1">
      <c r="B115" s="2"/>
      <c r="C115" s="45" t="s">
        <v>173</v>
      </c>
      <c r="D115" s="45">
        <v>-39963080.210000001</v>
      </c>
      <c r="F115" s="45">
        <v>-4510502.84</v>
      </c>
      <c r="G115" s="45">
        <v>196735484.87</v>
      </c>
      <c r="N115" s="45">
        <v>3509006527.0100002</v>
      </c>
      <c r="O115" s="45">
        <v>2971539143.2199998</v>
      </c>
      <c r="P115" s="45">
        <v>78310478.390000001</v>
      </c>
      <c r="Q115" s="45">
        <v>230923562.12</v>
      </c>
      <c r="R115" s="45">
        <v>-106326282.28</v>
      </c>
      <c r="T115" s="45">
        <v>116138307.23999999</v>
      </c>
      <c r="U115" s="45">
        <v>-902036033.34000003</v>
      </c>
      <c r="W115" s="45">
        <v>2537364161.7199998</v>
      </c>
      <c r="X115" s="45">
        <v>201040129.06999999</v>
      </c>
      <c r="Y115" s="45">
        <v>33526746.800000001</v>
      </c>
      <c r="AB115" s="45">
        <v>-150854049.30000001</v>
      </c>
      <c r="AD115" s="45">
        <v>-8702825.3900000006</v>
      </c>
      <c r="AE115" s="45">
        <v>13154123.02</v>
      </c>
      <c r="AF115" s="45">
        <v>-13218937.24</v>
      </c>
      <c r="AG115" s="45">
        <v>33811982.710000001</v>
      </c>
      <c r="AH115">
        <v>-1501621.25</v>
      </c>
    </row>
    <row r="116" spans="2:34" ht="15.75" customHeight="1">
      <c r="C116" s="45" t="s">
        <v>174</v>
      </c>
      <c r="D116" s="45">
        <v>0.91</v>
      </c>
      <c r="E116" s="45">
        <v>0.35</v>
      </c>
      <c r="F116" s="45">
        <v>0.55000000000000004</v>
      </c>
      <c r="G116" s="45">
        <v>0.74</v>
      </c>
      <c r="H116" s="45">
        <v>0.33</v>
      </c>
      <c r="I116" s="45">
        <v>0.54</v>
      </c>
      <c r="J116" s="45">
        <v>0.04</v>
      </c>
      <c r="K116" s="45">
        <v>0.74</v>
      </c>
      <c r="L116" s="45">
        <v>0.11</v>
      </c>
      <c r="M116" s="45">
        <v>0.47</v>
      </c>
      <c r="N116" s="45">
        <v>0.76</v>
      </c>
      <c r="O116" s="45">
        <v>0.76</v>
      </c>
      <c r="P116" s="45">
        <v>0.36</v>
      </c>
      <c r="Q116" s="45">
        <v>0.88</v>
      </c>
      <c r="R116" s="45">
        <v>0.46</v>
      </c>
      <c r="S116" s="45">
        <v>0.55000000000000004</v>
      </c>
      <c r="T116" s="45">
        <v>0.97</v>
      </c>
      <c r="U116" s="45">
        <v>0.42</v>
      </c>
      <c r="V116" s="45">
        <v>0.64</v>
      </c>
      <c r="W116" s="45">
        <v>0.95</v>
      </c>
      <c r="X116" s="45">
        <v>0.67</v>
      </c>
      <c r="Y116" s="45">
        <v>0.53</v>
      </c>
      <c r="Z116" s="45">
        <v>0.4</v>
      </c>
      <c r="AA116" s="45">
        <v>0.33</v>
      </c>
      <c r="AB116" s="45">
        <v>0.77</v>
      </c>
      <c r="AC116" s="45">
        <v>0.19</v>
      </c>
      <c r="AD116" s="45">
        <v>0.84</v>
      </c>
      <c r="AE116" s="45">
        <v>0.84</v>
      </c>
      <c r="AF116" s="45">
        <v>0.64</v>
      </c>
      <c r="AG116" s="45">
        <v>0.93</v>
      </c>
      <c r="AH116">
        <v>0.56999999999999995</v>
      </c>
    </row>
    <row r="117" spans="2:34" ht="15.75" customHeight="1">
      <c r="B117" s="2" t="s">
        <v>175</v>
      </c>
      <c r="C117" s="45" t="s">
        <v>176</v>
      </c>
      <c r="D117" s="45">
        <v>0</v>
      </c>
      <c r="E117" s="45">
        <v>4.4499999999999998E-2</v>
      </c>
      <c r="F117" s="45">
        <v>1.47E-2</v>
      </c>
      <c r="G117" s="52">
        <v>8.9999999999999998E-4</v>
      </c>
      <c r="H117" s="45">
        <v>5.0299999999999997E-2</v>
      </c>
      <c r="I117" s="45">
        <v>6.7999999999999996E-3</v>
      </c>
      <c r="J117" s="45">
        <v>0.52759999999999996</v>
      </c>
      <c r="K117" s="52">
        <v>4.0000000000000002E-4</v>
      </c>
      <c r="L117" s="45">
        <v>0.28810000000000002</v>
      </c>
      <c r="M117" s="45">
        <v>1.44E-2</v>
      </c>
      <c r="N117" s="45">
        <v>1.29E-2</v>
      </c>
      <c r="O117" s="45">
        <v>1.1000000000000001E-3</v>
      </c>
      <c r="P117" s="45">
        <v>0.53090000000000004</v>
      </c>
      <c r="Q117" s="52">
        <v>1E-4</v>
      </c>
      <c r="R117" s="45">
        <v>0.33250000000000002</v>
      </c>
      <c r="S117" s="45">
        <v>5.7000000000000002E-3</v>
      </c>
      <c r="T117" s="45">
        <v>0</v>
      </c>
      <c r="U117" s="45">
        <v>7.9299999999999995E-2</v>
      </c>
      <c r="V117" s="45">
        <v>1.6999999999999999E-3</v>
      </c>
      <c r="W117" s="45">
        <v>0</v>
      </c>
      <c r="X117" s="45">
        <v>5.1999999999999998E-3</v>
      </c>
      <c r="Y117" s="45">
        <v>0.19289999999999999</v>
      </c>
      <c r="Z117" s="45">
        <v>2.81E-2</v>
      </c>
      <c r="AA117" s="45">
        <v>5.2699999999999997E-2</v>
      </c>
      <c r="AB117" s="45">
        <v>6.4999999999999997E-3</v>
      </c>
      <c r="AC117" s="45">
        <v>0.1623</v>
      </c>
      <c r="AD117" s="45">
        <v>1.4E-3</v>
      </c>
      <c r="AE117" s="52">
        <v>2.9999999999999997E-4</v>
      </c>
      <c r="AF117" s="45">
        <v>3.04E-2</v>
      </c>
      <c r="AG117" s="52">
        <v>1E-4</v>
      </c>
      <c r="AH117">
        <v>5.3199999999999997E-2</v>
      </c>
    </row>
    <row r="118" spans="2:34" ht="15.75" customHeight="1">
      <c r="B118" s="13"/>
      <c r="C118" s="45" t="s">
        <v>177</v>
      </c>
      <c r="D118" s="45" t="s">
        <v>178</v>
      </c>
      <c r="E118" s="45" t="s">
        <v>179</v>
      </c>
      <c r="F118" s="45" t="s">
        <v>178</v>
      </c>
      <c r="G118" s="45" t="s">
        <v>178</v>
      </c>
      <c r="H118" s="45" t="s">
        <v>179</v>
      </c>
      <c r="I118" s="45" t="s">
        <v>179</v>
      </c>
      <c r="J118" s="45" t="s">
        <v>179</v>
      </c>
      <c r="K118" s="45" t="s">
        <v>179</v>
      </c>
      <c r="L118" s="45" t="s">
        <v>179</v>
      </c>
      <c r="M118" s="45" t="s">
        <v>179</v>
      </c>
      <c r="N118" s="45" t="s">
        <v>178</v>
      </c>
      <c r="O118" s="45" t="s">
        <v>178</v>
      </c>
      <c r="P118" s="45" t="s">
        <v>178</v>
      </c>
      <c r="Q118" s="45" t="s">
        <v>178</v>
      </c>
      <c r="R118" s="45" t="s">
        <v>178</v>
      </c>
      <c r="S118" s="45" t="s">
        <v>179</v>
      </c>
      <c r="T118" s="45" t="s">
        <v>178</v>
      </c>
      <c r="U118" s="45" t="s">
        <v>178</v>
      </c>
      <c r="V118" s="45" t="s">
        <v>179</v>
      </c>
      <c r="W118" s="45" t="s">
        <v>178</v>
      </c>
      <c r="X118" s="45" t="s">
        <v>178</v>
      </c>
      <c r="Y118" s="45" t="s">
        <v>178</v>
      </c>
      <c r="Z118" s="45" t="s">
        <v>179</v>
      </c>
      <c r="AA118" s="45" t="s">
        <v>179</v>
      </c>
      <c r="AB118" s="45" t="s">
        <v>178</v>
      </c>
      <c r="AC118" s="45" t="s">
        <v>179</v>
      </c>
      <c r="AD118" s="45" t="s">
        <v>178</v>
      </c>
      <c r="AE118" s="45" t="s">
        <v>178</v>
      </c>
      <c r="AF118" s="45" t="s">
        <v>178</v>
      </c>
      <c r="AG118" s="45" t="s">
        <v>178</v>
      </c>
      <c r="AH118" t="s">
        <v>178</v>
      </c>
    </row>
    <row r="119" spans="2:34" ht="15.75" customHeight="1">
      <c r="B119" s="13"/>
      <c r="C119" s="45" t="s">
        <v>180</v>
      </c>
      <c r="D119" s="45">
        <v>3</v>
      </c>
      <c r="F119" s="45">
        <v>2</v>
      </c>
      <c r="G119" s="45">
        <v>2</v>
      </c>
      <c r="N119" s="45">
        <v>2</v>
      </c>
      <c r="O119" s="45">
        <v>2</v>
      </c>
      <c r="P119" s="45">
        <v>2</v>
      </c>
      <c r="Q119" s="45">
        <v>2</v>
      </c>
      <c r="R119" s="45">
        <v>2</v>
      </c>
      <c r="T119" s="45">
        <v>3</v>
      </c>
      <c r="U119" s="45">
        <v>2</v>
      </c>
      <c r="W119" s="45">
        <v>2</v>
      </c>
      <c r="X119" s="45">
        <v>2</v>
      </c>
      <c r="Y119" s="45">
        <v>2</v>
      </c>
      <c r="AB119" s="45">
        <v>3</v>
      </c>
      <c r="AD119" s="45">
        <v>3</v>
      </c>
      <c r="AE119" s="45">
        <v>2</v>
      </c>
      <c r="AF119" s="45">
        <v>3</v>
      </c>
      <c r="AG119" s="45">
        <v>3</v>
      </c>
      <c r="AH119">
        <v>3</v>
      </c>
    </row>
    <row r="120" spans="2:34" ht="15.75" customHeight="1">
      <c r="B120" s="13"/>
      <c r="Z120" s="49"/>
    </row>
    <row r="121" spans="2:34" ht="15.75" customHeight="1">
      <c r="B121" s="13"/>
      <c r="Z121" s="49"/>
    </row>
    <row r="122" spans="2:34" ht="15.75" customHeight="1">
      <c r="B122" s="13"/>
      <c r="Z122" s="49"/>
    </row>
    <row r="123" spans="2:34" ht="15.75" customHeight="1">
      <c r="B123" s="13"/>
      <c r="Z123" s="49"/>
    </row>
    <row r="124" spans="2:34" ht="15.75" customHeight="1">
      <c r="B124" s="13"/>
      <c r="Z124" s="49"/>
    </row>
    <row r="125" spans="2:34" ht="15.75" customHeight="1">
      <c r="B125" s="13"/>
      <c r="Z125" s="49"/>
    </row>
    <row r="126" spans="2:34" ht="15.75" customHeight="1">
      <c r="B126" s="13"/>
      <c r="Z126" s="49"/>
    </row>
    <row r="127" spans="2:34" ht="15.75" customHeight="1">
      <c r="B127" s="13"/>
      <c r="Z127" s="49"/>
    </row>
    <row r="128" spans="2:34" ht="15.75" customHeight="1">
      <c r="B128" s="13"/>
      <c r="Z128" s="49"/>
    </row>
    <row r="129" spans="2:26" ht="15.75" customHeight="1">
      <c r="B129" s="13"/>
      <c r="Z129" s="49"/>
    </row>
    <row r="130" spans="2:26" ht="15.75" customHeight="1">
      <c r="B130" s="13"/>
      <c r="Z130" s="49"/>
    </row>
    <row r="131" spans="2:26" ht="15.75" customHeight="1">
      <c r="B131" s="13"/>
      <c r="Z131" s="49"/>
    </row>
    <row r="132" spans="2:26" ht="15.75" customHeight="1">
      <c r="B132" s="13"/>
      <c r="Z132" s="49"/>
    </row>
    <row r="133" spans="2:26" ht="15.75" customHeight="1">
      <c r="B133" s="13"/>
      <c r="Z133" s="49"/>
    </row>
    <row r="134" spans="2:26" ht="15.75" customHeight="1">
      <c r="B134" s="13"/>
      <c r="Z134" s="49"/>
    </row>
    <row r="135" spans="2:26" ht="15.75" customHeight="1">
      <c r="B135" s="13"/>
      <c r="Z135" s="49"/>
    </row>
    <row r="136" spans="2:26" ht="15.75" customHeight="1">
      <c r="B136" s="13"/>
      <c r="Z136" s="49"/>
    </row>
    <row r="137" spans="2:26" ht="15.75" customHeight="1">
      <c r="B137" s="13"/>
      <c r="Z137" s="49"/>
    </row>
    <row r="138" spans="2:26" ht="15.75" customHeight="1">
      <c r="B138" s="13"/>
      <c r="Z138" s="49"/>
    </row>
    <row r="139" spans="2:26" ht="15.75" customHeight="1">
      <c r="B139" s="13"/>
      <c r="Z139" s="49"/>
    </row>
    <row r="140" spans="2:26" ht="15.75" customHeight="1">
      <c r="B140" s="13"/>
      <c r="Z140" s="49"/>
    </row>
    <row r="141" spans="2:26" ht="15.75" customHeight="1">
      <c r="B141" s="13"/>
      <c r="Z141" s="49"/>
    </row>
    <row r="142" spans="2:26" ht="15.75" customHeight="1">
      <c r="B142" s="13"/>
      <c r="Z142" s="49"/>
    </row>
    <row r="143" spans="2:26" ht="15.75" customHeight="1">
      <c r="B143" s="13"/>
      <c r="Z143" s="49"/>
    </row>
    <row r="144" spans="2:26" ht="15.75" customHeight="1">
      <c r="Z144" s="49"/>
    </row>
    <row r="145" spans="26:26" ht="15.75" customHeight="1">
      <c r="Z145" s="49"/>
    </row>
    <row r="146" spans="26:26" ht="15.75" customHeight="1">
      <c r="Z146" s="49"/>
    </row>
    <row r="147" spans="26:26" ht="15.75" customHeight="1">
      <c r="Z147" s="49"/>
    </row>
    <row r="148" spans="26:26" ht="15.75" customHeight="1">
      <c r="Z148" s="49"/>
    </row>
    <row r="149" spans="26:26" ht="15.75" customHeight="1">
      <c r="Z149" s="49"/>
    </row>
    <row r="150" spans="26:26" ht="15.75" customHeight="1">
      <c r="Z150" s="49"/>
    </row>
    <row r="151" spans="26:26" ht="15.75" customHeight="1">
      <c r="Z151" s="49"/>
    </row>
    <row r="152" spans="26:26" ht="15.75" customHeight="1">
      <c r="Z152" s="49"/>
    </row>
    <row r="153" spans="26:26" ht="15.75" customHeight="1">
      <c r="Z153" s="49"/>
    </row>
    <row r="154" spans="26:26" ht="15.75" customHeight="1">
      <c r="Z154" s="49"/>
    </row>
    <row r="155" spans="26:26" ht="15.75" customHeight="1">
      <c r="Z155" s="49"/>
    </row>
    <row r="156" spans="26:26" ht="15.75" customHeight="1">
      <c r="Z156" s="49"/>
    </row>
    <row r="157" spans="26:26" ht="15.75" customHeight="1">
      <c r="Z157" s="49"/>
    </row>
    <row r="158" spans="26:26" ht="15.75" customHeight="1">
      <c r="Z158" s="49"/>
    </row>
    <row r="159" spans="26:26" ht="15.75" customHeight="1">
      <c r="Z159" s="49"/>
    </row>
    <row r="160" spans="26:26" ht="15.75" customHeight="1">
      <c r="Z160" s="49"/>
    </row>
    <row r="161" spans="26:26" ht="15.75" customHeight="1">
      <c r="Z161" s="49"/>
    </row>
    <row r="162" spans="26:26" ht="15.75" customHeight="1">
      <c r="Z162" s="49"/>
    </row>
    <row r="163" spans="26:26" ht="15.75" customHeight="1">
      <c r="Z163" s="49"/>
    </row>
    <row r="164" spans="26:26" ht="15.75" customHeight="1">
      <c r="Z164" s="49"/>
    </row>
    <row r="165" spans="26:26" ht="15.75" customHeight="1">
      <c r="Z165" s="49"/>
    </row>
    <row r="166" spans="26:26" ht="15.75" customHeight="1">
      <c r="Z166" s="49"/>
    </row>
    <row r="167" spans="26:26" ht="15.75" customHeight="1">
      <c r="Z167" s="49"/>
    </row>
    <row r="168" spans="26:26" ht="15.75" customHeight="1">
      <c r="Z168" s="49"/>
    </row>
    <row r="169" spans="26:26" ht="15.75" customHeight="1">
      <c r="Z169" s="49"/>
    </row>
    <row r="170" spans="26:26" ht="15.75" customHeight="1">
      <c r="Z170" s="49"/>
    </row>
    <row r="171" spans="26:26" ht="15.75" customHeight="1">
      <c r="Z171" s="49"/>
    </row>
    <row r="172" spans="26:26" ht="15.75" customHeight="1">
      <c r="Z172" s="49"/>
    </row>
    <row r="173" spans="26:26" ht="15.75" customHeight="1">
      <c r="Z173" s="49"/>
    </row>
    <row r="174" spans="26:26" ht="15.75" customHeight="1">
      <c r="Z174" s="49"/>
    </row>
    <row r="175" spans="26:26" ht="15.75" customHeight="1">
      <c r="Z175" s="49"/>
    </row>
    <row r="176" spans="26:26" ht="15.75" customHeight="1">
      <c r="Z176" s="49"/>
    </row>
    <row r="177" spans="26:26" ht="15.75" customHeight="1">
      <c r="Z177" s="49"/>
    </row>
    <row r="178" spans="26:26" ht="15.75" customHeight="1">
      <c r="Z178" s="49"/>
    </row>
    <row r="179" spans="26:26" ht="15.75" customHeight="1">
      <c r="Z179" s="49"/>
    </row>
    <row r="180" spans="26:26" ht="15.75" customHeight="1">
      <c r="Z180" s="49"/>
    </row>
    <row r="181" spans="26:26" ht="15.75" customHeight="1">
      <c r="Z181" s="49"/>
    </row>
    <row r="182" spans="26:26" ht="15.75" customHeight="1">
      <c r="Z182" s="49"/>
    </row>
    <row r="183" spans="26:26" ht="15.75" customHeight="1">
      <c r="Z183" s="49"/>
    </row>
    <row r="184" spans="26:26" ht="15.75" customHeight="1">
      <c r="Z184" s="49"/>
    </row>
    <row r="185" spans="26:26" ht="15.75" customHeight="1">
      <c r="Z185" s="49"/>
    </row>
    <row r="186" spans="26:26" ht="15.75" customHeight="1">
      <c r="Z186" s="49"/>
    </row>
    <row r="187" spans="26:26" ht="15.75" customHeight="1">
      <c r="Z187" s="49"/>
    </row>
    <row r="188" spans="26:26" ht="15.75" customHeight="1">
      <c r="Z188" s="49"/>
    </row>
    <row r="189" spans="26:26" ht="15.75" customHeight="1">
      <c r="Z189" s="49"/>
    </row>
    <row r="190" spans="26:26" ht="15.75" customHeight="1">
      <c r="Z190" s="49"/>
    </row>
    <row r="191" spans="26:26" ht="15.75" customHeight="1">
      <c r="Z191" s="49"/>
    </row>
    <row r="192" spans="26:26" ht="15.75" customHeight="1">
      <c r="Z192" s="49"/>
    </row>
    <row r="193" spans="26:26" ht="15.75" customHeight="1">
      <c r="Z193" s="49"/>
    </row>
    <row r="194" spans="26:26" ht="15.75" customHeight="1">
      <c r="Z194" s="49"/>
    </row>
    <row r="195" spans="26:26" ht="15.75" customHeight="1">
      <c r="Z195" s="49"/>
    </row>
    <row r="196" spans="26:26" ht="15.75" customHeight="1">
      <c r="Z196" s="49"/>
    </row>
    <row r="197" spans="26:26" ht="15.75" customHeight="1">
      <c r="Z197" s="49"/>
    </row>
    <row r="198" spans="26:26" ht="15.75" customHeight="1">
      <c r="Z198" s="49"/>
    </row>
    <row r="199" spans="26:26" ht="15.75" customHeight="1">
      <c r="Z199" s="49"/>
    </row>
    <row r="200" spans="26:26" ht="15.75" customHeight="1">
      <c r="Z200" s="49"/>
    </row>
    <row r="201" spans="26:26" ht="15.75" customHeight="1">
      <c r="Z201" s="49"/>
    </row>
    <row r="202" spans="26:26" ht="15.75" customHeight="1">
      <c r="Z202" s="49"/>
    </row>
    <row r="203" spans="26:26" ht="15.75" customHeight="1">
      <c r="Z203" s="49"/>
    </row>
    <row r="204" spans="26:26" ht="15.75" customHeight="1">
      <c r="Z204" s="49"/>
    </row>
    <row r="205" spans="26:26" ht="15.75" customHeight="1">
      <c r="Z205" s="49"/>
    </row>
    <row r="206" spans="26:26" ht="15.75" customHeight="1">
      <c r="Z206" s="49"/>
    </row>
    <row r="207" spans="26:26" ht="15.75" customHeight="1">
      <c r="Z207" s="49"/>
    </row>
    <row r="208" spans="26:26" ht="15.75" customHeight="1">
      <c r="Z208" s="49"/>
    </row>
    <row r="209" spans="26:26" ht="15.75" customHeight="1">
      <c r="Z209" s="49"/>
    </row>
    <row r="210" spans="26:26" ht="15.75" customHeight="1">
      <c r="Z210" s="49"/>
    </row>
    <row r="211" spans="26:26" ht="15.75" customHeight="1">
      <c r="Z211" s="49"/>
    </row>
    <row r="212" spans="26:26" ht="15.75" customHeight="1">
      <c r="Z212" s="49"/>
    </row>
    <row r="213" spans="26:26" ht="15.75" customHeight="1">
      <c r="Z213" s="49"/>
    </row>
    <row r="214" spans="26:26" ht="15.75" customHeight="1">
      <c r="Z214" s="49"/>
    </row>
    <row r="215" spans="26:26" ht="15.75" customHeight="1">
      <c r="Z215" s="49"/>
    </row>
    <row r="216" spans="26:26" ht="15.75" customHeight="1">
      <c r="Z216" s="49"/>
    </row>
    <row r="217" spans="26:26" ht="15.75" customHeight="1">
      <c r="Z217" s="49"/>
    </row>
    <row r="218" spans="26:26" ht="15.75" customHeight="1">
      <c r="Z218" s="49"/>
    </row>
    <row r="219" spans="26:26" ht="15.75" customHeight="1">
      <c r="Z219" s="49"/>
    </row>
    <row r="220" spans="26:26" ht="15.75" customHeight="1">
      <c r="Z220" s="49"/>
    </row>
    <row r="221" spans="26:26" ht="15.75" customHeight="1">
      <c r="Z221" s="49"/>
    </row>
    <row r="222" spans="26:26" ht="15.75" customHeight="1">
      <c r="Z222" s="49"/>
    </row>
    <row r="223" spans="26:26" ht="15.75" customHeight="1">
      <c r="Z223" s="49"/>
    </row>
    <row r="224" spans="26:26" ht="15.75" customHeight="1">
      <c r="Z224" s="49"/>
    </row>
    <row r="225" spans="26:26" ht="15.75" customHeight="1">
      <c r="Z225" s="49"/>
    </row>
    <row r="226" spans="26:26" ht="15.75" customHeight="1">
      <c r="Z226" s="49"/>
    </row>
    <row r="227" spans="26:26" ht="15.75" customHeight="1">
      <c r="Z227" s="49"/>
    </row>
    <row r="228" spans="26:26" ht="15.75" customHeight="1">
      <c r="Z228" s="49"/>
    </row>
    <row r="229" spans="26:26" ht="15.75" customHeight="1">
      <c r="Z229" s="49"/>
    </row>
    <row r="230" spans="26:26" ht="15.75" customHeight="1">
      <c r="Z230" s="49"/>
    </row>
    <row r="231" spans="26:26" ht="15.75" customHeight="1">
      <c r="Z231" s="49"/>
    </row>
    <row r="232" spans="26:26" ht="15.75" customHeight="1">
      <c r="Z232" s="49"/>
    </row>
    <row r="233" spans="26:26" ht="15.75" customHeight="1">
      <c r="Z233" s="49"/>
    </row>
    <row r="234" spans="26:26" ht="15.75" customHeight="1">
      <c r="Z234" s="49"/>
    </row>
    <row r="235" spans="26:26" ht="15.75" customHeight="1">
      <c r="Z235" s="49"/>
    </row>
    <row r="236" spans="26:26" ht="15.75" customHeight="1">
      <c r="Z236" s="49"/>
    </row>
    <row r="237" spans="26:26" ht="15.75" customHeight="1">
      <c r="Z237" s="49"/>
    </row>
    <row r="238" spans="26:26" ht="15.75" customHeight="1">
      <c r="Z238" s="49"/>
    </row>
    <row r="239" spans="26:26" ht="15.75" customHeight="1">
      <c r="Z239" s="49"/>
    </row>
    <row r="240" spans="26:26" ht="15.75" customHeight="1">
      <c r="Z240" s="49"/>
    </row>
    <row r="241" spans="26:26" ht="15.75" customHeight="1">
      <c r="Z241" s="49"/>
    </row>
    <row r="242" spans="26:26" ht="15.75" customHeight="1">
      <c r="Z242" s="49"/>
    </row>
    <row r="243" spans="26:26" ht="15.75" customHeight="1">
      <c r="Z243" s="49"/>
    </row>
    <row r="244" spans="26:26" ht="15.75" customHeight="1">
      <c r="Z244" s="49"/>
    </row>
    <row r="245" spans="26:26" ht="15.75" customHeight="1">
      <c r="Z245" s="49"/>
    </row>
    <row r="246" spans="26:26" ht="15.75" customHeight="1">
      <c r="Z246" s="49"/>
    </row>
    <row r="247" spans="26:26" ht="15.75" customHeight="1">
      <c r="Z247" s="49"/>
    </row>
    <row r="248" spans="26:26" ht="15.75" customHeight="1">
      <c r="Z248" s="49"/>
    </row>
    <row r="249" spans="26:26" ht="15.75" customHeight="1">
      <c r="Z249" s="49"/>
    </row>
    <row r="250" spans="26:26" ht="15.75" customHeight="1">
      <c r="Z250" s="49"/>
    </row>
    <row r="251" spans="26:26" ht="15.75" customHeight="1">
      <c r="Z251" s="49"/>
    </row>
    <row r="252" spans="26:26" ht="15.75" customHeight="1">
      <c r="Z252" s="49"/>
    </row>
    <row r="253" spans="26:26" ht="15.75" customHeight="1">
      <c r="Z253" s="49"/>
    </row>
    <row r="254" spans="26:26" ht="15.75" customHeight="1">
      <c r="Z254" s="49"/>
    </row>
    <row r="255" spans="26:26" ht="15.75" customHeight="1">
      <c r="Z255" s="49"/>
    </row>
    <row r="256" spans="26:26" ht="15.75" customHeight="1">
      <c r="Z256" s="49"/>
    </row>
    <row r="257" spans="26:26" ht="15.75" customHeight="1">
      <c r="Z257" s="49"/>
    </row>
    <row r="258" spans="26:26" ht="15.75" customHeight="1">
      <c r="Z258" s="49"/>
    </row>
    <row r="259" spans="26:26" ht="15.75" customHeight="1">
      <c r="Z259" s="49"/>
    </row>
    <row r="260" spans="26:26" ht="15.75" customHeight="1">
      <c r="Z260" s="49"/>
    </row>
    <row r="261" spans="26:26" ht="15.75" customHeight="1">
      <c r="Z261" s="49"/>
    </row>
    <row r="262" spans="26:26" ht="15.75" customHeight="1">
      <c r="Z262" s="49"/>
    </row>
    <row r="263" spans="26:26" ht="15.75" customHeight="1">
      <c r="Z263" s="49"/>
    </row>
    <row r="264" spans="26:26" ht="15.75" customHeight="1">
      <c r="Z264" s="49"/>
    </row>
    <row r="265" spans="26:26" ht="15.75" customHeight="1">
      <c r="Z265" s="49"/>
    </row>
    <row r="266" spans="26:26" ht="15.75" customHeight="1">
      <c r="Z266" s="49"/>
    </row>
    <row r="267" spans="26:26" ht="15.75" customHeight="1">
      <c r="Z267" s="49"/>
    </row>
    <row r="268" spans="26:26" ht="15.75" customHeight="1">
      <c r="Z268" s="49"/>
    </row>
    <row r="269" spans="26:26" ht="15.75" customHeight="1">
      <c r="Z269" s="49"/>
    </row>
    <row r="270" spans="26:26" ht="15.75" customHeight="1">
      <c r="Z270" s="49"/>
    </row>
    <row r="271" spans="26:26" ht="15.75" customHeight="1">
      <c r="Z271" s="49"/>
    </row>
    <row r="272" spans="26:26" ht="15.75" customHeight="1">
      <c r="Z272" s="49"/>
    </row>
    <row r="273" spans="26:26" ht="15.75" customHeight="1">
      <c r="Z273" s="49"/>
    </row>
    <row r="274" spans="26:26" ht="15.75" customHeight="1">
      <c r="Z274" s="49"/>
    </row>
    <row r="275" spans="26:26" ht="15.75" customHeight="1">
      <c r="Z275" s="49"/>
    </row>
    <row r="276" spans="26:26" ht="15.75" customHeight="1">
      <c r="Z276" s="49"/>
    </row>
    <row r="277" spans="26:26" ht="15.75" customHeight="1">
      <c r="Z277" s="49"/>
    </row>
    <row r="278" spans="26:26" ht="15.75" customHeight="1">
      <c r="Z278" s="49"/>
    </row>
    <row r="279" spans="26:26" ht="15.75" customHeight="1">
      <c r="Z279" s="49"/>
    </row>
    <row r="280" spans="26:26" ht="15.75" customHeight="1">
      <c r="Z280" s="49"/>
    </row>
    <row r="281" spans="26:26" ht="15.75" customHeight="1">
      <c r="Z281" s="49"/>
    </row>
    <row r="282" spans="26:26" ht="15.75" customHeight="1">
      <c r="Z282" s="49"/>
    </row>
    <row r="283" spans="26:26" ht="15.75" customHeight="1">
      <c r="Z283" s="49"/>
    </row>
    <row r="284" spans="26:26" ht="15.75" customHeight="1">
      <c r="Z284" s="49"/>
    </row>
    <row r="285" spans="26:26" ht="15.75" customHeight="1">
      <c r="Z285" s="49"/>
    </row>
    <row r="286" spans="26:26" ht="15.75" customHeight="1">
      <c r="Z286" s="49"/>
    </row>
    <row r="287" spans="26:26" ht="15.75" customHeight="1">
      <c r="Z287" s="49"/>
    </row>
    <row r="288" spans="26:26" ht="15.75" customHeight="1">
      <c r="Z288" s="49"/>
    </row>
    <row r="289" spans="26:26" ht="15.75" customHeight="1">
      <c r="Z289" s="49"/>
    </row>
    <row r="290" spans="26:26" ht="15.75" customHeight="1">
      <c r="Z290" s="49"/>
    </row>
    <row r="291" spans="26:26" ht="15.75" customHeight="1">
      <c r="Z291" s="49"/>
    </row>
    <row r="292" spans="26:26" ht="15.75" customHeight="1">
      <c r="Z292" s="49"/>
    </row>
    <row r="293" spans="26:26" ht="15.75" customHeight="1">
      <c r="Z293" s="49"/>
    </row>
    <row r="294" spans="26:26" ht="15.75" customHeight="1">
      <c r="Z294" s="49"/>
    </row>
    <row r="295" spans="26:26" ht="15.75" customHeight="1">
      <c r="Z295" s="49"/>
    </row>
    <row r="296" spans="26:26" ht="15.75" customHeight="1">
      <c r="Z296" s="49"/>
    </row>
    <row r="297" spans="26:26" ht="15.75" customHeight="1">
      <c r="Z297" s="49"/>
    </row>
    <row r="298" spans="26:26" ht="15.75" customHeight="1">
      <c r="Z298" s="49"/>
    </row>
    <row r="299" spans="26:26" ht="15.75" customHeight="1">
      <c r="Z299" s="49"/>
    </row>
    <row r="300" spans="26:26" ht="15.75" customHeight="1">
      <c r="Z300" s="49"/>
    </row>
    <row r="301" spans="26:26" ht="15.75" customHeight="1">
      <c r="Z301" s="49"/>
    </row>
    <row r="302" spans="26:26" ht="15.75" customHeight="1">
      <c r="Z302" s="49"/>
    </row>
    <row r="303" spans="26:26" ht="15.75" customHeight="1">
      <c r="Z303" s="49"/>
    </row>
    <row r="304" spans="26:26" ht="15.75" customHeight="1">
      <c r="Z304" s="49"/>
    </row>
    <row r="305" spans="26:26" ht="15.75" customHeight="1">
      <c r="Z305" s="49"/>
    </row>
    <row r="306" spans="26:26" ht="15.75" customHeight="1">
      <c r="Z306" s="49"/>
    </row>
    <row r="307" spans="26:26" ht="15.75" customHeight="1">
      <c r="Z307" s="49"/>
    </row>
    <row r="308" spans="26:26" ht="15.75" customHeight="1">
      <c r="Z308" s="49"/>
    </row>
    <row r="309" spans="26:26" ht="15.75" customHeight="1">
      <c r="Z309" s="49"/>
    </row>
    <row r="310" spans="26:26" ht="15.75" customHeight="1">
      <c r="Z310" s="49"/>
    </row>
    <row r="311" spans="26:26" ht="15.75" customHeight="1">
      <c r="Z311" s="49"/>
    </row>
    <row r="312" spans="26:26" ht="15.75" customHeight="1">
      <c r="Z312" s="49"/>
    </row>
    <row r="313" spans="26:26" ht="15.75" customHeight="1">
      <c r="Z313" s="49"/>
    </row>
    <row r="314" spans="26:26" ht="15.75" customHeight="1">
      <c r="Z314" s="49"/>
    </row>
    <row r="315" spans="26:26" ht="15.75" customHeight="1">
      <c r="Z315" s="49"/>
    </row>
    <row r="316" spans="26:26" ht="15.75" customHeight="1">
      <c r="Z316" s="49"/>
    </row>
    <row r="317" spans="26:26" ht="15.75" customHeight="1">
      <c r="Z317" s="49"/>
    </row>
    <row r="318" spans="26:26" ht="15.75" customHeight="1">
      <c r="Z318" s="49"/>
    </row>
    <row r="319" spans="26:26" ht="15.75" customHeight="1">
      <c r="Z319" s="49"/>
    </row>
    <row r="320" spans="26:26" ht="15.75" customHeight="1">
      <c r="Z320" s="49"/>
    </row>
    <row r="321" spans="26:26" ht="15.75" customHeight="1">
      <c r="Z321" s="49"/>
    </row>
    <row r="322" spans="26:26" ht="15.75" customHeight="1">
      <c r="Z322" s="49"/>
    </row>
    <row r="323" spans="26:26" ht="15.75" customHeight="1">
      <c r="Z323" s="49"/>
    </row>
    <row r="324" spans="26:26" ht="15.75" customHeight="1">
      <c r="Z324" s="49"/>
    </row>
    <row r="325" spans="26:26" ht="15.75" customHeight="1">
      <c r="Z325" s="49"/>
    </row>
    <row r="326" spans="26:26" ht="15.75" customHeight="1">
      <c r="Z326" s="49"/>
    </row>
    <row r="327" spans="26:26" ht="15.75" customHeight="1">
      <c r="Z327" s="49"/>
    </row>
    <row r="328" spans="26:26" ht="15.75" customHeight="1">
      <c r="Z328" s="49"/>
    </row>
    <row r="329" spans="26:26" ht="15.75" customHeight="1">
      <c r="Z329" s="49"/>
    </row>
    <row r="330" spans="26:26" ht="15.75" customHeight="1">
      <c r="Z330" s="49"/>
    </row>
    <row r="331" spans="26:26" ht="15.75" customHeight="1">
      <c r="Z331" s="49"/>
    </row>
    <row r="332" spans="26:26" ht="15.75" customHeight="1">
      <c r="Z332" s="49"/>
    </row>
    <row r="333" spans="26:26" ht="15.75" customHeight="1">
      <c r="Z333" s="49"/>
    </row>
    <row r="334" spans="26:26" ht="15.75" customHeight="1">
      <c r="Z334" s="49"/>
    </row>
    <row r="335" spans="26:26" ht="15.75" customHeight="1">
      <c r="Z335" s="49"/>
    </row>
    <row r="336" spans="26:26" ht="15.75" customHeight="1">
      <c r="Z336" s="49"/>
    </row>
    <row r="337" spans="26:26" ht="15.75" customHeight="1">
      <c r="Z337" s="49"/>
    </row>
    <row r="338" spans="26:26" ht="15.75" customHeight="1">
      <c r="Z338" s="49"/>
    </row>
    <row r="339" spans="26:26" ht="15.75" customHeight="1">
      <c r="Z339" s="49"/>
    </row>
    <row r="340" spans="26:26" ht="15.75" customHeight="1">
      <c r="Z340" s="49"/>
    </row>
    <row r="341" spans="26:26" ht="15.75" customHeight="1">
      <c r="Z341" s="49"/>
    </row>
    <row r="342" spans="26:26" ht="15.75" customHeight="1">
      <c r="Z342" s="49"/>
    </row>
    <row r="343" spans="26:26" ht="15.75" customHeight="1">
      <c r="Z343" s="49"/>
    </row>
    <row r="344" spans="26:26" ht="15.75" customHeight="1">
      <c r="Z344" s="49"/>
    </row>
    <row r="345" spans="26:26" ht="15.75" customHeight="1">
      <c r="Z345" s="49"/>
    </row>
    <row r="346" spans="26:26" ht="15.75" customHeight="1">
      <c r="Z346" s="49"/>
    </row>
    <row r="347" spans="26:26" ht="15.75" customHeight="1">
      <c r="Z347" s="49"/>
    </row>
    <row r="348" spans="26:26" ht="15.75" customHeight="1">
      <c r="Z348" s="49"/>
    </row>
    <row r="349" spans="26:26" ht="15.75" customHeight="1">
      <c r="Z349" s="49"/>
    </row>
    <row r="350" spans="26:26" ht="15.75" customHeight="1">
      <c r="Z350" s="49"/>
    </row>
    <row r="351" spans="26:26" ht="15.75" customHeight="1">
      <c r="Z351" s="49"/>
    </row>
    <row r="352" spans="26:26" ht="15.75" customHeight="1">
      <c r="Z352" s="49"/>
    </row>
    <row r="353" spans="26:26" ht="15.75" customHeight="1">
      <c r="Z353" s="49"/>
    </row>
    <row r="354" spans="26:26" ht="15.75" customHeight="1">
      <c r="Z354" s="49"/>
    </row>
    <row r="355" spans="26:26" ht="15.75" customHeight="1">
      <c r="Z355" s="49"/>
    </row>
    <row r="356" spans="26:26" ht="15.75" customHeight="1">
      <c r="Z356" s="49"/>
    </row>
    <row r="357" spans="26:26" ht="15.75" customHeight="1">
      <c r="Z357" s="49"/>
    </row>
    <row r="358" spans="26:26" ht="15.75" customHeight="1">
      <c r="Z358" s="49"/>
    </row>
    <row r="359" spans="26:26" ht="15.75" customHeight="1">
      <c r="Z359" s="49"/>
    </row>
    <row r="360" spans="26:26" ht="15.75" customHeight="1">
      <c r="Z360" s="49"/>
    </row>
    <row r="361" spans="26:26" ht="15.75" customHeight="1">
      <c r="Z361" s="49"/>
    </row>
    <row r="362" spans="26:26" ht="15.75" customHeight="1">
      <c r="Z362" s="49"/>
    </row>
    <row r="363" spans="26:26" ht="15.75" customHeight="1">
      <c r="Z363" s="49"/>
    </row>
    <row r="364" spans="26:26" ht="15.75" customHeight="1">
      <c r="Z364" s="49"/>
    </row>
    <row r="365" spans="26:26" ht="15.75" customHeight="1">
      <c r="Z365" s="49"/>
    </row>
    <row r="366" spans="26:26" ht="15.75" customHeight="1">
      <c r="Z366" s="49"/>
    </row>
    <row r="367" spans="26:26" ht="15.75" customHeight="1">
      <c r="Z367" s="49"/>
    </row>
    <row r="368" spans="26:26" ht="15.75" customHeight="1">
      <c r="Z368" s="49"/>
    </row>
    <row r="369" spans="26:26" ht="15.75" customHeight="1">
      <c r="Z369" s="49"/>
    </row>
    <row r="370" spans="26:26" ht="15.75" customHeight="1">
      <c r="Z370" s="49"/>
    </row>
    <row r="371" spans="26:26" ht="15.75" customHeight="1">
      <c r="Z371" s="49"/>
    </row>
    <row r="372" spans="26:26" ht="15.75" customHeight="1">
      <c r="Z372" s="49"/>
    </row>
    <row r="373" spans="26:26" ht="15.75" customHeight="1">
      <c r="Z373" s="49"/>
    </row>
    <row r="374" spans="26:26" ht="15.75" customHeight="1">
      <c r="Z374" s="49"/>
    </row>
    <row r="375" spans="26:26" ht="15.75" customHeight="1">
      <c r="Z375" s="49"/>
    </row>
    <row r="376" spans="26:26" ht="15.75" customHeight="1">
      <c r="Z376" s="49"/>
    </row>
    <row r="377" spans="26:26" ht="15.75" customHeight="1">
      <c r="Z377" s="49"/>
    </row>
    <row r="378" spans="26:26" ht="15.75" customHeight="1">
      <c r="Z378" s="49"/>
    </row>
    <row r="379" spans="26:26" ht="15.75" customHeight="1">
      <c r="Z379" s="49"/>
    </row>
    <row r="380" spans="26:26" ht="15.75" customHeight="1">
      <c r="Z380" s="49"/>
    </row>
    <row r="381" spans="26:26" ht="15.75" customHeight="1">
      <c r="Z381" s="49"/>
    </row>
    <row r="382" spans="26:26" ht="15.75" customHeight="1">
      <c r="Z382" s="49"/>
    </row>
    <row r="383" spans="26:26" ht="15.75" customHeight="1">
      <c r="Z383" s="49"/>
    </row>
    <row r="384" spans="26:26" ht="15.75" customHeight="1">
      <c r="Z384" s="49"/>
    </row>
    <row r="385" spans="26:26" ht="15.75" customHeight="1">
      <c r="Z385" s="49"/>
    </row>
    <row r="386" spans="26:26" ht="15.75" customHeight="1">
      <c r="Z386" s="49"/>
    </row>
    <row r="387" spans="26:26" ht="15.75" customHeight="1">
      <c r="Z387" s="49"/>
    </row>
    <row r="388" spans="26:26" ht="15.75" customHeight="1">
      <c r="Z388" s="49"/>
    </row>
    <row r="389" spans="26:26" ht="15.75" customHeight="1">
      <c r="Z389" s="49"/>
    </row>
    <row r="390" spans="26:26" ht="15.75" customHeight="1">
      <c r="Z390" s="49"/>
    </row>
    <row r="391" spans="26:26" ht="15.75" customHeight="1">
      <c r="Z391" s="49"/>
    </row>
    <row r="392" spans="26:26" ht="15.75" customHeight="1">
      <c r="Z392" s="49"/>
    </row>
    <row r="393" spans="26:26" ht="15.75" customHeight="1">
      <c r="Z393" s="49"/>
    </row>
    <row r="394" spans="26:26" ht="15.75" customHeight="1">
      <c r="Z394" s="49"/>
    </row>
    <row r="395" spans="26:26" ht="15.75" customHeight="1">
      <c r="Z395" s="49"/>
    </row>
    <row r="396" spans="26:26" ht="15.75" customHeight="1">
      <c r="Z396" s="49"/>
    </row>
    <row r="397" spans="26:26" ht="15.75" customHeight="1">
      <c r="Z397" s="49"/>
    </row>
    <row r="398" spans="26:26" ht="15.75" customHeight="1">
      <c r="Z398" s="49"/>
    </row>
    <row r="399" spans="26:26" ht="15.75" customHeight="1">
      <c r="Z399" s="49"/>
    </row>
    <row r="400" spans="26:26" ht="15.75" customHeight="1">
      <c r="Z400" s="49"/>
    </row>
    <row r="401" spans="26:26" ht="15.75" customHeight="1">
      <c r="Z401" s="49"/>
    </row>
    <row r="402" spans="26:26" ht="15.75" customHeight="1">
      <c r="Z402" s="49"/>
    </row>
    <row r="403" spans="26:26" ht="15.75" customHeight="1">
      <c r="Z403" s="49"/>
    </row>
    <row r="404" spans="26:26" ht="15.75" customHeight="1">
      <c r="Z404" s="49"/>
    </row>
    <row r="405" spans="26:26" ht="15.75" customHeight="1">
      <c r="Z405" s="49"/>
    </row>
    <row r="406" spans="26:26" ht="15.75" customHeight="1">
      <c r="Z406" s="49"/>
    </row>
    <row r="407" spans="26:26" ht="15.75" customHeight="1">
      <c r="Z407" s="49"/>
    </row>
    <row r="408" spans="26:26" ht="15.75" customHeight="1">
      <c r="Z408" s="49"/>
    </row>
    <row r="409" spans="26:26" ht="15.75" customHeight="1">
      <c r="Z409" s="49"/>
    </row>
    <row r="410" spans="26:26" ht="15.75" customHeight="1">
      <c r="Z410" s="49"/>
    </row>
    <row r="411" spans="26:26" ht="15.75" customHeight="1">
      <c r="Z411" s="49"/>
    </row>
    <row r="412" spans="26:26" ht="15.75" customHeight="1">
      <c r="Z412" s="49"/>
    </row>
    <row r="413" spans="26:26" ht="15.75" customHeight="1">
      <c r="Z413" s="49"/>
    </row>
    <row r="414" spans="26:26" ht="15.75" customHeight="1">
      <c r="Z414" s="49"/>
    </row>
    <row r="415" spans="26:26" ht="15.75" customHeight="1">
      <c r="Z415" s="49"/>
    </row>
    <row r="416" spans="26:26" ht="15.75" customHeight="1">
      <c r="Z416" s="49"/>
    </row>
    <row r="417" spans="26:26" ht="15.75" customHeight="1">
      <c r="Z417" s="49"/>
    </row>
    <row r="418" spans="26:26" ht="15.75" customHeight="1">
      <c r="Z418" s="49"/>
    </row>
    <row r="419" spans="26:26" ht="15.75" customHeight="1">
      <c r="Z419" s="49"/>
    </row>
    <row r="420" spans="26:26" ht="15.75" customHeight="1">
      <c r="Z420" s="49"/>
    </row>
    <row r="421" spans="26:26" ht="15.75" customHeight="1">
      <c r="Z421" s="49"/>
    </row>
    <row r="422" spans="26:26" ht="15.75" customHeight="1">
      <c r="Z422" s="49"/>
    </row>
    <row r="423" spans="26:26" ht="15.75" customHeight="1">
      <c r="Z423" s="49"/>
    </row>
    <row r="424" spans="26:26" ht="15.75" customHeight="1">
      <c r="Z424" s="49"/>
    </row>
    <row r="425" spans="26:26" ht="15.75" customHeight="1">
      <c r="Z425" s="49"/>
    </row>
    <row r="426" spans="26:26" ht="15.75" customHeight="1">
      <c r="Z426" s="49"/>
    </row>
    <row r="427" spans="26:26" ht="15.75" customHeight="1">
      <c r="Z427" s="49"/>
    </row>
    <row r="428" spans="26:26" ht="15.75" customHeight="1">
      <c r="Z428" s="49"/>
    </row>
    <row r="429" spans="26:26" ht="15.75" customHeight="1">
      <c r="Z429" s="49"/>
    </row>
    <row r="430" spans="26:26" ht="15.75" customHeight="1">
      <c r="Z430" s="49"/>
    </row>
    <row r="431" spans="26:26" ht="15.75" customHeight="1">
      <c r="Z431" s="49"/>
    </row>
    <row r="432" spans="26:26" ht="15.75" customHeight="1">
      <c r="Z432" s="49"/>
    </row>
    <row r="433" spans="26:26" ht="15.75" customHeight="1">
      <c r="Z433" s="49"/>
    </row>
    <row r="434" spans="26:26" ht="15.75" customHeight="1">
      <c r="Z434" s="49"/>
    </row>
    <row r="435" spans="26:26" ht="15.75" customHeight="1">
      <c r="Z435" s="49"/>
    </row>
    <row r="436" spans="26:26" ht="15.75" customHeight="1">
      <c r="Z436" s="49"/>
    </row>
    <row r="437" spans="26:26" ht="15.75" customHeight="1">
      <c r="Z437" s="49"/>
    </row>
    <row r="438" spans="26:26" ht="15.75" customHeight="1">
      <c r="Z438" s="49"/>
    </row>
    <row r="439" spans="26:26" ht="15.75" customHeight="1">
      <c r="Z439" s="49"/>
    </row>
    <row r="440" spans="26:26" ht="15.75" customHeight="1">
      <c r="Z440" s="49"/>
    </row>
    <row r="441" spans="26:26" ht="15.75" customHeight="1">
      <c r="Z441" s="49"/>
    </row>
    <row r="442" spans="26:26" ht="15.75" customHeight="1">
      <c r="Z442" s="49"/>
    </row>
    <row r="443" spans="26:26" ht="15.75" customHeight="1">
      <c r="Z443" s="49"/>
    </row>
    <row r="444" spans="26:26" ht="15.75" customHeight="1">
      <c r="Z444" s="49"/>
    </row>
    <row r="445" spans="26:26" ht="15.75" customHeight="1">
      <c r="Z445" s="49"/>
    </row>
    <row r="446" spans="26:26" ht="15.75" customHeight="1">
      <c r="Z446" s="49"/>
    </row>
    <row r="447" spans="26:26" ht="15.75" customHeight="1">
      <c r="Z447" s="49"/>
    </row>
    <row r="448" spans="26:26" ht="15.75" customHeight="1">
      <c r="Z448" s="49"/>
    </row>
    <row r="449" spans="26:26" ht="15.75" customHeight="1">
      <c r="Z449" s="49"/>
    </row>
    <row r="450" spans="26:26" ht="15.75" customHeight="1">
      <c r="Z450" s="49"/>
    </row>
    <row r="451" spans="26:26" ht="15.75" customHeight="1">
      <c r="Z451" s="49"/>
    </row>
    <row r="452" spans="26:26" ht="15.75" customHeight="1">
      <c r="Z452" s="49"/>
    </row>
    <row r="453" spans="26:26" ht="15.75" customHeight="1">
      <c r="Z453" s="49"/>
    </row>
    <row r="454" spans="26:26" ht="15.75" customHeight="1">
      <c r="Z454" s="49"/>
    </row>
    <row r="455" spans="26:26" ht="15.75" customHeight="1">
      <c r="Z455" s="49"/>
    </row>
    <row r="456" spans="26:26" ht="15.75" customHeight="1">
      <c r="Z456" s="49"/>
    </row>
    <row r="457" spans="26:26" ht="15.75" customHeight="1">
      <c r="Z457" s="49"/>
    </row>
    <row r="458" spans="26:26" ht="15.75" customHeight="1">
      <c r="Z458" s="49"/>
    </row>
    <row r="459" spans="26:26" ht="15.75" customHeight="1">
      <c r="Z459" s="49"/>
    </row>
    <row r="460" spans="26:26" ht="15.75" customHeight="1">
      <c r="Z460" s="49"/>
    </row>
    <row r="461" spans="26:26" ht="15.75" customHeight="1">
      <c r="Z461" s="49"/>
    </row>
    <row r="462" spans="26:26" ht="15.75" customHeight="1">
      <c r="Z462" s="49"/>
    </row>
    <row r="463" spans="26:26" ht="15.75" customHeight="1">
      <c r="Z463" s="49"/>
    </row>
    <row r="464" spans="26:26" ht="15.75" customHeight="1">
      <c r="Z464" s="49"/>
    </row>
    <row r="465" spans="26:26" ht="15.75" customHeight="1">
      <c r="Z465" s="49"/>
    </row>
    <row r="466" spans="26:26" ht="15.75" customHeight="1">
      <c r="Z466" s="49"/>
    </row>
    <row r="467" spans="26:26" ht="15.75" customHeight="1">
      <c r="Z467" s="49"/>
    </row>
    <row r="468" spans="26:26" ht="15.75" customHeight="1">
      <c r="Z468" s="49"/>
    </row>
    <row r="469" spans="26:26" ht="15.75" customHeight="1">
      <c r="Z469" s="49"/>
    </row>
    <row r="470" spans="26:26" ht="15.75" customHeight="1">
      <c r="Z470" s="49"/>
    </row>
    <row r="471" spans="26:26" ht="15.75" customHeight="1">
      <c r="Z471" s="49"/>
    </row>
    <row r="472" spans="26:26" ht="15.75" customHeight="1">
      <c r="Z472" s="49"/>
    </row>
    <row r="473" spans="26:26" ht="15.75" customHeight="1">
      <c r="Z473" s="49"/>
    </row>
    <row r="474" spans="26:26" ht="15.75" customHeight="1">
      <c r="Z474" s="49"/>
    </row>
    <row r="475" spans="26:26" ht="15.75" customHeight="1">
      <c r="Z475" s="49"/>
    </row>
    <row r="476" spans="26:26" ht="15.75" customHeight="1">
      <c r="Z476" s="49"/>
    </row>
    <row r="477" spans="26:26" ht="15.75" customHeight="1">
      <c r="Z477" s="49"/>
    </row>
    <row r="478" spans="26:26" ht="15.75" customHeight="1">
      <c r="Z478" s="49"/>
    </row>
    <row r="479" spans="26:26" ht="15.75" customHeight="1">
      <c r="Z479" s="49"/>
    </row>
    <row r="480" spans="26:26" ht="15.75" customHeight="1">
      <c r="Z480" s="49"/>
    </row>
    <row r="481" spans="26:26" ht="15.75" customHeight="1">
      <c r="Z481" s="49"/>
    </row>
    <row r="482" spans="26:26" ht="15.75" customHeight="1">
      <c r="Z482" s="49"/>
    </row>
    <row r="483" spans="26:26" ht="15.75" customHeight="1">
      <c r="Z483" s="49"/>
    </row>
    <row r="484" spans="26:26" ht="15.75" customHeight="1">
      <c r="Z484" s="49"/>
    </row>
    <row r="485" spans="26:26" ht="15.75" customHeight="1">
      <c r="Z485" s="49"/>
    </row>
    <row r="486" spans="26:26" ht="15.75" customHeight="1">
      <c r="Z486" s="49"/>
    </row>
    <row r="487" spans="26:26" ht="15.75" customHeight="1">
      <c r="Z487" s="49"/>
    </row>
    <row r="488" spans="26:26" ht="15.75" customHeight="1">
      <c r="Z488" s="49"/>
    </row>
    <row r="489" spans="26:26" ht="15.75" customHeight="1">
      <c r="Z489" s="49"/>
    </row>
    <row r="490" spans="26:26" ht="15.75" customHeight="1">
      <c r="Z490" s="49"/>
    </row>
    <row r="491" spans="26:26" ht="15.75" customHeight="1">
      <c r="Z491" s="49"/>
    </row>
    <row r="492" spans="26:26" ht="15.75" customHeight="1">
      <c r="Z492" s="49"/>
    </row>
    <row r="493" spans="26:26" ht="15.75" customHeight="1">
      <c r="Z493" s="49"/>
    </row>
    <row r="494" spans="26:26" ht="15.75" customHeight="1">
      <c r="Z494" s="49"/>
    </row>
    <row r="495" spans="26:26" ht="15.75" customHeight="1">
      <c r="Z495" s="49"/>
    </row>
    <row r="496" spans="26:26" ht="15.75" customHeight="1">
      <c r="Z496" s="49"/>
    </row>
    <row r="497" spans="26:26" ht="15.75" customHeight="1">
      <c r="Z497" s="49"/>
    </row>
    <row r="498" spans="26:26" ht="15.75" customHeight="1">
      <c r="Z498" s="49"/>
    </row>
    <row r="499" spans="26:26" ht="15.75" customHeight="1">
      <c r="Z499" s="49"/>
    </row>
    <row r="500" spans="26:26" ht="15.75" customHeight="1">
      <c r="Z500" s="49"/>
    </row>
    <row r="501" spans="26:26" ht="15.75" customHeight="1">
      <c r="Z501" s="49"/>
    </row>
    <row r="502" spans="26:26" ht="15.75" customHeight="1">
      <c r="Z502" s="49"/>
    </row>
    <row r="503" spans="26:26" ht="15.75" customHeight="1">
      <c r="Z503" s="49"/>
    </row>
    <row r="504" spans="26:26" ht="15.75" customHeight="1">
      <c r="Z504" s="49"/>
    </row>
    <row r="505" spans="26:26" ht="15.75" customHeight="1">
      <c r="Z505" s="49"/>
    </row>
    <row r="506" spans="26:26" ht="15.75" customHeight="1">
      <c r="Z506" s="49"/>
    </row>
    <row r="507" spans="26:26" ht="15.75" customHeight="1">
      <c r="Z507" s="49"/>
    </row>
    <row r="508" spans="26:26" ht="15.75" customHeight="1">
      <c r="Z508" s="49"/>
    </row>
    <row r="509" spans="26:26" ht="15.75" customHeight="1">
      <c r="Z509" s="49"/>
    </row>
    <row r="510" spans="26:26" ht="15.75" customHeight="1">
      <c r="Z510" s="49"/>
    </row>
    <row r="511" spans="26:26" ht="15.75" customHeight="1">
      <c r="Z511" s="49"/>
    </row>
    <row r="512" spans="26:26" ht="15.75" customHeight="1">
      <c r="Z512" s="49"/>
    </row>
    <row r="513" spans="26:26" ht="15.75" customHeight="1">
      <c r="Z513" s="49"/>
    </row>
    <row r="514" spans="26:26" ht="15.75" customHeight="1">
      <c r="Z514" s="49"/>
    </row>
    <row r="515" spans="26:26" ht="15.75" customHeight="1">
      <c r="Z515" s="49"/>
    </row>
    <row r="516" spans="26:26" ht="15.75" customHeight="1">
      <c r="Z516" s="49"/>
    </row>
    <row r="517" spans="26:26" ht="15.75" customHeight="1">
      <c r="Z517" s="49"/>
    </row>
    <row r="518" spans="26:26" ht="15.75" customHeight="1">
      <c r="Z518" s="49"/>
    </row>
    <row r="519" spans="26:26" ht="15.75" customHeight="1">
      <c r="Z519" s="49"/>
    </row>
    <row r="520" spans="26:26" ht="15.75" customHeight="1">
      <c r="Z520" s="49"/>
    </row>
    <row r="521" spans="26:26" ht="15.75" customHeight="1">
      <c r="Z521" s="49"/>
    </row>
    <row r="522" spans="26:26" ht="15.75" customHeight="1">
      <c r="Z522" s="49"/>
    </row>
    <row r="523" spans="26:26" ht="15.75" customHeight="1">
      <c r="Z523" s="49"/>
    </row>
    <row r="524" spans="26:26" ht="15.75" customHeight="1">
      <c r="Z524" s="49"/>
    </row>
    <row r="525" spans="26:26" ht="15.75" customHeight="1">
      <c r="Z525" s="49"/>
    </row>
    <row r="526" spans="26:26" ht="15.75" customHeight="1">
      <c r="Z526" s="49"/>
    </row>
    <row r="527" spans="26:26" ht="15.75" customHeight="1">
      <c r="Z527" s="49"/>
    </row>
    <row r="528" spans="26:26" ht="15.75" customHeight="1">
      <c r="Z528" s="49"/>
    </row>
    <row r="529" spans="26:26" ht="15.75" customHeight="1">
      <c r="Z529" s="49"/>
    </row>
    <row r="530" spans="26:26" ht="15.75" customHeight="1">
      <c r="Z530" s="49"/>
    </row>
    <row r="531" spans="26:26" ht="15.75" customHeight="1">
      <c r="Z531" s="49"/>
    </row>
    <row r="532" spans="26:26" ht="15.75" customHeight="1">
      <c r="Z532" s="49"/>
    </row>
    <row r="533" spans="26:26" ht="15.75" customHeight="1">
      <c r="Z533" s="49"/>
    </row>
    <row r="534" spans="26:26" ht="15.75" customHeight="1">
      <c r="Z534" s="49"/>
    </row>
    <row r="535" spans="26:26" ht="15.75" customHeight="1">
      <c r="Z535" s="49"/>
    </row>
    <row r="536" spans="26:26" ht="15.75" customHeight="1">
      <c r="Z536" s="49"/>
    </row>
    <row r="537" spans="26:26" ht="15.75" customHeight="1">
      <c r="Z537" s="49"/>
    </row>
    <row r="538" spans="26:26" ht="15.75" customHeight="1">
      <c r="Z538" s="49"/>
    </row>
    <row r="539" spans="26:26" ht="15.75" customHeight="1">
      <c r="Z539" s="49"/>
    </row>
    <row r="540" spans="26:26" ht="15.75" customHeight="1">
      <c r="Z540" s="49"/>
    </row>
    <row r="541" spans="26:26" ht="15.75" customHeight="1">
      <c r="Z541" s="49"/>
    </row>
    <row r="542" spans="26:26" ht="15.75" customHeight="1">
      <c r="Z542" s="49"/>
    </row>
    <row r="543" spans="26:26" ht="15.75" customHeight="1">
      <c r="Z543" s="49"/>
    </row>
    <row r="544" spans="26:26" ht="15.75" customHeight="1">
      <c r="Z544" s="49"/>
    </row>
    <row r="545" spans="26:26" ht="15.75" customHeight="1">
      <c r="Z545" s="49"/>
    </row>
    <row r="546" spans="26:26" ht="15.75" customHeight="1">
      <c r="Z546" s="49"/>
    </row>
    <row r="547" spans="26:26" ht="15.75" customHeight="1">
      <c r="Z547" s="49"/>
    </row>
    <row r="548" spans="26:26" ht="15.75" customHeight="1">
      <c r="Z548" s="49"/>
    </row>
    <row r="549" spans="26:26" ht="15.75" customHeight="1">
      <c r="Z549" s="49"/>
    </row>
    <row r="550" spans="26:26" ht="15.75" customHeight="1">
      <c r="Z550" s="49"/>
    </row>
    <row r="551" spans="26:26" ht="15.75" customHeight="1">
      <c r="Z551" s="49"/>
    </row>
    <row r="552" spans="26:26" ht="15.75" customHeight="1">
      <c r="Z552" s="49"/>
    </row>
    <row r="553" spans="26:26" ht="15.75" customHeight="1">
      <c r="Z553" s="49"/>
    </row>
    <row r="554" spans="26:26" ht="15.75" customHeight="1">
      <c r="Z554" s="49"/>
    </row>
    <row r="555" spans="26:26" ht="15.75" customHeight="1">
      <c r="Z555" s="49"/>
    </row>
    <row r="556" spans="26:26" ht="15.75" customHeight="1">
      <c r="Z556" s="49"/>
    </row>
    <row r="557" spans="26:26" ht="15.75" customHeight="1">
      <c r="Z557" s="49"/>
    </row>
    <row r="558" spans="26:26" ht="15.75" customHeight="1">
      <c r="Z558" s="49"/>
    </row>
    <row r="559" spans="26:26" ht="15.75" customHeight="1">
      <c r="Z559" s="49"/>
    </row>
    <row r="560" spans="26:26" ht="15.75" customHeight="1">
      <c r="Z560" s="49"/>
    </row>
    <row r="561" spans="26:26" ht="15.75" customHeight="1">
      <c r="Z561" s="49"/>
    </row>
    <row r="562" spans="26:26" ht="15.75" customHeight="1">
      <c r="Z562" s="49"/>
    </row>
    <row r="563" spans="26:26" ht="15.75" customHeight="1">
      <c r="Z563" s="49"/>
    </row>
    <row r="564" spans="26:26" ht="15.75" customHeight="1">
      <c r="Z564" s="49"/>
    </row>
    <row r="565" spans="26:26" ht="15.75" customHeight="1">
      <c r="Z565" s="49"/>
    </row>
    <row r="566" spans="26:26" ht="15.75" customHeight="1">
      <c r="Z566" s="49"/>
    </row>
    <row r="567" spans="26:26" ht="15.75" customHeight="1">
      <c r="Z567" s="49"/>
    </row>
    <row r="568" spans="26:26" ht="15.75" customHeight="1">
      <c r="Z568" s="49"/>
    </row>
    <row r="569" spans="26:26" ht="15.75" customHeight="1">
      <c r="Z569" s="49"/>
    </row>
    <row r="570" spans="26:26" ht="15.75" customHeight="1">
      <c r="Z570" s="49"/>
    </row>
    <row r="571" spans="26:26" ht="15.75" customHeight="1">
      <c r="Z571" s="49"/>
    </row>
    <row r="572" spans="26:26" ht="15.75" customHeight="1">
      <c r="Z572" s="49"/>
    </row>
    <row r="573" spans="26:26" ht="15.75" customHeight="1">
      <c r="Z573" s="49"/>
    </row>
    <row r="574" spans="26:26" ht="15.75" customHeight="1">
      <c r="Z574" s="49"/>
    </row>
    <row r="575" spans="26:26" ht="15.75" customHeight="1">
      <c r="Z575" s="49"/>
    </row>
    <row r="576" spans="26:26" ht="15.75" customHeight="1">
      <c r="Z576" s="49"/>
    </row>
    <row r="577" spans="26:26" ht="15.75" customHeight="1">
      <c r="Z577" s="49"/>
    </row>
    <row r="578" spans="26:26" ht="15.75" customHeight="1">
      <c r="Z578" s="49"/>
    </row>
    <row r="579" spans="26:26" ht="15.75" customHeight="1">
      <c r="Z579" s="49"/>
    </row>
    <row r="580" spans="26:26" ht="15.75" customHeight="1">
      <c r="Z580" s="49"/>
    </row>
    <row r="581" spans="26:26" ht="15.75" customHeight="1">
      <c r="Z581" s="49"/>
    </row>
    <row r="582" spans="26:26" ht="15.75" customHeight="1">
      <c r="Z582" s="49"/>
    </row>
    <row r="583" spans="26:26" ht="15.75" customHeight="1">
      <c r="Z583" s="49"/>
    </row>
    <row r="584" spans="26:26" ht="15.75" customHeight="1">
      <c r="Z584" s="49"/>
    </row>
    <row r="585" spans="26:26" ht="15.75" customHeight="1">
      <c r="Z585" s="49"/>
    </row>
    <row r="586" spans="26:26" ht="15.75" customHeight="1">
      <c r="Z586" s="49"/>
    </row>
    <row r="587" spans="26:26" ht="15.75" customHeight="1">
      <c r="Z587" s="49"/>
    </row>
    <row r="588" spans="26:26" ht="15.75" customHeight="1">
      <c r="Z588" s="49"/>
    </row>
    <row r="589" spans="26:26" ht="15.75" customHeight="1">
      <c r="Z589" s="49"/>
    </row>
    <row r="590" spans="26:26" ht="15.75" customHeight="1">
      <c r="Z590" s="49"/>
    </row>
    <row r="591" spans="26:26" ht="15.75" customHeight="1">
      <c r="Z591" s="49"/>
    </row>
    <row r="592" spans="26:26" ht="15.75" customHeight="1">
      <c r="Z592" s="49"/>
    </row>
    <row r="593" spans="26:26" ht="15.75" customHeight="1">
      <c r="Z593" s="49"/>
    </row>
    <row r="594" spans="26:26" ht="15.75" customHeight="1">
      <c r="Z594" s="49"/>
    </row>
    <row r="595" spans="26:26" ht="15.75" customHeight="1">
      <c r="Z595" s="49"/>
    </row>
    <row r="596" spans="26:26" ht="15.75" customHeight="1">
      <c r="Z596" s="49"/>
    </row>
    <row r="597" spans="26:26" ht="15.75" customHeight="1">
      <c r="Z597" s="49"/>
    </row>
    <row r="598" spans="26:26" ht="15.75" customHeight="1">
      <c r="Z598" s="49"/>
    </row>
    <row r="599" spans="26:26" ht="15.75" customHeight="1">
      <c r="Z599" s="49"/>
    </row>
    <row r="600" spans="26:26" ht="15.75" customHeight="1">
      <c r="Z600" s="49"/>
    </row>
    <row r="601" spans="26:26" ht="15.75" customHeight="1">
      <c r="Z601" s="49"/>
    </row>
    <row r="602" spans="26:26" ht="15.75" customHeight="1">
      <c r="Z602" s="49"/>
    </row>
    <row r="603" spans="26:26" ht="15.75" customHeight="1">
      <c r="Z603" s="49"/>
    </row>
    <row r="604" spans="26:26" ht="15.75" customHeight="1">
      <c r="Z604" s="49"/>
    </row>
    <row r="605" spans="26:26" ht="15.75" customHeight="1">
      <c r="Z605" s="49"/>
    </row>
    <row r="606" spans="26:26" ht="15.75" customHeight="1">
      <c r="Z606" s="49"/>
    </row>
    <row r="607" spans="26:26" ht="15.75" customHeight="1">
      <c r="Z607" s="49"/>
    </row>
    <row r="608" spans="26:26" ht="15.75" customHeight="1">
      <c r="Z608" s="49"/>
    </row>
    <row r="609" spans="26:26" ht="15.75" customHeight="1">
      <c r="Z609" s="49"/>
    </row>
    <row r="610" spans="26:26" ht="15.75" customHeight="1">
      <c r="Z610" s="49"/>
    </row>
    <row r="611" spans="26:26" ht="15.75" customHeight="1">
      <c r="Z611" s="49"/>
    </row>
    <row r="612" spans="26:26" ht="15.75" customHeight="1">
      <c r="Z612" s="49"/>
    </row>
    <row r="613" spans="26:26" ht="15.75" customHeight="1">
      <c r="Z613" s="49"/>
    </row>
    <row r="614" spans="26:26" ht="15.75" customHeight="1">
      <c r="Z614" s="49"/>
    </row>
    <row r="615" spans="26:26" ht="15.75" customHeight="1">
      <c r="Z615" s="49"/>
    </row>
    <row r="616" spans="26:26" ht="15.75" customHeight="1">
      <c r="Z616" s="49"/>
    </row>
    <row r="617" spans="26:26" ht="15.75" customHeight="1">
      <c r="Z617" s="49"/>
    </row>
    <row r="618" spans="26:26" ht="15.75" customHeight="1">
      <c r="Z618" s="49"/>
    </row>
    <row r="619" spans="26:26" ht="15.75" customHeight="1">
      <c r="Z619" s="49"/>
    </row>
    <row r="620" spans="26:26" ht="15.75" customHeight="1">
      <c r="Z620" s="49"/>
    </row>
    <row r="621" spans="26:26" ht="15.75" customHeight="1">
      <c r="Z621" s="49"/>
    </row>
    <row r="622" spans="26:26" ht="15.75" customHeight="1">
      <c r="Z622" s="49"/>
    </row>
    <row r="623" spans="26:26" ht="15.75" customHeight="1">
      <c r="Z623" s="49"/>
    </row>
    <row r="624" spans="26:26" ht="15.75" customHeight="1">
      <c r="Z624" s="49"/>
    </row>
    <row r="625" spans="26:26" ht="15.75" customHeight="1">
      <c r="Z625" s="49"/>
    </row>
    <row r="626" spans="26:26" ht="15.75" customHeight="1">
      <c r="Z626" s="49"/>
    </row>
    <row r="627" spans="26:26" ht="15.75" customHeight="1">
      <c r="Z627" s="49"/>
    </row>
    <row r="628" spans="26:26" ht="15.75" customHeight="1">
      <c r="Z628" s="49"/>
    </row>
    <row r="629" spans="26:26" ht="15.75" customHeight="1">
      <c r="Z629" s="49"/>
    </row>
    <row r="630" spans="26:26" ht="15.75" customHeight="1">
      <c r="Z630" s="49"/>
    </row>
    <row r="631" spans="26:26" ht="15.75" customHeight="1">
      <c r="Z631" s="49"/>
    </row>
    <row r="632" spans="26:26" ht="15.75" customHeight="1">
      <c r="Z632" s="49"/>
    </row>
    <row r="633" spans="26:26" ht="15.75" customHeight="1">
      <c r="Z633" s="49"/>
    </row>
    <row r="634" spans="26:26" ht="15.75" customHeight="1">
      <c r="Z634" s="49"/>
    </row>
    <row r="635" spans="26:26" ht="15.75" customHeight="1">
      <c r="Z635" s="49"/>
    </row>
    <row r="636" spans="26:26" ht="15.75" customHeight="1">
      <c r="Z636" s="49"/>
    </row>
    <row r="637" spans="26:26" ht="15.75" customHeight="1">
      <c r="Z637" s="49"/>
    </row>
    <row r="638" spans="26:26" ht="15.75" customHeight="1">
      <c r="Z638" s="49"/>
    </row>
    <row r="639" spans="26:26" ht="15.75" customHeight="1">
      <c r="Z639" s="49"/>
    </row>
    <row r="640" spans="26:26" ht="15.75" customHeight="1">
      <c r="Z640" s="49"/>
    </row>
    <row r="641" spans="26:26" ht="15.75" customHeight="1">
      <c r="Z641" s="49"/>
    </row>
    <row r="642" spans="26:26" ht="15.75" customHeight="1">
      <c r="Z642" s="49"/>
    </row>
    <row r="643" spans="26:26" ht="15.75" customHeight="1">
      <c r="Z643" s="49"/>
    </row>
    <row r="644" spans="26:26" ht="15.75" customHeight="1">
      <c r="Z644" s="49"/>
    </row>
    <row r="645" spans="26:26" ht="15.75" customHeight="1">
      <c r="Z645" s="49"/>
    </row>
    <row r="646" spans="26:26" ht="15.75" customHeight="1">
      <c r="Z646" s="49"/>
    </row>
    <row r="647" spans="26:26" ht="15.75" customHeight="1">
      <c r="Z647" s="49"/>
    </row>
    <row r="648" spans="26:26" ht="15.75" customHeight="1">
      <c r="Z648" s="49"/>
    </row>
    <row r="649" spans="26:26" ht="15.75" customHeight="1">
      <c r="Z649" s="49"/>
    </row>
    <row r="650" spans="26:26" ht="15.75" customHeight="1">
      <c r="Z650" s="49"/>
    </row>
    <row r="651" spans="26:26" ht="15.75" customHeight="1">
      <c r="Z651" s="49"/>
    </row>
    <row r="652" spans="26:26" ht="15.75" customHeight="1">
      <c r="Z652" s="49"/>
    </row>
    <row r="653" spans="26:26" ht="15.75" customHeight="1">
      <c r="Z653" s="49"/>
    </row>
    <row r="654" spans="26:26" ht="15.75" customHeight="1">
      <c r="Z654" s="49"/>
    </row>
    <row r="655" spans="26:26" ht="15.75" customHeight="1">
      <c r="Z655" s="49"/>
    </row>
    <row r="656" spans="26:26" ht="15.75" customHeight="1">
      <c r="Z656" s="49"/>
    </row>
    <row r="657" spans="26:26" ht="15.75" customHeight="1">
      <c r="Z657" s="49"/>
    </row>
    <row r="658" spans="26:26" ht="15.75" customHeight="1">
      <c r="Z658" s="49"/>
    </row>
    <row r="659" spans="26:26" ht="15.75" customHeight="1">
      <c r="Z659" s="49"/>
    </row>
    <row r="660" spans="26:26" ht="15.75" customHeight="1">
      <c r="Z660" s="49"/>
    </row>
    <row r="661" spans="26:26" ht="15.75" customHeight="1">
      <c r="Z661" s="49"/>
    </row>
    <row r="662" spans="26:26" ht="15.75" customHeight="1">
      <c r="Z662" s="49"/>
    </row>
    <row r="663" spans="26:26" ht="15.75" customHeight="1">
      <c r="Z663" s="49"/>
    </row>
    <row r="664" spans="26:26" ht="15.75" customHeight="1">
      <c r="Z664" s="49"/>
    </row>
    <row r="665" spans="26:26" ht="15.75" customHeight="1">
      <c r="Z665" s="49"/>
    </row>
    <row r="666" spans="26:26" ht="15.75" customHeight="1">
      <c r="Z666" s="49"/>
    </row>
    <row r="667" spans="26:26" ht="15.75" customHeight="1">
      <c r="Z667" s="49"/>
    </row>
    <row r="668" spans="26:26" ht="15.75" customHeight="1">
      <c r="Z668" s="49"/>
    </row>
    <row r="669" spans="26:26" ht="15.75" customHeight="1">
      <c r="Z669" s="49"/>
    </row>
    <row r="670" spans="26:26" ht="15.75" customHeight="1">
      <c r="Z670" s="49"/>
    </row>
    <row r="671" spans="26:26" ht="15.75" customHeight="1">
      <c r="Z671" s="49"/>
    </row>
    <row r="672" spans="26:26" ht="15.75" customHeight="1">
      <c r="Z672" s="49"/>
    </row>
    <row r="673" spans="26:26" ht="15.75" customHeight="1">
      <c r="Z673" s="49"/>
    </row>
    <row r="674" spans="26:26" ht="15.75" customHeight="1">
      <c r="Z674" s="49"/>
    </row>
    <row r="675" spans="26:26" ht="15.75" customHeight="1">
      <c r="Z675" s="49"/>
    </row>
    <row r="676" spans="26:26" ht="15.75" customHeight="1">
      <c r="Z676" s="49"/>
    </row>
    <row r="677" spans="26:26" ht="15.75" customHeight="1">
      <c r="Z677" s="49"/>
    </row>
    <row r="678" spans="26:26" ht="15.75" customHeight="1">
      <c r="Z678" s="49"/>
    </row>
    <row r="679" spans="26:26" ht="15.75" customHeight="1">
      <c r="Z679" s="49"/>
    </row>
    <row r="680" spans="26:26" ht="15.75" customHeight="1">
      <c r="Z680" s="49"/>
    </row>
    <row r="681" spans="26:26" ht="15.75" customHeight="1">
      <c r="Z681" s="49"/>
    </row>
    <row r="682" spans="26:26" ht="15.75" customHeight="1">
      <c r="Z682" s="49"/>
    </row>
    <row r="683" spans="26:26" ht="15.75" customHeight="1">
      <c r="Z683" s="49"/>
    </row>
    <row r="684" spans="26:26" ht="15.75" customHeight="1">
      <c r="Z684" s="49"/>
    </row>
    <row r="685" spans="26:26" ht="15.75" customHeight="1">
      <c r="Z685" s="49"/>
    </row>
    <row r="686" spans="26:26" ht="15.75" customHeight="1">
      <c r="Z686" s="49"/>
    </row>
    <row r="687" spans="26:26" ht="15.75" customHeight="1">
      <c r="Z687" s="49"/>
    </row>
    <row r="688" spans="26:26" ht="15.75" customHeight="1">
      <c r="Z688" s="49"/>
    </row>
    <row r="689" spans="26:26" ht="15.75" customHeight="1">
      <c r="Z689" s="49"/>
    </row>
    <row r="690" spans="26:26" ht="15.75" customHeight="1">
      <c r="Z690" s="49"/>
    </row>
    <row r="691" spans="26:26" ht="15.75" customHeight="1">
      <c r="Z691" s="49"/>
    </row>
    <row r="692" spans="26:26" ht="15.75" customHeight="1">
      <c r="Z692" s="49"/>
    </row>
    <row r="693" spans="26:26" ht="15.75" customHeight="1">
      <c r="Z693" s="49"/>
    </row>
    <row r="694" spans="26:26" ht="15.75" customHeight="1">
      <c r="Z694" s="49"/>
    </row>
    <row r="695" spans="26:26" ht="15.75" customHeight="1">
      <c r="Z695" s="49"/>
    </row>
    <row r="696" spans="26:26" ht="15.75" customHeight="1">
      <c r="Z696" s="49"/>
    </row>
    <row r="697" spans="26:26" ht="15.75" customHeight="1">
      <c r="Z697" s="49"/>
    </row>
    <row r="698" spans="26:26" ht="15.75" customHeight="1">
      <c r="Z698" s="49"/>
    </row>
    <row r="699" spans="26:26" ht="15.75" customHeight="1">
      <c r="Z699" s="49"/>
    </row>
    <row r="700" spans="26:26" ht="15.75" customHeight="1">
      <c r="Z700" s="49"/>
    </row>
    <row r="701" spans="26:26" ht="15.75" customHeight="1">
      <c r="Z701" s="49"/>
    </row>
    <row r="702" spans="26:26" ht="15.75" customHeight="1">
      <c r="Z702" s="49"/>
    </row>
    <row r="703" spans="26:26" ht="15.75" customHeight="1">
      <c r="Z703" s="49"/>
    </row>
    <row r="704" spans="26:26" ht="15.75" customHeight="1">
      <c r="Z704" s="49"/>
    </row>
    <row r="705" spans="26:26" ht="15.75" customHeight="1">
      <c r="Z705" s="49"/>
    </row>
    <row r="706" spans="26:26" ht="15.75" customHeight="1">
      <c r="Z706" s="49"/>
    </row>
    <row r="707" spans="26:26" ht="15.75" customHeight="1">
      <c r="Z707" s="49"/>
    </row>
    <row r="708" spans="26:26" ht="15.75" customHeight="1">
      <c r="Z708" s="49"/>
    </row>
    <row r="709" spans="26:26" ht="15.75" customHeight="1">
      <c r="Z709" s="49"/>
    </row>
    <row r="710" spans="26:26" ht="15.75" customHeight="1">
      <c r="Z710" s="49"/>
    </row>
    <row r="711" spans="26:26" ht="15.75" customHeight="1">
      <c r="Z711" s="49"/>
    </row>
    <row r="712" spans="26:26" ht="15.75" customHeight="1">
      <c r="Z712" s="49"/>
    </row>
    <row r="713" spans="26:26" ht="15.75" customHeight="1">
      <c r="Z713" s="49"/>
    </row>
    <row r="714" spans="26:26" ht="15.75" customHeight="1">
      <c r="Z714" s="49"/>
    </row>
    <row r="715" spans="26:26" ht="15.75" customHeight="1">
      <c r="Z715" s="49"/>
    </row>
    <row r="716" spans="26:26" ht="15.75" customHeight="1">
      <c r="Z716" s="49"/>
    </row>
    <row r="717" spans="26:26" ht="15.75" customHeight="1">
      <c r="Z717" s="49"/>
    </row>
    <row r="718" spans="26:26" ht="15.75" customHeight="1">
      <c r="Z718" s="49"/>
    </row>
    <row r="719" spans="26:26" ht="15.75" customHeight="1">
      <c r="Z719" s="49"/>
    </row>
    <row r="720" spans="26:26" ht="15.75" customHeight="1">
      <c r="Z720" s="49"/>
    </row>
    <row r="721" spans="26:26" ht="15.75" customHeight="1">
      <c r="Z721" s="49"/>
    </row>
    <row r="722" spans="26:26" ht="15.75" customHeight="1">
      <c r="Z722" s="49"/>
    </row>
    <row r="723" spans="26:26" ht="15.75" customHeight="1">
      <c r="Z723" s="49"/>
    </row>
    <row r="724" spans="26:26" ht="15.75" customHeight="1">
      <c r="Z724" s="49"/>
    </row>
    <row r="725" spans="26:26" ht="15.75" customHeight="1">
      <c r="Z725" s="49"/>
    </row>
    <row r="726" spans="26:26" ht="15.75" customHeight="1">
      <c r="Z726" s="49"/>
    </row>
    <row r="727" spans="26:26" ht="15.75" customHeight="1">
      <c r="Z727" s="49"/>
    </row>
    <row r="728" spans="26:26" ht="15.75" customHeight="1">
      <c r="Z728" s="49"/>
    </row>
    <row r="729" spans="26:26" ht="15.75" customHeight="1">
      <c r="Z729" s="49"/>
    </row>
    <row r="730" spans="26:26" ht="15.75" customHeight="1">
      <c r="Z730" s="49"/>
    </row>
    <row r="731" spans="26:26" ht="15.75" customHeight="1">
      <c r="Z731" s="49"/>
    </row>
    <row r="732" spans="26:26" ht="15.75" customHeight="1">
      <c r="Z732" s="49"/>
    </row>
    <row r="733" spans="26:26" ht="15.75" customHeight="1">
      <c r="Z733" s="49"/>
    </row>
    <row r="734" spans="26:26" ht="15.75" customHeight="1">
      <c r="Z734" s="49"/>
    </row>
    <row r="735" spans="26:26" ht="15.75" customHeight="1">
      <c r="Z735" s="49"/>
    </row>
    <row r="736" spans="26:26" ht="15.75" customHeight="1">
      <c r="Z736" s="49"/>
    </row>
    <row r="737" spans="26:26" ht="15.75" customHeight="1">
      <c r="Z737" s="49"/>
    </row>
    <row r="738" spans="26:26" ht="15.75" customHeight="1">
      <c r="Z738" s="49"/>
    </row>
    <row r="739" spans="26:26" ht="15.75" customHeight="1">
      <c r="Z739" s="49"/>
    </row>
    <row r="740" spans="26:26" ht="15.75" customHeight="1">
      <c r="Z740" s="49"/>
    </row>
    <row r="741" spans="26:26" ht="15.75" customHeight="1">
      <c r="Z741" s="49"/>
    </row>
    <row r="742" spans="26:26" ht="15.75" customHeight="1">
      <c r="Z742" s="49"/>
    </row>
    <row r="743" spans="26:26" ht="15.75" customHeight="1">
      <c r="Z743" s="49"/>
    </row>
    <row r="744" spans="26:26" ht="15.75" customHeight="1">
      <c r="Z744" s="49"/>
    </row>
    <row r="745" spans="26:26" ht="15.75" customHeight="1">
      <c r="Z745" s="49"/>
    </row>
    <row r="746" spans="26:26" ht="15.75" customHeight="1">
      <c r="Z746" s="49"/>
    </row>
    <row r="747" spans="26:26" ht="15.75" customHeight="1">
      <c r="Z747" s="49"/>
    </row>
    <row r="748" spans="26:26" ht="15.75" customHeight="1">
      <c r="Z748" s="49"/>
    </row>
    <row r="749" spans="26:26" ht="15.75" customHeight="1">
      <c r="Z749" s="49"/>
    </row>
    <row r="750" spans="26:26" ht="15.75" customHeight="1">
      <c r="Z750" s="49"/>
    </row>
    <row r="751" spans="26:26" ht="15.75" customHeight="1">
      <c r="Z751" s="49"/>
    </row>
    <row r="752" spans="26:26" ht="15.75" customHeight="1">
      <c r="Z752" s="49"/>
    </row>
    <row r="753" spans="26:26" ht="15.75" customHeight="1">
      <c r="Z753" s="49"/>
    </row>
    <row r="754" spans="26:26" ht="15.75" customHeight="1">
      <c r="Z754" s="49"/>
    </row>
    <row r="755" spans="26:26" ht="15.75" customHeight="1">
      <c r="Z755" s="49"/>
    </row>
    <row r="756" spans="26:26" ht="15.75" customHeight="1">
      <c r="Z756" s="49"/>
    </row>
    <row r="757" spans="26:26" ht="15.75" customHeight="1">
      <c r="Z757" s="49"/>
    </row>
    <row r="758" spans="26:26" ht="15.75" customHeight="1">
      <c r="Z758" s="49"/>
    </row>
    <row r="759" spans="26:26" ht="15.75" customHeight="1">
      <c r="Z759" s="49"/>
    </row>
    <row r="760" spans="26:26" ht="15.75" customHeight="1">
      <c r="Z760" s="49"/>
    </row>
    <row r="761" spans="26:26" ht="15.75" customHeight="1">
      <c r="Z761" s="49"/>
    </row>
    <row r="762" spans="26:26" ht="15.75" customHeight="1">
      <c r="Z762" s="49"/>
    </row>
    <row r="763" spans="26:26" ht="15.75" customHeight="1">
      <c r="Z763" s="49"/>
    </row>
    <row r="764" spans="26:26" ht="15.75" customHeight="1">
      <c r="Z764" s="49"/>
    </row>
    <row r="765" spans="26:26" ht="15.75" customHeight="1">
      <c r="Z765" s="49"/>
    </row>
    <row r="766" spans="26:26" ht="15.75" customHeight="1">
      <c r="Z766" s="49"/>
    </row>
    <row r="767" spans="26:26" ht="15.75" customHeight="1">
      <c r="Z767" s="49"/>
    </row>
    <row r="768" spans="26:26" ht="15.75" customHeight="1">
      <c r="Z768" s="49"/>
    </row>
    <row r="769" spans="26:26" ht="15.75" customHeight="1">
      <c r="Z769" s="49"/>
    </row>
    <row r="770" spans="26:26" ht="15.75" customHeight="1">
      <c r="Z770" s="49"/>
    </row>
    <row r="771" spans="26:26" ht="15.75" customHeight="1">
      <c r="Z771" s="49"/>
    </row>
    <row r="772" spans="26:26" ht="15.75" customHeight="1">
      <c r="Z772" s="49"/>
    </row>
    <row r="773" spans="26:26" ht="15.75" customHeight="1">
      <c r="Z773" s="49"/>
    </row>
    <row r="774" spans="26:26" ht="15.75" customHeight="1">
      <c r="Z774" s="49"/>
    </row>
    <row r="775" spans="26:26" ht="15.75" customHeight="1">
      <c r="Z775" s="49"/>
    </row>
    <row r="776" spans="26:26" ht="15.75" customHeight="1">
      <c r="Z776" s="49"/>
    </row>
    <row r="777" spans="26:26" ht="15.75" customHeight="1">
      <c r="Z777" s="49"/>
    </row>
    <row r="778" spans="26:26" ht="15.75" customHeight="1">
      <c r="Z778" s="49"/>
    </row>
    <row r="779" spans="26:26" ht="15.75" customHeight="1">
      <c r="Z779" s="49"/>
    </row>
    <row r="780" spans="26:26" ht="15.75" customHeight="1">
      <c r="Z780" s="49"/>
    </row>
    <row r="781" spans="26:26" ht="15.75" customHeight="1">
      <c r="Z781" s="49"/>
    </row>
    <row r="782" spans="26:26" ht="15.75" customHeight="1">
      <c r="Z782" s="49"/>
    </row>
    <row r="783" spans="26:26" ht="15.75" customHeight="1">
      <c r="Z783" s="49"/>
    </row>
    <row r="784" spans="26:26" ht="15.75" customHeight="1">
      <c r="Z784" s="49"/>
    </row>
    <row r="785" spans="26:26" ht="15.75" customHeight="1">
      <c r="Z785" s="49"/>
    </row>
    <row r="786" spans="26:26" ht="15.75" customHeight="1">
      <c r="Z786" s="49"/>
    </row>
    <row r="787" spans="26:26" ht="15.75" customHeight="1">
      <c r="Z787" s="49"/>
    </row>
    <row r="788" spans="26:26" ht="15.75" customHeight="1">
      <c r="Z788" s="49"/>
    </row>
    <row r="789" spans="26:26" ht="15.75" customHeight="1">
      <c r="Z789" s="49"/>
    </row>
    <row r="790" spans="26:26" ht="15.75" customHeight="1">
      <c r="Z790" s="49"/>
    </row>
    <row r="791" spans="26:26" ht="15.75" customHeight="1">
      <c r="Z791" s="49"/>
    </row>
    <row r="792" spans="26:26" ht="15.75" customHeight="1">
      <c r="Z792" s="49"/>
    </row>
    <row r="793" spans="26:26" ht="15.75" customHeight="1">
      <c r="Z793" s="49"/>
    </row>
    <row r="794" spans="26:26" ht="15.75" customHeight="1">
      <c r="Z794" s="49"/>
    </row>
    <row r="795" spans="26:26" ht="15.75" customHeight="1">
      <c r="Z795" s="49"/>
    </row>
    <row r="796" spans="26:26" ht="15.75" customHeight="1">
      <c r="Z796" s="49"/>
    </row>
    <row r="797" spans="26:26" ht="15.75" customHeight="1">
      <c r="Z797" s="49"/>
    </row>
    <row r="798" spans="26:26" ht="15.75" customHeight="1">
      <c r="Z798" s="49"/>
    </row>
    <row r="799" spans="26:26" ht="15.75" customHeight="1">
      <c r="Z799" s="49"/>
    </row>
    <row r="800" spans="26:26" ht="15.75" customHeight="1">
      <c r="Z800" s="49"/>
    </row>
    <row r="801" spans="26:26" ht="15.75" customHeight="1">
      <c r="Z801" s="49"/>
    </row>
    <row r="802" spans="26:26" ht="15.75" customHeight="1">
      <c r="Z802" s="49"/>
    </row>
    <row r="803" spans="26:26" ht="15.75" customHeight="1">
      <c r="Z803" s="49"/>
    </row>
    <row r="804" spans="26:26" ht="15.75" customHeight="1">
      <c r="Z804" s="49"/>
    </row>
    <row r="805" spans="26:26" ht="15.75" customHeight="1">
      <c r="Z805" s="49"/>
    </row>
    <row r="806" spans="26:26" ht="15.75" customHeight="1">
      <c r="Z806" s="49"/>
    </row>
    <row r="807" spans="26:26" ht="15.75" customHeight="1">
      <c r="Z807" s="49"/>
    </row>
    <row r="808" spans="26:26" ht="15.75" customHeight="1">
      <c r="Z808" s="49"/>
    </row>
    <row r="809" spans="26:26" ht="15.75" customHeight="1">
      <c r="Z809" s="49"/>
    </row>
    <row r="810" spans="26:26" ht="15.75" customHeight="1">
      <c r="Z810" s="49"/>
    </row>
    <row r="811" spans="26:26" ht="15.75" customHeight="1">
      <c r="Z811" s="49"/>
    </row>
    <row r="812" spans="26:26" ht="15.75" customHeight="1">
      <c r="Z812" s="49"/>
    </row>
    <row r="813" spans="26:26" ht="15.75" customHeight="1">
      <c r="Z813" s="49"/>
    </row>
    <row r="814" spans="26:26" ht="15.75" customHeight="1">
      <c r="Z814" s="49"/>
    </row>
    <row r="815" spans="26:26" ht="15.75" customHeight="1">
      <c r="Z815" s="49"/>
    </row>
    <row r="816" spans="26:26" ht="15.75" customHeight="1">
      <c r="Z816" s="49"/>
    </row>
    <row r="817" spans="26:26" ht="15.75" customHeight="1">
      <c r="Z817" s="49"/>
    </row>
    <row r="818" spans="26:26" ht="15.75" customHeight="1">
      <c r="Z818" s="49"/>
    </row>
    <row r="819" spans="26:26" ht="15.75" customHeight="1">
      <c r="Z819" s="49"/>
    </row>
    <row r="820" spans="26:26" ht="15.75" customHeight="1">
      <c r="Z820" s="49"/>
    </row>
    <row r="821" spans="26:26" ht="15.75" customHeight="1">
      <c r="Z821" s="49"/>
    </row>
    <row r="822" spans="26:26" ht="15.75" customHeight="1">
      <c r="Z822" s="49"/>
    </row>
    <row r="823" spans="26:26" ht="15.75" customHeight="1">
      <c r="Z823" s="49"/>
    </row>
    <row r="824" spans="26:26" ht="15.75" customHeight="1">
      <c r="Z824" s="49"/>
    </row>
    <row r="825" spans="26:26" ht="15.75" customHeight="1">
      <c r="Z825" s="49"/>
    </row>
    <row r="826" spans="26:26" ht="15.75" customHeight="1">
      <c r="Z826" s="49"/>
    </row>
    <row r="827" spans="26:26" ht="15.75" customHeight="1">
      <c r="Z827" s="49"/>
    </row>
    <row r="828" spans="26:26" ht="15.75" customHeight="1">
      <c r="Z828" s="49"/>
    </row>
    <row r="829" spans="26:26" ht="15.75" customHeight="1">
      <c r="Z829" s="49"/>
    </row>
    <row r="830" spans="26:26" ht="15.75" customHeight="1">
      <c r="Z830" s="49"/>
    </row>
    <row r="831" spans="26:26" ht="15.75" customHeight="1">
      <c r="Z831" s="49"/>
    </row>
    <row r="832" spans="26:26" ht="15.75" customHeight="1">
      <c r="Z832" s="49"/>
    </row>
    <row r="833" spans="26:26" ht="15.75" customHeight="1">
      <c r="Z833" s="49"/>
    </row>
    <row r="834" spans="26:26" ht="15.75" customHeight="1">
      <c r="Z834" s="49"/>
    </row>
    <row r="835" spans="26:26" ht="15.75" customHeight="1">
      <c r="Z835" s="49"/>
    </row>
    <row r="836" spans="26:26" ht="15.75" customHeight="1">
      <c r="Z836" s="49"/>
    </row>
    <row r="837" spans="26:26" ht="15.75" customHeight="1">
      <c r="Z837" s="49"/>
    </row>
    <row r="838" spans="26:26" ht="15.75" customHeight="1">
      <c r="Z838" s="49"/>
    </row>
    <row r="839" spans="26:26" ht="15.75" customHeight="1">
      <c r="Z839" s="49"/>
    </row>
    <row r="840" spans="26:26" ht="15.75" customHeight="1">
      <c r="Z840" s="49"/>
    </row>
    <row r="841" spans="26:26" ht="15.75" customHeight="1">
      <c r="Z841" s="49"/>
    </row>
    <row r="842" spans="26:26" ht="15.75" customHeight="1">
      <c r="Z842" s="49"/>
    </row>
    <row r="843" spans="26:26" ht="15.75" customHeight="1">
      <c r="Z843" s="49"/>
    </row>
    <row r="844" spans="26:26" ht="15.75" customHeight="1">
      <c r="Z844" s="49"/>
    </row>
    <row r="845" spans="26:26" ht="15.75" customHeight="1">
      <c r="Z845" s="49"/>
    </row>
    <row r="846" spans="26:26" ht="15.75" customHeight="1">
      <c r="Z846" s="49"/>
    </row>
    <row r="847" spans="26:26" ht="15.75" customHeight="1">
      <c r="Z847" s="49"/>
    </row>
    <row r="848" spans="26:26" ht="15.75" customHeight="1">
      <c r="Z848" s="49"/>
    </row>
    <row r="849" spans="26:26" ht="15.75" customHeight="1">
      <c r="Z849" s="49"/>
    </row>
    <row r="850" spans="26:26" ht="15.75" customHeight="1">
      <c r="Z850" s="49"/>
    </row>
    <row r="851" spans="26:26" ht="15.75" customHeight="1">
      <c r="Z851" s="49"/>
    </row>
    <row r="852" spans="26:26" ht="15.75" customHeight="1">
      <c r="Z852" s="49"/>
    </row>
    <row r="853" spans="26:26" ht="15.75" customHeight="1">
      <c r="Z853" s="49"/>
    </row>
    <row r="854" spans="26:26" ht="15.75" customHeight="1">
      <c r="Z854" s="49"/>
    </row>
    <row r="855" spans="26:26" ht="15.75" customHeight="1">
      <c r="Z855" s="49"/>
    </row>
    <row r="856" spans="26:26" ht="15.75" customHeight="1">
      <c r="Z856" s="49"/>
    </row>
    <row r="857" spans="26:26" ht="15.75" customHeight="1">
      <c r="Z857" s="49"/>
    </row>
    <row r="858" spans="26:26" ht="15.75" customHeight="1">
      <c r="Z858" s="49"/>
    </row>
    <row r="859" spans="26:26" ht="15.75" customHeight="1">
      <c r="Z859" s="49"/>
    </row>
    <row r="860" spans="26:26" ht="15.75" customHeight="1">
      <c r="Z860" s="49"/>
    </row>
    <row r="861" spans="26:26" ht="15.75" customHeight="1">
      <c r="Z861" s="49"/>
    </row>
    <row r="862" spans="26:26" ht="15.75" customHeight="1">
      <c r="Z862" s="49"/>
    </row>
    <row r="863" spans="26:26" ht="15.75" customHeight="1">
      <c r="Z863" s="49"/>
    </row>
    <row r="864" spans="26:26" ht="15.75" customHeight="1">
      <c r="Z864" s="49"/>
    </row>
    <row r="865" spans="26:26" ht="15.75" customHeight="1">
      <c r="Z865" s="49"/>
    </row>
    <row r="866" spans="26:26" ht="15.75" customHeight="1">
      <c r="Z866" s="49"/>
    </row>
    <row r="867" spans="26:26" ht="15.75" customHeight="1">
      <c r="Z867" s="49"/>
    </row>
    <row r="868" spans="26:26" ht="15.75" customHeight="1">
      <c r="Z868" s="49"/>
    </row>
    <row r="869" spans="26:26" ht="15.75" customHeight="1">
      <c r="Z869" s="49"/>
    </row>
    <row r="870" spans="26:26" ht="15.75" customHeight="1">
      <c r="Z870" s="49"/>
    </row>
    <row r="871" spans="26:26" ht="15.75" customHeight="1">
      <c r="Z871" s="49"/>
    </row>
    <row r="872" spans="26:26" ht="15.75" customHeight="1">
      <c r="Z872" s="49"/>
    </row>
    <row r="873" spans="26:26" ht="15.75" customHeight="1">
      <c r="Z873" s="49"/>
    </row>
    <row r="874" spans="26:26" ht="15.75" customHeight="1">
      <c r="Z874" s="49"/>
    </row>
    <row r="875" spans="26:26" ht="15.75" customHeight="1">
      <c r="Z875" s="49"/>
    </row>
    <row r="876" spans="26:26" ht="15.75" customHeight="1">
      <c r="Z876" s="49"/>
    </row>
    <row r="877" spans="26:26" ht="15.75" customHeight="1">
      <c r="Z877" s="49"/>
    </row>
    <row r="878" spans="26:26" ht="15.75" customHeight="1">
      <c r="Z878" s="49"/>
    </row>
    <row r="879" spans="26:26" ht="15.75" customHeight="1">
      <c r="Z879" s="49"/>
    </row>
    <row r="880" spans="26:26" ht="15.75" customHeight="1">
      <c r="Z880" s="49"/>
    </row>
    <row r="881" spans="26:26" ht="15.75" customHeight="1">
      <c r="Z881" s="49"/>
    </row>
    <row r="882" spans="26:26" ht="15.75" customHeight="1">
      <c r="Z882" s="49"/>
    </row>
    <row r="883" spans="26:26" ht="15.75" customHeight="1">
      <c r="Z883" s="49"/>
    </row>
    <row r="884" spans="26:26" ht="15.75" customHeight="1">
      <c r="Z884" s="49"/>
    </row>
    <row r="885" spans="26:26" ht="15.75" customHeight="1">
      <c r="Z885" s="49"/>
    </row>
    <row r="886" spans="26:26" ht="15.75" customHeight="1">
      <c r="Z886" s="49"/>
    </row>
    <row r="887" spans="26:26" ht="15.75" customHeight="1">
      <c r="Z887" s="49"/>
    </row>
    <row r="888" spans="26:26" ht="15.75" customHeight="1">
      <c r="Z888" s="49"/>
    </row>
    <row r="889" spans="26:26" ht="15.75" customHeight="1">
      <c r="Z889" s="49"/>
    </row>
    <row r="890" spans="26:26" ht="15.75" customHeight="1">
      <c r="Z890" s="49"/>
    </row>
    <row r="891" spans="26:26" ht="15.75" customHeight="1">
      <c r="Z891" s="49"/>
    </row>
    <row r="892" spans="26:26" ht="15.75" customHeight="1">
      <c r="Z892" s="49"/>
    </row>
    <row r="893" spans="26:26" ht="15.75" customHeight="1">
      <c r="Z893" s="49"/>
    </row>
    <row r="894" spans="26:26" ht="15.75" customHeight="1">
      <c r="Z894" s="49"/>
    </row>
    <row r="895" spans="26:26" ht="15.75" customHeight="1">
      <c r="Z895" s="49"/>
    </row>
    <row r="896" spans="26:26" ht="15.75" customHeight="1">
      <c r="Z896" s="49"/>
    </row>
    <row r="897" spans="26:26" ht="15.75" customHeight="1">
      <c r="Z897" s="49"/>
    </row>
    <row r="898" spans="26:26" ht="15.75" customHeight="1">
      <c r="Z898" s="49"/>
    </row>
    <row r="899" spans="26:26" ht="15.75" customHeight="1">
      <c r="Z899" s="49"/>
    </row>
    <row r="900" spans="26:26" ht="15.75" customHeight="1">
      <c r="Z900" s="49"/>
    </row>
    <row r="901" spans="26:26" ht="15.75" customHeight="1">
      <c r="Z901" s="49"/>
    </row>
    <row r="902" spans="26:26" ht="15.75" customHeight="1">
      <c r="Z902" s="49"/>
    </row>
    <row r="903" spans="26:26" ht="15.75" customHeight="1">
      <c r="Z903" s="49"/>
    </row>
    <row r="904" spans="26:26" ht="15.75" customHeight="1">
      <c r="Z904" s="49"/>
    </row>
    <row r="905" spans="26:26" ht="15.75" customHeight="1">
      <c r="Z905" s="49"/>
    </row>
    <row r="906" spans="26:26" ht="15.75" customHeight="1">
      <c r="Z906" s="49"/>
    </row>
    <row r="907" spans="26:26" ht="15.75" customHeight="1">
      <c r="Z907" s="49"/>
    </row>
    <row r="908" spans="26:26" ht="15.75" customHeight="1">
      <c r="Z908" s="49"/>
    </row>
    <row r="909" spans="26:26" ht="15.75" customHeight="1">
      <c r="Z909" s="49"/>
    </row>
    <row r="910" spans="26:26" ht="15.75" customHeight="1">
      <c r="Z910" s="49"/>
    </row>
    <row r="911" spans="26:26" ht="15.75" customHeight="1">
      <c r="Z911" s="49"/>
    </row>
    <row r="912" spans="26:26" ht="15.75" customHeight="1">
      <c r="Z912" s="49"/>
    </row>
    <row r="913" spans="26:26" ht="15.75" customHeight="1">
      <c r="Z913" s="49"/>
    </row>
    <row r="914" spans="26:26" ht="15.75" customHeight="1">
      <c r="Z914" s="49"/>
    </row>
    <row r="915" spans="26:26" ht="15.75" customHeight="1">
      <c r="Z915" s="49"/>
    </row>
    <row r="916" spans="26:26" ht="15.75" customHeight="1">
      <c r="Z916" s="49"/>
    </row>
    <row r="917" spans="26:26" ht="15.75" customHeight="1">
      <c r="Z917" s="49"/>
    </row>
    <row r="918" spans="26:26" ht="15.75" customHeight="1">
      <c r="Z918" s="49"/>
    </row>
    <row r="919" spans="26:26" ht="15.75" customHeight="1">
      <c r="Z919" s="49"/>
    </row>
    <row r="920" spans="26:26" ht="15.75" customHeight="1">
      <c r="Z920" s="49"/>
    </row>
    <row r="921" spans="26:26" ht="15.75" customHeight="1">
      <c r="Z921" s="49"/>
    </row>
    <row r="922" spans="26:26" ht="15.75" customHeight="1">
      <c r="Z922" s="49"/>
    </row>
    <row r="923" spans="26:26" ht="15.75" customHeight="1">
      <c r="Z923" s="49"/>
    </row>
    <row r="924" spans="26:26" ht="15.75" customHeight="1">
      <c r="Z924" s="49"/>
    </row>
    <row r="925" spans="26:26" ht="15.75" customHeight="1">
      <c r="Z925" s="49"/>
    </row>
    <row r="926" spans="26:26" ht="15.75" customHeight="1">
      <c r="Z926" s="49"/>
    </row>
    <row r="927" spans="26:26" ht="15.75" customHeight="1">
      <c r="Z927" s="49"/>
    </row>
    <row r="928" spans="26:26" ht="15.75" customHeight="1">
      <c r="Z928" s="49"/>
    </row>
    <row r="929" spans="26:26" ht="15.75" customHeight="1">
      <c r="Z929" s="49"/>
    </row>
    <row r="930" spans="26:26" ht="15.75" customHeight="1">
      <c r="Z930" s="49"/>
    </row>
    <row r="931" spans="26:26" ht="15.75" customHeight="1">
      <c r="Z931" s="49"/>
    </row>
    <row r="932" spans="26:26" ht="15.75" customHeight="1">
      <c r="Z932" s="49"/>
    </row>
    <row r="933" spans="26:26" ht="15.75" customHeight="1">
      <c r="Z933" s="49"/>
    </row>
    <row r="934" spans="26:26" ht="15.75" customHeight="1">
      <c r="Z934" s="49"/>
    </row>
    <row r="935" spans="26:26" ht="15.75" customHeight="1">
      <c r="Z935" s="49"/>
    </row>
    <row r="936" spans="26:26" ht="15.75" customHeight="1">
      <c r="Z936" s="49"/>
    </row>
    <row r="937" spans="26:26" ht="15.75" customHeight="1">
      <c r="Z937" s="49"/>
    </row>
    <row r="938" spans="26:26" ht="15.75" customHeight="1">
      <c r="Z938" s="49"/>
    </row>
    <row r="939" spans="26:26" ht="15.75" customHeight="1">
      <c r="Z939" s="49"/>
    </row>
    <row r="940" spans="26:26" ht="15.75" customHeight="1">
      <c r="Z940" s="49"/>
    </row>
    <row r="941" spans="26:26" ht="15.75" customHeight="1">
      <c r="Z941" s="49"/>
    </row>
    <row r="942" spans="26:26" ht="15.75" customHeight="1">
      <c r="Z942" s="49"/>
    </row>
    <row r="943" spans="26:26" ht="15.75" customHeight="1">
      <c r="Z943" s="49"/>
    </row>
    <row r="944" spans="26:26" ht="15.75" customHeight="1">
      <c r="Z944" s="49"/>
    </row>
    <row r="945" spans="26:26" ht="15.75" customHeight="1">
      <c r="Z945" s="49"/>
    </row>
    <row r="946" spans="26:26" ht="15.75" customHeight="1">
      <c r="Z946" s="49"/>
    </row>
    <row r="947" spans="26:26" ht="15.75" customHeight="1">
      <c r="Z947" s="49"/>
    </row>
    <row r="948" spans="26:26" ht="15.75" customHeight="1">
      <c r="Z948" s="49"/>
    </row>
    <row r="949" spans="26:26" ht="15.75" customHeight="1">
      <c r="Z949" s="49"/>
    </row>
    <row r="950" spans="26:26" ht="15.75" customHeight="1">
      <c r="Z950" s="49"/>
    </row>
    <row r="951" spans="26:26" ht="15.75" customHeight="1">
      <c r="Z951" s="49"/>
    </row>
    <row r="952" spans="26:26" ht="15.75" customHeight="1">
      <c r="Z952" s="49"/>
    </row>
    <row r="953" spans="26:26" ht="15.75" customHeight="1">
      <c r="Z953" s="49"/>
    </row>
    <row r="954" spans="26:26" ht="15.75" customHeight="1">
      <c r="Z954" s="49"/>
    </row>
    <row r="955" spans="26:26" ht="15.75" customHeight="1">
      <c r="Z955" s="49"/>
    </row>
    <row r="956" spans="26:26" ht="15.75" customHeight="1">
      <c r="Z956" s="49"/>
    </row>
    <row r="957" spans="26:26" ht="15.75" customHeight="1">
      <c r="Z957" s="49"/>
    </row>
    <row r="958" spans="26:26" ht="15.75" customHeight="1">
      <c r="Z958" s="49"/>
    </row>
    <row r="959" spans="26:26" ht="15.75" customHeight="1">
      <c r="Z959" s="49"/>
    </row>
    <row r="960" spans="26:26" ht="15.75" customHeight="1">
      <c r="Z960" s="49"/>
    </row>
    <row r="961" spans="26:26" ht="15.75" customHeight="1">
      <c r="Z961" s="49"/>
    </row>
    <row r="962" spans="26:26" ht="15.75" customHeight="1">
      <c r="Z962" s="49"/>
    </row>
    <row r="963" spans="26:26" ht="15.75" customHeight="1">
      <c r="Z963" s="49"/>
    </row>
    <row r="964" spans="26:26" ht="15.75" customHeight="1">
      <c r="Z964" s="49"/>
    </row>
    <row r="965" spans="26:26" ht="15.75" customHeight="1">
      <c r="Z965" s="49"/>
    </row>
    <row r="966" spans="26:26" ht="15.75" customHeight="1">
      <c r="Z966" s="49"/>
    </row>
    <row r="967" spans="26:26" ht="15.75" customHeight="1">
      <c r="Z967" s="49"/>
    </row>
    <row r="968" spans="26:26" ht="15.75" customHeight="1">
      <c r="Z968" s="49"/>
    </row>
    <row r="969" spans="26:26" ht="15.75" customHeight="1">
      <c r="Z969" s="49"/>
    </row>
    <row r="970" spans="26:26" ht="15.75" customHeight="1">
      <c r="Z970" s="49"/>
    </row>
    <row r="971" spans="26:26" ht="15.75" customHeight="1">
      <c r="Z971" s="49"/>
    </row>
    <row r="972" spans="26:26" ht="15.75" customHeight="1">
      <c r="Z972" s="49"/>
    </row>
    <row r="973" spans="26:26" ht="15.75" customHeight="1">
      <c r="Z973" s="49"/>
    </row>
    <row r="974" spans="26:26" ht="15.75" customHeight="1">
      <c r="Z974" s="49"/>
    </row>
    <row r="975" spans="26:26" ht="15.75" customHeight="1">
      <c r="Z975" s="49"/>
    </row>
    <row r="976" spans="26:26" ht="15.75" customHeight="1">
      <c r="Z976" s="49"/>
    </row>
    <row r="977" spans="26:26" ht="15.75" customHeight="1">
      <c r="Z977" s="49"/>
    </row>
    <row r="978" spans="26:26" ht="15.75" customHeight="1">
      <c r="Z978" s="49"/>
    </row>
    <row r="979" spans="26:26" ht="15.75" customHeight="1">
      <c r="Z979" s="49"/>
    </row>
    <row r="980" spans="26:26" ht="15.75" customHeight="1">
      <c r="Z980" s="49"/>
    </row>
    <row r="981" spans="26:26" ht="15.75" customHeight="1">
      <c r="Z981" s="49"/>
    </row>
    <row r="982" spans="26:26" ht="15.75" customHeight="1">
      <c r="Z982" s="49"/>
    </row>
    <row r="983" spans="26:26" ht="15.75" customHeight="1">
      <c r="Z983" s="49"/>
    </row>
    <row r="984" spans="26:26" ht="15.75" customHeight="1">
      <c r="Z984" s="49"/>
    </row>
    <row r="985" spans="26:26" ht="15.75" customHeight="1">
      <c r="Z985" s="49"/>
    </row>
    <row r="986" spans="26:26" ht="15.75" customHeight="1">
      <c r="Z986" s="49"/>
    </row>
    <row r="987" spans="26:26" ht="15.75" customHeight="1">
      <c r="Z987" s="49"/>
    </row>
    <row r="988" spans="26:26" ht="15.75" customHeight="1">
      <c r="Z988" s="49"/>
    </row>
    <row r="989" spans="26:26" ht="15.75" customHeight="1">
      <c r="Z989" s="49"/>
    </row>
    <row r="990" spans="26:26" ht="15.75" customHeight="1">
      <c r="Z990" s="49"/>
    </row>
    <row r="991" spans="26:26" ht="15.75" customHeight="1">
      <c r="Z991" s="49"/>
    </row>
    <row r="992" spans="26:26" ht="15.75" customHeight="1">
      <c r="Z992" s="49"/>
    </row>
    <row r="993" spans="26:26" ht="15.75" customHeight="1">
      <c r="Z993" s="49"/>
    </row>
    <row r="994" spans="26:26" ht="15.75" customHeight="1">
      <c r="Z994" s="49"/>
    </row>
    <row r="995" spans="26:26" ht="15.75" customHeight="1">
      <c r="Z995" s="49"/>
    </row>
    <row r="996" spans="26:26" ht="15.75" customHeight="1">
      <c r="Z996" s="49"/>
    </row>
    <row r="997" spans="26:26" ht="15.75" customHeight="1">
      <c r="Z997" s="49"/>
    </row>
    <row r="998" spans="26:26" ht="15.75" customHeight="1">
      <c r="Z998" s="49"/>
    </row>
    <row r="999" spans="26:26" ht="15.75" customHeight="1">
      <c r="Z999" s="49"/>
    </row>
    <row r="1000" spans="26:26" ht="15.75" customHeight="1">
      <c r="Z1000" s="49"/>
    </row>
    <row r="1001" spans="26:26" ht="15.75" customHeight="1">
      <c r="Z1001" s="49"/>
    </row>
    <row r="1002" spans="26:26" ht="15.75" customHeight="1">
      <c r="Z1002" s="49"/>
    </row>
    <row r="1003" spans="26:26" ht="15.75" customHeight="1">
      <c r="Z1003" s="49"/>
    </row>
    <row r="1004" spans="26:26" ht="15.75" customHeight="1">
      <c r="Z1004" s="49"/>
    </row>
    <row r="1005" spans="26:26" ht="15.75" customHeight="1">
      <c r="Z1005" s="49"/>
    </row>
    <row r="1006" spans="26:26" ht="14">
      <c r="Z1006" s="49"/>
    </row>
  </sheetData>
  <conditionalFormatting sqref="D117:AH117">
    <cfRule type="cellIs" dxfId="1" priority="1" operator="lessThan">
      <formula>0.05</formula>
    </cfRule>
  </conditionalFormatting>
  <pageMargins left="0.7" right="0.7" top="0.75" bottom="0.75" header="0" footer="0"/>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4" tint="0.79998168889431442"/>
  </sheetPr>
  <dimension ref="B1:AV1000"/>
  <sheetViews>
    <sheetView topLeftCell="H1" zoomScale="70" zoomScaleNormal="70" workbookViewId="0">
      <selection activeCell="X6" sqref="X6:AV6"/>
    </sheetView>
  </sheetViews>
  <sheetFormatPr defaultColWidth="12.58203125" defaultRowHeight="15" customHeight="1"/>
  <cols>
    <col min="2" max="2" width="22.25" customWidth="1"/>
    <col min="3" max="3" width="29.83203125" customWidth="1"/>
    <col min="4" max="4" width="35.33203125" customWidth="1"/>
    <col min="5" max="5" width="30.83203125" customWidth="1"/>
    <col min="6" max="11" width="8.25" customWidth="1"/>
    <col min="12" max="12" width="12.5" bestFit="1" customWidth="1"/>
    <col min="13" max="21" width="8.25" customWidth="1"/>
    <col min="22" max="22" width="5.75" customWidth="1"/>
    <col min="23" max="23" width="8.83203125" bestFit="1" customWidth="1"/>
    <col min="24" max="24" width="6.75" bestFit="1" customWidth="1"/>
    <col min="25" max="27" width="12.5" bestFit="1" customWidth="1"/>
  </cols>
  <sheetData>
    <row r="1" spans="2:48" ht="14.5">
      <c r="B1" s="20" t="s">
        <v>181</v>
      </c>
      <c r="C1" s="2">
        <v>1.2</v>
      </c>
    </row>
    <row r="3" spans="2:48" ht="14.5">
      <c r="B3" s="112"/>
      <c r="C3" s="4"/>
      <c r="D3" s="4"/>
      <c r="E3" s="4"/>
      <c r="F3" s="4"/>
      <c r="G3" s="4"/>
      <c r="H3" s="4"/>
      <c r="I3" s="4"/>
      <c r="J3" s="4"/>
      <c r="K3" s="4"/>
      <c r="L3" s="4"/>
      <c r="M3" s="4"/>
      <c r="N3" s="4"/>
      <c r="O3" s="4"/>
      <c r="P3" s="4"/>
      <c r="Q3" s="4"/>
      <c r="R3" s="4"/>
      <c r="S3" s="4"/>
      <c r="T3" s="4"/>
      <c r="U3" s="4"/>
    </row>
    <row r="4" spans="2:48" ht="14.5">
      <c r="C4" s="7"/>
      <c r="D4" s="7"/>
      <c r="E4" s="7"/>
      <c r="F4" s="7"/>
      <c r="G4" s="7"/>
      <c r="H4" s="7"/>
      <c r="I4" s="7"/>
      <c r="J4" s="7"/>
      <c r="K4" s="7"/>
      <c r="L4" s="7"/>
      <c r="M4" s="7"/>
      <c r="N4" s="7"/>
      <c r="O4" s="7"/>
      <c r="P4" s="7"/>
      <c r="Q4" s="7"/>
      <c r="R4" s="7"/>
      <c r="S4" s="7"/>
      <c r="T4" s="7"/>
      <c r="U4" s="7"/>
    </row>
    <row r="6" spans="2:48" ht="15" customHeight="1">
      <c r="X6" s="457" t="s">
        <v>1529</v>
      </c>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row>
    <row r="7" spans="2:48" ht="15" customHeight="1">
      <c r="C7" s="467" t="s">
        <v>843</v>
      </c>
      <c r="D7" s="467"/>
      <c r="E7" s="467"/>
      <c r="F7" s="467"/>
      <c r="Y7" t="s">
        <v>222</v>
      </c>
      <c r="Z7" t="s">
        <v>1527</v>
      </c>
      <c r="AA7" t="s">
        <v>1528</v>
      </c>
      <c r="AB7" t="s">
        <v>1408</v>
      </c>
    </row>
    <row r="8" spans="2:48" ht="15" customHeight="1">
      <c r="C8" s="141"/>
      <c r="D8" s="204" t="s">
        <v>183</v>
      </c>
      <c r="E8" s="204" t="s">
        <v>184</v>
      </c>
      <c r="F8" s="244" t="s">
        <v>185</v>
      </c>
      <c r="J8" t="s">
        <v>853</v>
      </c>
      <c r="L8" s="1" t="s">
        <v>854</v>
      </c>
      <c r="M8" s="248" t="s">
        <v>855</v>
      </c>
      <c r="N8" s="247"/>
      <c r="O8" t="s">
        <v>856</v>
      </c>
      <c r="Y8" s="204" t="s">
        <v>1409</v>
      </c>
      <c r="Z8" s="244" t="s">
        <v>1410</v>
      </c>
      <c r="AA8" s="419" t="s">
        <v>1487</v>
      </c>
      <c r="AB8" s="244" t="s">
        <v>139</v>
      </c>
      <c r="AC8" s="204" t="s">
        <v>37</v>
      </c>
      <c r="AD8" s="204" t="s">
        <v>140</v>
      </c>
      <c r="AE8" s="204" t="s">
        <v>48</v>
      </c>
      <c r="AF8" s="204" t="s">
        <v>141</v>
      </c>
      <c r="AG8" s="204" t="s">
        <v>142</v>
      </c>
      <c r="AH8" s="204" t="s">
        <v>143</v>
      </c>
      <c r="AI8" s="204" t="s">
        <v>144</v>
      </c>
      <c r="AJ8" s="204" t="s">
        <v>61</v>
      </c>
      <c r="AK8" s="204" t="s">
        <v>63</v>
      </c>
      <c r="AL8" s="204" t="s">
        <v>65</v>
      </c>
      <c r="AM8" s="204" t="s">
        <v>67</v>
      </c>
      <c r="AN8" s="204" t="s">
        <v>69</v>
      </c>
      <c r="AO8" s="204" t="s">
        <v>145</v>
      </c>
      <c r="AP8" s="204" t="s">
        <v>73</v>
      </c>
      <c r="AQ8" s="204" t="s">
        <v>75</v>
      </c>
      <c r="AR8" s="204" t="s">
        <v>146</v>
      </c>
      <c r="AS8" s="204" t="s">
        <v>83</v>
      </c>
      <c r="AT8" s="204" t="s">
        <v>85</v>
      </c>
      <c r="AU8" s="204" t="s">
        <v>88</v>
      </c>
      <c r="AV8" s="204" t="s">
        <v>147</v>
      </c>
    </row>
    <row r="9" spans="2:48" ht="15" customHeight="1">
      <c r="C9" s="157" t="s">
        <v>139</v>
      </c>
      <c r="D9" s="158">
        <v>1.3549232171897465</v>
      </c>
      <c r="E9" s="158">
        <v>0</v>
      </c>
      <c r="F9" s="159">
        <v>5.5874184232104003E-2</v>
      </c>
      <c r="I9" t="s">
        <v>139</v>
      </c>
      <c r="J9">
        <v>12166.000000000002</v>
      </c>
      <c r="L9">
        <v>0.42525971393017442</v>
      </c>
      <c r="M9" s="247">
        <v>0.73991631392010915</v>
      </c>
      <c r="N9" s="247">
        <v>0.73991631392010915</v>
      </c>
      <c r="O9">
        <v>0.7399</v>
      </c>
      <c r="P9">
        <v>0.7399</v>
      </c>
      <c r="X9" s="204" t="s">
        <v>139</v>
      </c>
      <c r="Y9" s="158">
        <v>-6.4848895516737198E-2</v>
      </c>
      <c r="Z9" s="159">
        <v>4.2285369535989201E-2</v>
      </c>
      <c r="AA9" s="159">
        <v>-3.5720666976293502E-3</v>
      </c>
      <c r="AB9" s="156">
        <v>-3.4549199254860002E-3</v>
      </c>
      <c r="AC9" s="156">
        <v>2.4172738044339298E-3</v>
      </c>
      <c r="AD9" s="156">
        <v>-1.6899920942256501E-2</v>
      </c>
      <c r="AE9" s="156">
        <v>7.7302585079938298E-4</v>
      </c>
      <c r="AF9" s="156">
        <v>-1.2589731409795601E-3</v>
      </c>
      <c r="AG9" s="156">
        <v>1.8866715088187E-3</v>
      </c>
      <c r="AH9" s="156">
        <v>2.2288911904317301E-3</v>
      </c>
      <c r="AI9" s="418">
        <v>5.6059639672212201E-6</v>
      </c>
      <c r="AJ9" s="156">
        <v>9.815281368432769E-4</v>
      </c>
      <c r="AK9" s="156">
        <v>1.80444565287559E-3</v>
      </c>
      <c r="AL9" s="156">
        <v>-7.66930670896196E-4</v>
      </c>
      <c r="AM9" s="418">
        <v>-5.5145869048075298E-5</v>
      </c>
      <c r="AN9" s="156">
        <v>-8.4944965272971407E-3</v>
      </c>
      <c r="AO9" s="156">
        <v>-9.7551888298022895E-4</v>
      </c>
      <c r="AP9" s="156">
        <v>1.1532421439523601E-3</v>
      </c>
      <c r="AQ9" s="156">
        <v>2.2035817577636001E-2</v>
      </c>
      <c r="AR9" s="418">
        <v>-3.6466416984647201E-4</v>
      </c>
      <c r="AS9" s="418">
        <v>4.8032443254251002E-6</v>
      </c>
      <c r="AT9" s="156">
        <v>-1.6950875537330399E-4</v>
      </c>
      <c r="AU9" s="156">
        <v>-2.0173931391495102E-3</v>
      </c>
      <c r="AV9" s="159">
        <v>1.1661746515508899E-3</v>
      </c>
    </row>
    <row r="10" spans="2:48" ht="15" customHeight="1">
      <c r="C10" s="157" t="s">
        <v>37</v>
      </c>
      <c r="D10" s="158">
        <v>0.25883976119088475</v>
      </c>
      <c r="E10" s="158">
        <v>0</v>
      </c>
      <c r="F10" s="159">
        <v>0.42863956199997694</v>
      </c>
      <c r="I10" t="s">
        <v>37</v>
      </c>
      <c r="J10">
        <v>858.3</v>
      </c>
      <c r="L10">
        <v>0.18988938053097343</v>
      </c>
      <c r="M10" s="247">
        <v>0.23439932271895564</v>
      </c>
      <c r="N10" s="247">
        <v>0.23439932271895564</v>
      </c>
      <c r="O10">
        <v>0.2344</v>
      </c>
      <c r="P10">
        <v>0.2344</v>
      </c>
      <c r="X10" s="204" t="s">
        <v>37</v>
      </c>
      <c r="Y10" s="158">
        <v>0.1039555455946</v>
      </c>
      <c r="Z10" s="159">
        <v>-1.52423346262074E-2</v>
      </c>
      <c r="AA10" s="159">
        <v>3.3017895735589002E-4</v>
      </c>
      <c r="AB10" s="156">
        <v>2.4172738044339298E-3</v>
      </c>
      <c r="AC10" s="156">
        <v>-2.5850905866353102E-3</v>
      </c>
      <c r="AD10" s="156">
        <v>1.3243737988105599E-2</v>
      </c>
      <c r="AE10" s="156">
        <v>-6.6603033074883703E-4</v>
      </c>
      <c r="AF10" s="156">
        <v>7.48487129059424E-4</v>
      </c>
      <c r="AG10" s="156">
        <v>-1.3282121323443499E-3</v>
      </c>
      <c r="AH10" s="156">
        <v>-1.5691339520256501E-3</v>
      </c>
      <c r="AI10" s="418">
        <v>-3.9467466310034103E-6</v>
      </c>
      <c r="AJ10" s="156">
        <v>-3.4167646978437698E-3</v>
      </c>
      <c r="AK10" s="418">
        <v>-1.0597107919095099E-3</v>
      </c>
      <c r="AL10" s="156">
        <v>4.5525572494997798E-4</v>
      </c>
      <c r="AM10" s="156">
        <v>5.3070702349244795E-4</v>
      </c>
      <c r="AN10" s="156">
        <v>4.0406308443762503E-3</v>
      </c>
      <c r="AO10" s="156">
        <v>1.38911898138925E-3</v>
      </c>
      <c r="AP10" s="156">
        <v>3.4908944696504198E-4</v>
      </c>
      <c r="AQ10" s="156">
        <v>-1.29654440249707E-2</v>
      </c>
      <c r="AR10" s="156">
        <v>-2.1228640408534299E-4</v>
      </c>
      <c r="AS10" s="418">
        <v>-4.0875062171352197E-5</v>
      </c>
      <c r="AT10" s="156">
        <v>-2.25249893262451E-4</v>
      </c>
      <c r="AU10" s="156">
        <v>1.4441282072937701E-3</v>
      </c>
      <c r="AV10" s="159">
        <v>-5.4568210200554499E-4</v>
      </c>
    </row>
    <row r="11" spans="2:48" ht="15" customHeight="1">
      <c r="C11" s="157" t="s">
        <v>140</v>
      </c>
      <c r="D11" s="158">
        <v>0.8994977845899329</v>
      </c>
      <c r="E11" s="158">
        <v>0</v>
      </c>
      <c r="F11" s="159">
        <v>0.15563465126340859</v>
      </c>
      <c r="I11" t="s">
        <v>140</v>
      </c>
      <c r="J11">
        <v>38745.800000000003</v>
      </c>
      <c r="L11">
        <v>0.18474917402207028</v>
      </c>
      <c r="M11" s="247">
        <v>0.22661635920510156</v>
      </c>
      <c r="N11" s="247">
        <v>0.22661635920510156</v>
      </c>
      <c r="O11">
        <v>0.2266</v>
      </c>
      <c r="P11">
        <v>0.2266</v>
      </c>
      <c r="X11" s="204" t="s">
        <v>140</v>
      </c>
      <c r="Y11" s="158">
        <v>-0.51751323737375698</v>
      </c>
      <c r="Z11" s="159">
        <v>0.21334305131482201</v>
      </c>
      <c r="AA11" s="159">
        <v>-1.35241732895126E-2</v>
      </c>
      <c r="AB11" s="156">
        <v>-1.6899920942256501E-2</v>
      </c>
      <c r="AC11" s="156">
        <v>1.3243737988105599E-2</v>
      </c>
      <c r="AD11" s="156">
        <v>-9.0413455428618394E-2</v>
      </c>
      <c r="AE11" s="156">
        <v>4.8717493034389804E-3</v>
      </c>
      <c r="AF11" s="156">
        <v>-7.4036106839187599E-3</v>
      </c>
      <c r="AG11" s="156">
        <v>1.14040006493949E-2</v>
      </c>
      <c r="AH11" s="156">
        <v>1.3472550183910499E-2</v>
      </c>
      <c r="AI11" s="418">
        <v>3.38850735920615E-5</v>
      </c>
      <c r="AJ11" s="156">
        <v>2.2028750327768298E-3</v>
      </c>
      <c r="AK11" s="156">
        <v>1.02856182080013E-2</v>
      </c>
      <c r="AL11" s="156">
        <v>-4.4963226326540304E-3</v>
      </c>
      <c r="AM11" s="418">
        <v>-2.37762725005359E-4</v>
      </c>
      <c r="AN11" s="156">
        <v>-4.4247913007944603E-2</v>
      </c>
      <c r="AO11" s="156">
        <v>-9.00490377395473E-3</v>
      </c>
      <c r="AP11" s="156">
        <v>5.15870173213351E-3</v>
      </c>
      <c r="AQ11" s="156">
        <v>0.12572777657641099</v>
      </c>
      <c r="AR11" s="156">
        <v>-3.21401610525349E-3</v>
      </c>
      <c r="AS11" s="418">
        <v>-7.0918931987718893E-5</v>
      </c>
      <c r="AT11" s="156">
        <v>-1.4649049294246401E-3</v>
      </c>
      <c r="AU11" s="156">
        <v>-1.23392249540206E-2</v>
      </c>
      <c r="AV11" s="159">
        <v>3.39210602876589E-3</v>
      </c>
    </row>
    <row r="12" spans="2:48" ht="15" customHeight="1">
      <c r="C12" s="157" t="s">
        <v>48</v>
      </c>
      <c r="D12" s="158">
        <v>0.23587855854722967</v>
      </c>
      <c r="E12" s="158">
        <v>0</v>
      </c>
      <c r="F12" s="159">
        <v>0.84077569050450229</v>
      </c>
      <c r="I12" t="s">
        <v>48</v>
      </c>
      <c r="J12">
        <v>-1093.4000000000001</v>
      </c>
      <c r="L12">
        <v>-0.43723757347942582</v>
      </c>
      <c r="M12" s="247">
        <v>-0.3042208063214713</v>
      </c>
      <c r="N12" s="247">
        <v>-0.3042208063214713</v>
      </c>
      <c r="O12">
        <v>-0.30420000000000003</v>
      </c>
      <c r="P12">
        <v>-0.30420000000000003</v>
      </c>
      <c r="X12" s="204" t="s">
        <v>48</v>
      </c>
      <c r="Y12" s="158">
        <v>6.1805927025123303E-2</v>
      </c>
      <c r="Z12" s="159">
        <v>-1.0194475620148699E-2</v>
      </c>
      <c r="AA12" s="159">
        <v>1.0291913605281499E-3</v>
      </c>
      <c r="AB12" s="156">
        <v>7.7302585079938298E-4</v>
      </c>
      <c r="AC12" s="156">
        <v>-6.6603033074883605E-4</v>
      </c>
      <c r="AD12" s="156">
        <v>4.87174930343897E-3</v>
      </c>
      <c r="AE12" s="156">
        <v>3.8652978582873298E-3</v>
      </c>
      <c r="AF12" s="156">
        <v>4.5670038670891496E-3</v>
      </c>
      <c r="AG12" s="156">
        <v>-1.60513986171746E-4</v>
      </c>
      <c r="AH12" s="156">
        <v>-1.8962930645160199E-4</v>
      </c>
      <c r="AI12" s="418">
        <v>-4.7698727679291797E-7</v>
      </c>
      <c r="AJ12" s="156">
        <v>-8.2492652049500302E-4</v>
      </c>
      <c r="AK12" s="156">
        <v>-1.2798532176978899E-3</v>
      </c>
      <c r="AL12" s="156">
        <v>2.7931938350987699E-3</v>
      </c>
      <c r="AM12" s="156">
        <v>-1.0412591154506799E-3</v>
      </c>
      <c r="AN12" s="156">
        <v>1.28507540107071E-3</v>
      </c>
      <c r="AO12" s="156">
        <v>-7.7345162956926996E-4</v>
      </c>
      <c r="AP12" s="418">
        <v>-5.93373683689121E-5</v>
      </c>
      <c r="AQ12" s="156">
        <v>-1.5767619411364401E-2</v>
      </c>
      <c r="AR12" s="156">
        <v>1.2423207842157599E-3</v>
      </c>
      <c r="AS12" s="418">
        <v>4.3555548985792399E-5</v>
      </c>
      <c r="AT12" s="156">
        <v>6.3004942371912298E-4</v>
      </c>
      <c r="AU12" s="156">
        <v>1.27636456445549E-3</v>
      </c>
      <c r="AV12" s="159">
        <v>-5.84533819235724E-4</v>
      </c>
    </row>
    <row r="13" spans="2:48" ht="15" customHeight="1">
      <c r="C13" s="157" t="s">
        <v>141</v>
      </c>
      <c r="D13" s="158">
        <v>0.30455051544740191</v>
      </c>
      <c r="E13" s="158">
        <v>0</v>
      </c>
      <c r="F13" s="159">
        <v>0.12853328202945058</v>
      </c>
      <c r="I13" t="s">
        <v>341</v>
      </c>
      <c r="J13">
        <v>-275.89999999999998</v>
      </c>
      <c r="L13">
        <v>-1.617935094941534E-2</v>
      </c>
      <c r="M13" s="247">
        <v>-1.5921747410335578E-2</v>
      </c>
      <c r="N13" s="247">
        <v>-1.5921747410335578E-2</v>
      </c>
      <c r="O13">
        <v>-1.5900000000000001E-2</v>
      </c>
      <c r="P13">
        <v>-1.5900000000000001E-2</v>
      </c>
      <c r="X13" s="204" t="s">
        <v>141</v>
      </c>
      <c r="Y13" s="158">
        <v>-2.3802650797562799E-2</v>
      </c>
      <c r="Z13" s="159">
        <v>3.6533350403045199E-3</v>
      </c>
      <c r="AA13" s="159">
        <v>7.0178344917904605E-4</v>
      </c>
      <c r="AB13" s="156">
        <v>-1.2589731409795601E-3</v>
      </c>
      <c r="AC13" s="156">
        <v>7.48487129059424E-4</v>
      </c>
      <c r="AD13" s="156">
        <v>-7.4036106839187503E-3</v>
      </c>
      <c r="AE13" s="156">
        <v>4.5670038670891496E-3</v>
      </c>
      <c r="AF13" s="156">
        <v>4.30619606538875E-3</v>
      </c>
      <c r="AG13" s="156">
        <v>7.7780731899977098E-4</v>
      </c>
      <c r="AH13" s="156">
        <v>9.1889227831579601E-4</v>
      </c>
      <c r="AI13" s="418">
        <v>2.3111282637904201E-6</v>
      </c>
      <c r="AJ13" s="156">
        <v>2.1673047739260401E-4</v>
      </c>
      <c r="AK13" s="156">
        <v>-2.8122987025835298E-4</v>
      </c>
      <c r="AL13" s="156">
        <v>2.6320382944287398E-3</v>
      </c>
      <c r="AM13" s="156">
        <v>-6.10676857282763E-4</v>
      </c>
      <c r="AN13" s="156">
        <v>-2.18826523777968E-4</v>
      </c>
      <c r="AO13" s="418">
        <v>-2.11404798909718E-3</v>
      </c>
      <c r="AP13" s="156">
        <v>-4.4731989091165202E-4</v>
      </c>
      <c r="AQ13" s="156">
        <v>-3.4813049736100899E-3</v>
      </c>
      <c r="AR13" s="156">
        <v>1.3090447036873999E-3</v>
      </c>
      <c r="AS13" s="418">
        <v>6.4031804602058297E-6</v>
      </c>
      <c r="AT13" s="156">
        <v>4.1422718259192398E-4</v>
      </c>
      <c r="AU13" s="156">
        <v>2.7670684903284402E-4</v>
      </c>
      <c r="AV13" s="159">
        <v>-3.5985848891783201E-4</v>
      </c>
    </row>
    <row r="14" spans="2:48" ht="15" customHeight="1">
      <c r="C14" s="157" t="s">
        <v>142</v>
      </c>
      <c r="D14" s="158">
        <v>1.9206511151690283E-4</v>
      </c>
      <c r="E14" s="158">
        <v>0</v>
      </c>
      <c r="F14" s="159">
        <v>0.22739896319194214</v>
      </c>
      <c r="I14" s="246" t="s">
        <v>58</v>
      </c>
      <c r="J14" s="246">
        <v>4527.3999999999996</v>
      </c>
      <c r="K14" s="246"/>
      <c r="L14" s="246">
        <v>0.18606314162892579</v>
      </c>
      <c r="M14" s="247">
        <v>0.22859653020418877</v>
      </c>
      <c r="N14" s="247">
        <v>0.22859653020418877</v>
      </c>
      <c r="O14" s="246">
        <v>0.2286</v>
      </c>
      <c r="P14" s="246">
        <v>0.2286</v>
      </c>
      <c r="Q14" t="s">
        <v>857</v>
      </c>
      <c r="X14" s="204" t="s">
        <v>142</v>
      </c>
      <c r="Y14" s="158">
        <v>8.3043649277999607E-2</v>
      </c>
      <c r="Z14" s="159">
        <v>-1.35603983706817E-2</v>
      </c>
      <c r="AA14" s="159">
        <v>4.38084944859215E-4</v>
      </c>
      <c r="AB14" s="156">
        <v>1.8866715088187E-3</v>
      </c>
      <c r="AC14" s="156">
        <v>-1.3282121323443499E-3</v>
      </c>
      <c r="AD14" s="156">
        <v>1.14040006493949E-2</v>
      </c>
      <c r="AE14" s="156">
        <v>-1.60513986171746E-4</v>
      </c>
      <c r="AF14" s="156">
        <v>7.7780731899977098E-4</v>
      </c>
      <c r="AG14" s="156">
        <v>-8.5218076771775798E-4</v>
      </c>
      <c r="AH14" s="156">
        <v>-1.00675618248496E-3</v>
      </c>
      <c r="AI14" s="418">
        <v>-2.5321620746287902E-6</v>
      </c>
      <c r="AJ14" s="156">
        <v>-1.00354140170456E-3</v>
      </c>
      <c r="AK14" s="418">
        <v>-1.03551449541311E-3</v>
      </c>
      <c r="AL14" s="156">
        <v>4.7721671391209001E-4</v>
      </c>
      <c r="AM14" s="156">
        <v>-5.0978803452817205E-4</v>
      </c>
      <c r="AN14" s="156">
        <v>1.5257487251527E-3</v>
      </c>
      <c r="AO14" s="156">
        <v>1.07925834249005E-3</v>
      </c>
      <c r="AP14" s="156">
        <v>3.3876653794118297E-4</v>
      </c>
      <c r="AQ14" s="156">
        <v>-1.27415114285063E-2</v>
      </c>
      <c r="AR14" s="418">
        <v>9.2713208867435505E-5</v>
      </c>
      <c r="AS14" s="418">
        <v>3.79092768225597E-5</v>
      </c>
      <c r="AT14" s="156">
        <v>2.65092663372978E-4</v>
      </c>
      <c r="AU14" s="156">
        <v>1.0294581613359E-3</v>
      </c>
      <c r="AV14" s="159">
        <v>-2.7408775108083799E-4</v>
      </c>
    </row>
    <row r="15" spans="2:48" ht="15" customHeight="1">
      <c r="C15" s="157" t="s">
        <v>143</v>
      </c>
      <c r="D15" s="158">
        <v>1.9206511151690286E-4</v>
      </c>
      <c r="E15" s="158">
        <v>0</v>
      </c>
      <c r="F15" s="159">
        <v>0.22739896319194219</v>
      </c>
      <c r="I15" t="s">
        <v>61</v>
      </c>
      <c r="J15">
        <v>323.70000000000005</v>
      </c>
      <c r="L15">
        <v>2.5606746194981496E-2</v>
      </c>
      <c r="M15" s="247">
        <v>2.6279683377308714E-2</v>
      </c>
      <c r="N15" s="247">
        <v>2.6279683377308714E-2</v>
      </c>
      <c r="O15">
        <v>2.63E-2</v>
      </c>
      <c r="P15">
        <v>2.63E-2</v>
      </c>
      <c r="X15" s="204" t="s">
        <v>143</v>
      </c>
      <c r="Y15" s="158">
        <v>9.81067755737349E-2</v>
      </c>
      <c r="Z15" s="159">
        <v>-1.6020092700759499E-2</v>
      </c>
      <c r="AA15" s="159">
        <v>5.1754832237269305E-4</v>
      </c>
      <c r="AB15" s="156">
        <v>2.2288911904317301E-3</v>
      </c>
      <c r="AC15" s="156">
        <v>-1.5691339520256501E-3</v>
      </c>
      <c r="AD15" s="156">
        <v>1.3472550183910499E-2</v>
      </c>
      <c r="AE15" s="156">
        <v>-1.8962930645160099E-4</v>
      </c>
      <c r="AF15" s="156">
        <v>9.1889227831579601E-4</v>
      </c>
      <c r="AG15" s="156">
        <v>-1.00675618248496E-3</v>
      </c>
      <c r="AH15" s="156">
        <v>-1.1893697315959501E-3</v>
      </c>
      <c r="AI15" s="418">
        <v>-2.9914660366177201E-6</v>
      </c>
      <c r="AJ15" s="156">
        <v>-1.1855718279719699E-3</v>
      </c>
      <c r="AK15" s="418">
        <v>-1.2233444590657801E-3</v>
      </c>
      <c r="AL15" s="156">
        <v>5.6377812703146599E-4</v>
      </c>
      <c r="AM15" s="156">
        <v>-6.0225749624999501E-4</v>
      </c>
      <c r="AN15" s="156">
        <v>1.80250132384444E-3</v>
      </c>
      <c r="AO15" s="156">
        <v>1.2750229176260899E-3</v>
      </c>
      <c r="AP15" s="156">
        <v>4.0021474247148401E-4</v>
      </c>
      <c r="AQ15" s="156">
        <v>-1.5052669446185E-2</v>
      </c>
      <c r="AR15" s="156">
        <v>1.09530277801604E-4</v>
      </c>
      <c r="AS15" s="418">
        <v>4.4785566936528599E-5</v>
      </c>
      <c r="AT15" s="156">
        <v>3.1317730684875402E-4</v>
      </c>
      <c r="AU15" s="156">
        <v>1.2161895783099699E-3</v>
      </c>
      <c r="AV15" s="159">
        <v>-3.2380399605007901E-4</v>
      </c>
    </row>
    <row r="16" spans="2:48" ht="15" customHeight="1">
      <c r="C16" s="157" t="s">
        <v>144</v>
      </c>
      <c r="D16" s="158">
        <v>1.9206511151690283E-4</v>
      </c>
      <c r="E16" s="158">
        <v>0</v>
      </c>
      <c r="F16" s="159">
        <v>0.22739896319194214</v>
      </c>
      <c r="I16" t="s">
        <v>63</v>
      </c>
      <c r="J16">
        <v>33520.6</v>
      </c>
      <c r="L16">
        <v>0.41104151543094825</v>
      </c>
      <c r="M16" s="247">
        <v>0.69791254596104924</v>
      </c>
      <c r="N16" s="247">
        <v>0.69791254596104924</v>
      </c>
      <c r="O16">
        <v>0.69789999999999996</v>
      </c>
      <c r="P16">
        <v>0.69789999999999996</v>
      </c>
      <c r="X16" s="204" t="s">
        <v>144</v>
      </c>
      <c r="Y16" s="158">
        <v>2.4675040159396003E-4</v>
      </c>
      <c r="Z16" s="420">
        <v>-4.0292078434891801E-5</v>
      </c>
      <c r="AA16" s="420">
        <v>1.3016396177751499E-6</v>
      </c>
      <c r="AB16" s="418">
        <v>5.6059639672212201E-6</v>
      </c>
      <c r="AC16" s="418">
        <v>-3.9467466310034103E-6</v>
      </c>
      <c r="AD16" s="418">
        <v>3.38850735920615E-5</v>
      </c>
      <c r="AE16" s="418">
        <v>-4.7698727679291797E-7</v>
      </c>
      <c r="AF16" s="418">
        <v>2.3111282637904201E-6</v>
      </c>
      <c r="AG16" s="418">
        <v>-2.5321620746287902E-6</v>
      </c>
      <c r="AH16" s="418">
        <v>-2.9914660366177201E-6</v>
      </c>
      <c r="AI16" s="418">
        <v>-7.5240430598612003E-9</v>
      </c>
      <c r="AJ16" s="418">
        <v>-2.9822892961275999E-6</v>
      </c>
      <c r="AK16" s="418">
        <v>-3.07683075731118E-6</v>
      </c>
      <c r="AL16" s="418">
        <v>1.4179713289285899E-6</v>
      </c>
      <c r="AM16" s="418">
        <v>-1.51456513482338E-6</v>
      </c>
      <c r="AN16" s="418">
        <v>4.5338295945336698E-6</v>
      </c>
      <c r="AO16" s="418">
        <v>3.2068441548986399E-6</v>
      </c>
      <c r="AP16" s="418">
        <v>1.0065960573174599E-6</v>
      </c>
      <c r="AQ16" s="418">
        <v>-3.7858922443169899E-5</v>
      </c>
      <c r="AR16" s="418">
        <v>2.7542636156027101E-7</v>
      </c>
      <c r="AS16" s="418">
        <v>1.12626949315495E-7</v>
      </c>
      <c r="AT16" s="418">
        <v>7.8759077093000804E-7</v>
      </c>
      <c r="AU16" s="418">
        <v>3.0588999896322799E-6</v>
      </c>
      <c r="AV16" s="420">
        <v>-8.1444317845588797E-7</v>
      </c>
    </row>
    <row r="17" spans="3:48" ht="15" customHeight="1">
      <c r="C17" s="157" t="s">
        <v>61</v>
      </c>
      <c r="D17" s="158">
        <v>0</v>
      </c>
      <c r="E17" s="158">
        <v>0</v>
      </c>
      <c r="F17" s="159">
        <v>8.6380336337726737E-2</v>
      </c>
      <c r="I17" t="s">
        <v>65</v>
      </c>
      <c r="J17">
        <v>75690.2</v>
      </c>
      <c r="L17">
        <v>0.46484300151815144</v>
      </c>
      <c r="M17" s="247">
        <v>0.86861052520444249</v>
      </c>
      <c r="N17" s="247">
        <v>0.86861052520444249</v>
      </c>
      <c r="O17">
        <v>0.86860000000000004</v>
      </c>
      <c r="P17">
        <v>0.86860000000000004</v>
      </c>
      <c r="X17" s="204" t="s">
        <v>61</v>
      </c>
      <c r="Y17" s="158">
        <v>1.8209119366227201E-2</v>
      </c>
      <c r="Z17" s="159">
        <v>3.6244410947439401E-3</v>
      </c>
      <c r="AA17" s="159">
        <v>-8.5898339450487301E-4</v>
      </c>
      <c r="AB17" s="156">
        <v>9.815281368432769E-4</v>
      </c>
      <c r="AC17" s="156">
        <v>-3.4167646978437698E-3</v>
      </c>
      <c r="AD17" s="156">
        <v>2.2028750327768298E-3</v>
      </c>
      <c r="AE17" s="156">
        <v>-8.2492652049500205E-4</v>
      </c>
      <c r="AF17" s="156">
        <v>2.1673047739260401E-4</v>
      </c>
      <c r="AG17" s="156">
        <v>-1.00354140170456E-3</v>
      </c>
      <c r="AH17" s="156">
        <v>-1.1855718279719699E-3</v>
      </c>
      <c r="AI17" s="418">
        <v>-2.9822892961275999E-6</v>
      </c>
      <c r="AJ17" s="156">
        <v>-7.5420494745722603E-3</v>
      </c>
      <c r="AK17" s="156">
        <v>2.5425856726471197E-4</v>
      </c>
      <c r="AL17" s="156">
        <v>1.20828172382729E-4</v>
      </c>
      <c r="AM17" s="156">
        <v>3.02248333112828E-3</v>
      </c>
      <c r="AN17" s="156">
        <v>5.7669640126101797E-3</v>
      </c>
      <c r="AO17" s="156">
        <v>3.5571274417314102E-4</v>
      </c>
      <c r="AP17" s="156">
        <v>1.7892012727057299E-4</v>
      </c>
      <c r="AQ17" s="156">
        <v>3.3130323970416401E-3</v>
      </c>
      <c r="AR17" s="156">
        <v>-9.2232132591445399E-4</v>
      </c>
      <c r="AS17" s="156">
        <v>-2.3205648758649401E-4</v>
      </c>
      <c r="AT17" s="156">
        <v>-1.4337216379095E-3</v>
      </c>
      <c r="AU17" s="156">
        <v>8.3909704102627897E-4</v>
      </c>
      <c r="AV17" s="159">
        <v>-6.8850087737966901E-4</v>
      </c>
    </row>
    <row r="18" spans="3:48" ht="15" customHeight="1">
      <c r="C18" s="157" t="s">
        <v>63</v>
      </c>
      <c r="D18" s="158">
        <v>0</v>
      </c>
      <c r="E18" s="158">
        <v>0</v>
      </c>
      <c r="F18" s="159">
        <v>9.539665430073424E-2</v>
      </c>
      <c r="I18" t="s">
        <v>342</v>
      </c>
      <c r="J18">
        <v>16074.700000000003</v>
      </c>
      <c r="L18">
        <v>0.33700499175029935</v>
      </c>
      <c r="M18" s="247">
        <v>0.50830698203895786</v>
      </c>
      <c r="N18" s="247">
        <v>0.50830698203895786</v>
      </c>
      <c r="O18">
        <v>0.50829999999999997</v>
      </c>
      <c r="P18">
        <v>0.50829999999999997</v>
      </c>
      <c r="X18" s="204" t="s">
        <v>63</v>
      </c>
      <c r="Y18" s="158">
        <v>0.115545284234559</v>
      </c>
      <c r="Z18" s="159">
        <v>-2.0706801744587E-2</v>
      </c>
      <c r="AA18" s="159">
        <v>1.0028412718966E-3</v>
      </c>
      <c r="AB18" s="156">
        <v>1.80444565287559E-3</v>
      </c>
      <c r="AC18" s="418">
        <v>-1.0597107919095099E-3</v>
      </c>
      <c r="AD18" s="156">
        <v>1.02856182080013E-2</v>
      </c>
      <c r="AE18" s="156">
        <v>-1.2798532176978899E-3</v>
      </c>
      <c r="AF18" s="156">
        <v>-2.8122987025835298E-4</v>
      </c>
      <c r="AG18" s="418">
        <v>-1.03551449541311E-3</v>
      </c>
      <c r="AH18" s="418">
        <v>-1.2233444590657801E-3</v>
      </c>
      <c r="AI18" s="418">
        <v>-3.07683075731118E-6</v>
      </c>
      <c r="AJ18" s="156">
        <v>2.54258567264713E-4</v>
      </c>
      <c r="AK18" s="418">
        <v>-9.9321259397177307E-4</v>
      </c>
      <c r="AL18" s="156">
        <v>-1.72903413020094E-4</v>
      </c>
      <c r="AM18" s="418">
        <v>5.0164538457965603E-5</v>
      </c>
      <c r="AN18" s="156">
        <v>3.55312456623801E-3</v>
      </c>
      <c r="AO18" s="156">
        <v>1.5767941473258901E-3</v>
      </c>
      <c r="AP18" s="156">
        <v>-2.92953236250567E-4</v>
      </c>
      <c r="AQ18" s="418">
        <v>-1.2161828817545E-2</v>
      </c>
      <c r="AR18" s="418">
        <v>5.9112007517658397E-5</v>
      </c>
      <c r="AS18" s="418">
        <v>4.8779578102622598E-6</v>
      </c>
      <c r="AT18" s="418">
        <v>3.3876606092050997E-5</v>
      </c>
      <c r="AU18" s="156">
        <v>1.1726294754967699E-3</v>
      </c>
      <c r="AV18" s="159">
        <v>-2.91274000430721E-4</v>
      </c>
    </row>
    <row r="19" spans="3:48" ht="15" customHeight="1">
      <c r="C19" s="157" t="s">
        <v>65</v>
      </c>
      <c r="D19" s="158">
        <v>0</v>
      </c>
      <c r="E19" s="158">
        <v>0.92758928000407903</v>
      </c>
      <c r="F19" s="159">
        <v>0.1205017826717905</v>
      </c>
      <c r="I19" t="s">
        <v>858</v>
      </c>
      <c r="J19">
        <v>71055.200000000012</v>
      </c>
      <c r="L19">
        <v>0.41970365951263605</v>
      </c>
      <c r="M19" s="247">
        <v>0.72325746386776524</v>
      </c>
      <c r="N19" s="247">
        <v>0.72325746386776524</v>
      </c>
      <c r="O19">
        <v>0.72330000000000005</v>
      </c>
      <c r="P19">
        <v>0.72330000000000005</v>
      </c>
      <c r="X19" s="204" t="s">
        <v>65</v>
      </c>
      <c r="Y19" s="158">
        <v>-1.4465698210041801E-2</v>
      </c>
      <c r="Z19" s="159">
        <v>2.2924618250336902E-3</v>
      </c>
      <c r="AA19" s="159">
        <v>4.1143782938572097E-4</v>
      </c>
      <c r="AB19" s="156">
        <v>-7.6693067089619697E-4</v>
      </c>
      <c r="AC19" s="156">
        <v>4.5525572494997798E-4</v>
      </c>
      <c r="AD19" s="156">
        <v>-4.4963226326540304E-3</v>
      </c>
      <c r="AE19" s="156">
        <v>2.7931938350987699E-3</v>
      </c>
      <c r="AF19" s="156">
        <v>2.6320382944287398E-3</v>
      </c>
      <c r="AG19" s="156">
        <v>4.7721671391209001E-4</v>
      </c>
      <c r="AH19" s="156">
        <v>5.6377812703146599E-4</v>
      </c>
      <c r="AI19" s="418">
        <v>1.4179713289285899E-6</v>
      </c>
      <c r="AJ19" s="156">
        <v>1.20828172382729E-4</v>
      </c>
      <c r="AK19" s="156">
        <v>-1.72903413020094E-4</v>
      </c>
      <c r="AL19" s="156">
        <v>1.6087226902373999E-3</v>
      </c>
      <c r="AM19" s="156">
        <v>-3.7038065994342902E-4</v>
      </c>
      <c r="AN19" s="418">
        <v>-1.6171293562553099E-4</v>
      </c>
      <c r="AO19" s="156">
        <v>-1.28234291803781E-3</v>
      </c>
      <c r="AP19" s="156">
        <v>-2.7529090083423102E-4</v>
      </c>
      <c r="AQ19" s="156">
        <v>-2.14111028884427E-3</v>
      </c>
      <c r="AR19" s="156">
        <v>7.9807247081414097E-4</v>
      </c>
      <c r="AS19" s="418">
        <v>4.0433588113625698E-6</v>
      </c>
      <c r="AT19" s="156">
        <v>2.5414634613962501E-4</v>
      </c>
      <c r="AU19" s="156">
        <v>1.7452357092081301E-4</v>
      </c>
      <c r="AV19" s="159">
        <v>-2.16242856200437E-4</v>
      </c>
    </row>
    <row r="20" spans="3:48" ht="15" customHeight="1">
      <c r="C20" s="157" t="s">
        <v>67</v>
      </c>
      <c r="D20" s="158">
        <v>0</v>
      </c>
      <c r="E20" s="158">
        <v>7.2410777812810995E-2</v>
      </c>
      <c r="F20" s="159">
        <v>-0.28414470069455205</v>
      </c>
      <c r="I20" t="s">
        <v>69</v>
      </c>
      <c r="J20">
        <v>22214.9</v>
      </c>
      <c r="L20">
        <v>0.42256706606075939</v>
      </c>
      <c r="M20" s="247">
        <v>0.73180284882265356</v>
      </c>
      <c r="N20" s="247">
        <v>0.73180284882265356</v>
      </c>
      <c r="O20">
        <v>0.73180000000000001</v>
      </c>
      <c r="P20">
        <v>0.73180000000000001</v>
      </c>
      <c r="X20" s="204" t="s">
        <v>67</v>
      </c>
      <c r="Y20" s="158">
        <v>-7.4816122410000597E-3</v>
      </c>
      <c r="Z20" s="159">
        <v>-3.8831772261948699E-3</v>
      </c>
      <c r="AA20" s="159">
        <v>5.3606979819954402E-4</v>
      </c>
      <c r="AB20" s="418">
        <v>-5.5145869048075298E-5</v>
      </c>
      <c r="AC20" s="156">
        <v>5.3070702349244903E-4</v>
      </c>
      <c r="AD20" s="418">
        <v>-2.37762725005359E-4</v>
      </c>
      <c r="AE20" s="156">
        <v>-1.0412591154506799E-3</v>
      </c>
      <c r="AF20" s="156">
        <v>-6.10676857282763E-4</v>
      </c>
      <c r="AG20" s="156">
        <v>-5.0978803452817205E-4</v>
      </c>
      <c r="AH20" s="156">
        <v>-6.0225749624999501E-4</v>
      </c>
      <c r="AI20" s="418">
        <v>-1.51456513482338E-6</v>
      </c>
      <c r="AJ20" s="156">
        <v>3.02248333112828E-3</v>
      </c>
      <c r="AK20" s="418">
        <v>5.0164538457965603E-5</v>
      </c>
      <c r="AL20" s="156">
        <v>-3.7038065994342902E-4</v>
      </c>
      <c r="AM20" s="156">
        <v>-8.6434843371968502E-3</v>
      </c>
      <c r="AN20" s="156">
        <v>3.3009381822596499E-3</v>
      </c>
      <c r="AO20" s="156">
        <v>1.68845016651386E-3</v>
      </c>
      <c r="AP20" s="156">
        <v>-3.2260883702702001E-4</v>
      </c>
      <c r="AQ20" s="156">
        <v>7.1326054499417898E-4</v>
      </c>
      <c r="AR20" s="156">
        <v>3.8037933773249201E-4</v>
      </c>
      <c r="AS20" s="418">
        <v>9.89025090867958E-5</v>
      </c>
      <c r="AT20" s="418">
        <v>5.9217232389422803E-4</v>
      </c>
      <c r="AU20" s="156">
        <v>1.3648171492329499E-3</v>
      </c>
      <c r="AV20" s="159">
        <v>6.5262338936699E-4</v>
      </c>
    </row>
    <row r="21" spans="3:48" ht="15.75" customHeight="1">
      <c r="C21" s="157" t="s">
        <v>69</v>
      </c>
      <c r="D21" s="158">
        <v>0</v>
      </c>
      <c r="E21" s="158">
        <v>0</v>
      </c>
      <c r="F21" s="159">
        <v>5.6422515806099298E-2</v>
      </c>
      <c r="I21" t="s">
        <v>859</v>
      </c>
      <c r="J21">
        <v>44111.3</v>
      </c>
      <c r="L21">
        <v>0.429006021079126</v>
      </c>
      <c r="M21" s="247">
        <v>0.7513319525538743</v>
      </c>
      <c r="N21" s="247">
        <v>0.7513319525538743</v>
      </c>
      <c r="O21">
        <v>0.75129999999999997</v>
      </c>
      <c r="P21">
        <v>0.75129999999999997</v>
      </c>
      <c r="X21" s="204" t="s">
        <v>69</v>
      </c>
      <c r="Y21" s="158">
        <v>-0.15344782453033901</v>
      </c>
      <c r="Z21" s="159">
        <v>4.3606153888052099E-2</v>
      </c>
      <c r="AA21" s="159">
        <v>-1.80470075441888E-3</v>
      </c>
      <c r="AB21" s="156">
        <v>-8.4944965272971407E-3</v>
      </c>
      <c r="AC21" s="156">
        <v>4.0406308443762503E-3</v>
      </c>
      <c r="AD21" s="156">
        <v>-4.4247913007944603E-2</v>
      </c>
      <c r="AE21" s="156">
        <v>1.28507540107071E-3</v>
      </c>
      <c r="AF21" s="156">
        <v>-2.18826523777968E-4</v>
      </c>
      <c r="AG21" s="156">
        <v>1.5257487251527E-3</v>
      </c>
      <c r="AH21" s="156">
        <v>1.80250132384444E-3</v>
      </c>
      <c r="AI21" s="418">
        <v>4.5338295945336698E-6</v>
      </c>
      <c r="AJ21" s="156">
        <v>5.7669640126101797E-3</v>
      </c>
      <c r="AK21" s="156">
        <v>3.55312456623801E-3</v>
      </c>
      <c r="AL21" s="418">
        <v>-1.6171293562553099E-4</v>
      </c>
      <c r="AM21" s="156">
        <v>3.3009381822596499E-3</v>
      </c>
      <c r="AN21" s="156">
        <v>-1.7076945925573302E-2</v>
      </c>
      <c r="AO21" s="156">
        <v>-1.3801909438066701E-3</v>
      </c>
      <c r="AP21" s="156">
        <v>5.3774392733347903E-4</v>
      </c>
      <c r="AQ21" s="156">
        <v>4.33842707976086E-2</v>
      </c>
      <c r="AR21" s="156">
        <v>1.23202877378724E-3</v>
      </c>
      <c r="AS21" s="156">
        <v>3.2934975221605799E-4</v>
      </c>
      <c r="AT21" s="156">
        <v>1.9665156105091799E-3</v>
      </c>
      <c r="AU21" s="156">
        <v>5.4088996138949603E-4</v>
      </c>
      <c r="AV21" s="159">
        <v>2.3097612714795602E-3</v>
      </c>
    </row>
    <row r="22" spans="3:48" ht="15.75" customHeight="1">
      <c r="C22" s="157" t="s">
        <v>145</v>
      </c>
      <c r="D22" s="158">
        <v>6.4394869355033052E-2</v>
      </c>
      <c r="E22" s="158">
        <v>0</v>
      </c>
      <c r="F22" s="159">
        <v>0.2224979550646618</v>
      </c>
      <c r="I22" t="s">
        <v>73</v>
      </c>
      <c r="J22">
        <v>30291.399999999998</v>
      </c>
      <c r="L22">
        <v>0.40023148668092756</v>
      </c>
      <c r="M22" s="247">
        <v>0.66730993340426881</v>
      </c>
      <c r="N22" s="247">
        <v>0.66730993340426881</v>
      </c>
      <c r="O22">
        <v>0.6673</v>
      </c>
      <c r="P22">
        <v>0.6673</v>
      </c>
      <c r="X22" s="204" t="s">
        <v>145</v>
      </c>
      <c r="Y22" s="158">
        <v>-6.4586260954806102E-2</v>
      </c>
      <c r="Z22" s="159">
        <v>1.7245922875641698E-2</v>
      </c>
      <c r="AA22" s="159">
        <v>2.0078733634874E-4</v>
      </c>
      <c r="AB22" s="156">
        <v>-9.7551888298022895E-4</v>
      </c>
      <c r="AC22" s="156">
        <v>1.38911898138925E-3</v>
      </c>
      <c r="AD22" s="156">
        <v>-9.00490377395473E-3</v>
      </c>
      <c r="AE22" s="156">
        <v>-7.7345162956926898E-4</v>
      </c>
      <c r="AF22" s="418">
        <v>-2.11404798909718E-3</v>
      </c>
      <c r="AG22" s="156">
        <v>1.07925834249005E-3</v>
      </c>
      <c r="AH22" s="156">
        <v>1.2750229176260899E-3</v>
      </c>
      <c r="AI22" s="418">
        <v>3.2068441548986399E-6</v>
      </c>
      <c r="AJ22" s="156">
        <v>3.5571274417314102E-4</v>
      </c>
      <c r="AK22" s="156">
        <v>1.5767941473258901E-3</v>
      </c>
      <c r="AL22" s="156">
        <v>-1.28234291803781E-3</v>
      </c>
      <c r="AM22" s="156">
        <v>1.68845016651386E-3</v>
      </c>
      <c r="AN22" s="156">
        <v>-1.3801909438066701E-3</v>
      </c>
      <c r="AO22" s="156">
        <v>-8.4765586035097304E-3</v>
      </c>
      <c r="AP22" s="156">
        <v>-3.2279118095115202E-4</v>
      </c>
      <c r="AQ22" s="156">
        <v>1.94302086189155E-2</v>
      </c>
      <c r="AR22" s="156">
        <v>-1.0561577391416999E-3</v>
      </c>
      <c r="AS22" s="418">
        <v>-3.3471069251305399E-5</v>
      </c>
      <c r="AT22" s="156">
        <v>-3.4167623581863698E-4</v>
      </c>
      <c r="AU22" s="156">
        <v>-1.2701758956344101E-3</v>
      </c>
      <c r="AV22" s="159">
        <v>2.3353801246309201E-4</v>
      </c>
    </row>
    <row r="23" spans="3:48" ht="15.75" customHeight="1">
      <c r="C23" s="157" t="s">
        <v>73</v>
      </c>
      <c r="D23" s="158">
        <v>0</v>
      </c>
      <c r="E23" s="158">
        <v>0</v>
      </c>
      <c r="F23" s="159">
        <v>0.14059670712371997</v>
      </c>
      <c r="I23" t="s">
        <v>75</v>
      </c>
      <c r="J23">
        <v>116564.2</v>
      </c>
      <c r="L23">
        <v>0.63143861625885012</v>
      </c>
      <c r="M23" s="247">
        <v>1.7132522399642542</v>
      </c>
      <c r="N23" s="247">
        <v>1.7132522399642542</v>
      </c>
      <c r="O23">
        <v>1.7133</v>
      </c>
      <c r="P23">
        <v>1.7133</v>
      </c>
      <c r="X23" s="204" t="s">
        <v>73</v>
      </c>
      <c r="Y23" s="158">
        <v>2.0254661836909198E-2</v>
      </c>
      <c r="Z23" s="159">
        <v>-6.3479894123439603E-3</v>
      </c>
      <c r="AA23" s="159">
        <v>1.0928221895989999E-3</v>
      </c>
      <c r="AB23" s="156">
        <v>1.1532421439523601E-3</v>
      </c>
      <c r="AC23" s="156">
        <v>3.4908944696504198E-4</v>
      </c>
      <c r="AD23" s="156">
        <v>5.15870173213351E-3</v>
      </c>
      <c r="AE23" s="418">
        <v>-5.93373683689121E-5</v>
      </c>
      <c r="AF23" s="156">
        <v>-4.4731989091165202E-4</v>
      </c>
      <c r="AG23" s="156">
        <v>3.3876653794118297E-4</v>
      </c>
      <c r="AH23" s="156">
        <v>4.0021474247148401E-4</v>
      </c>
      <c r="AI23" s="418">
        <v>1.0065960573174599E-6</v>
      </c>
      <c r="AJ23" s="156">
        <v>1.7892012727057299E-4</v>
      </c>
      <c r="AK23" s="156">
        <v>-2.92953236250567E-4</v>
      </c>
      <c r="AL23" s="156">
        <v>-2.7529090083423102E-4</v>
      </c>
      <c r="AM23" s="156">
        <v>-3.2260883702702001E-4</v>
      </c>
      <c r="AN23" s="156">
        <v>5.3774392733347903E-4</v>
      </c>
      <c r="AO23" s="156">
        <v>-3.2279118095115202E-4</v>
      </c>
      <c r="AP23" s="156">
        <v>-2.3977257276178499E-3</v>
      </c>
      <c r="AQ23" s="156">
        <v>-3.60468316295781E-3</v>
      </c>
      <c r="AR23" s="156">
        <v>-2.6067625908874199E-4</v>
      </c>
      <c r="AS23" s="418">
        <v>-5.1430037477993603E-5</v>
      </c>
      <c r="AT23" s="156">
        <v>-1.41635829316498E-4</v>
      </c>
      <c r="AU23" s="156">
        <v>3.7881374933047802E-4</v>
      </c>
      <c r="AV23" s="420">
        <v>-3.2003849886432602E-4</v>
      </c>
    </row>
    <row r="24" spans="3:48" ht="15.75" customHeight="1">
      <c r="C24" s="157" t="s">
        <v>75</v>
      </c>
      <c r="D24" s="158">
        <v>0</v>
      </c>
      <c r="E24" s="158">
        <v>0</v>
      </c>
      <c r="F24" s="159">
        <v>1.6907694775650198E-3</v>
      </c>
      <c r="I24" t="s">
        <v>83</v>
      </c>
      <c r="J24">
        <v>1234</v>
      </c>
      <c r="L24">
        <v>1.1926507968724328E-2</v>
      </c>
      <c r="M24" s="247">
        <v>1.2070466483425116E-2</v>
      </c>
      <c r="N24" s="247">
        <v>1.2070466483425116E-2</v>
      </c>
      <c r="O24">
        <v>1.21E-2</v>
      </c>
      <c r="P24">
        <v>1.21E-2</v>
      </c>
      <c r="X24" s="204" t="s">
        <v>75</v>
      </c>
      <c r="Y24" s="158">
        <v>1.4223169582850701</v>
      </c>
      <c r="Z24" s="159">
        <v>-0.25444291328173202</v>
      </c>
      <c r="AA24" s="159">
        <v>1.2333279510589899E-2</v>
      </c>
      <c r="AB24" s="156">
        <v>2.2035817577636001E-2</v>
      </c>
      <c r="AC24" s="156">
        <v>-1.29654440249707E-2</v>
      </c>
      <c r="AD24" s="156">
        <v>0.12572777657641099</v>
      </c>
      <c r="AE24" s="156">
        <v>-1.5767619411364401E-2</v>
      </c>
      <c r="AF24" s="156">
        <v>-3.4813049736100899E-3</v>
      </c>
      <c r="AG24" s="156">
        <v>-1.27415114285063E-2</v>
      </c>
      <c r="AH24" s="156">
        <v>-1.5052669446185E-2</v>
      </c>
      <c r="AI24" s="418">
        <v>-3.7858922443169899E-5</v>
      </c>
      <c r="AJ24" s="156">
        <v>3.3130323970416401E-3</v>
      </c>
      <c r="AK24" s="418">
        <v>-1.2161828817545E-2</v>
      </c>
      <c r="AL24" s="156">
        <v>-2.14111028884427E-3</v>
      </c>
      <c r="AM24" s="156">
        <v>7.1326054499417898E-4</v>
      </c>
      <c r="AN24" s="156">
        <v>4.33842707976086E-2</v>
      </c>
      <c r="AO24" s="156">
        <v>1.9430208618915399E-2</v>
      </c>
      <c r="AP24" s="156">
        <v>-3.60468316295781E-3</v>
      </c>
      <c r="AQ24" s="156">
        <v>-0.14892437065696401</v>
      </c>
      <c r="AR24" s="156">
        <v>7.6560838266782601E-4</v>
      </c>
      <c r="AS24" s="418">
        <v>6.9785473178147703E-5</v>
      </c>
      <c r="AT24" s="156">
        <v>4.7542033459052E-4</v>
      </c>
      <c r="AU24" s="156">
        <v>1.44934604523544E-2</v>
      </c>
      <c r="AV24" s="159">
        <v>-3.5302402736190801E-3</v>
      </c>
    </row>
    <row r="25" spans="3:48" ht="15.75" customHeight="1">
      <c r="C25" s="157" t="s">
        <v>146</v>
      </c>
      <c r="D25" s="158">
        <v>1.1800367870528579E-4</v>
      </c>
      <c r="E25" s="158">
        <v>0</v>
      </c>
      <c r="F25" s="159">
        <v>0.13905726185371409</v>
      </c>
      <c r="I25" t="s">
        <v>85</v>
      </c>
      <c r="J25">
        <v>2951</v>
      </c>
      <c r="L25">
        <v>4.5631033432347472E-2</v>
      </c>
      <c r="M25" s="247">
        <v>4.7812779994782881E-2</v>
      </c>
      <c r="N25" s="247">
        <v>4.7812779994782881E-2</v>
      </c>
      <c r="O25">
        <v>4.7800000000000002E-2</v>
      </c>
      <c r="P25">
        <v>4.7800000000000002E-2</v>
      </c>
      <c r="X25" s="204" t="s">
        <v>146</v>
      </c>
      <c r="Y25" s="158">
        <v>-8.4291149459209298E-3</v>
      </c>
      <c r="Z25" s="159">
        <v>1.09689147488391E-3</v>
      </c>
      <c r="AA25" s="159">
        <v>5.1790380363352995E-4</v>
      </c>
      <c r="AB25" s="418">
        <v>-3.6466416984647201E-4</v>
      </c>
      <c r="AC25" s="156">
        <v>-2.1228640408534299E-4</v>
      </c>
      <c r="AD25" s="156">
        <v>-3.2140161052534801E-3</v>
      </c>
      <c r="AE25" s="156">
        <v>1.2423207842157599E-3</v>
      </c>
      <c r="AF25" s="156">
        <v>1.3090447036873999E-3</v>
      </c>
      <c r="AG25" s="418">
        <v>9.2713208867435396E-5</v>
      </c>
      <c r="AH25" s="156">
        <v>1.09530277801604E-4</v>
      </c>
      <c r="AI25" s="418">
        <v>2.7542636156027101E-7</v>
      </c>
      <c r="AJ25" s="156">
        <v>-9.2232132591445301E-4</v>
      </c>
      <c r="AK25" s="418">
        <v>5.9112007517658499E-5</v>
      </c>
      <c r="AL25" s="156">
        <v>7.9807247081414097E-4</v>
      </c>
      <c r="AM25" s="156">
        <v>3.8037933773249201E-4</v>
      </c>
      <c r="AN25" s="156">
        <v>1.23202877378724E-3</v>
      </c>
      <c r="AO25" s="156">
        <v>-1.0561577391416999E-3</v>
      </c>
      <c r="AP25" s="156">
        <v>-2.6067625908874199E-4</v>
      </c>
      <c r="AQ25" s="156">
        <v>7.6560838266782698E-4</v>
      </c>
      <c r="AR25" s="156">
        <v>2.6991554982966099E-4</v>
      </c>
      <c r="AS25" s="418">
        <v>-3.99946333139406E-5</v>
      </c>
      <c r="AT25" s="156">
        <v>-1.22426700530648E-4</v>
      </c>
      <c r="AU25" s="156">
        <v>2.2655536735969101E-4</v>
      </c>
      <c r="AV25" s="159">
        <v>-2.9301233003593098E-4</v>
      </c>
    </row>
    <row r="26" spans="3:48" ht="15.75" customHeight="1">
      <c r="C26" s="157" t="s">
        <v>83</v>
      </c>
      <c r="D26" s="158">
        <v>0</v>
      </c>
      <c r="E26" s="158">
        <v>0</v>
      </c>
      <c r="F26" s="159">
        <v>0</v>
      </c>
      <c r="I26" t="s">
        <v>88</v>
      </c>
      <c r="J26">
        <v>18873</v>
      </c>
      <c r="L26">
        <v>0.21729444070255427</v>
      </c>
      <c r="M26" s="247">
        <v>0.27761964652148013</v>
      </c>
      <c r="N26" s="247">
        <v>0.27761964652148002</v>
      </c>
      <c r="O26">
        <v>0.27760000000000001</v>
      </c>
      <c r="P26">
        <v>0.27760000000000001</v>
      </c>
      <c r="X26" s="204" t="s">
        <v>83</v>
      </c>
      <c r="Y26" s="158">
        <v>-7.6014438569335597E-4</v>
      </c>
      <c r="Z26" s="159">
        <v>-2.6046100394922698E-4</v>
      </c>
      <c r="AA26" s="420">
        <v>4.5709690206006598E-5</v>
      </c>
      <c r="AB26" s="418">
        <v>4.8032443254251002E-6</v>
      </c>
      <c r="AC26" s="418">
        <v>-4.0875062171352197E-5</v>
      </c>
      <c r="AD26" s="418">
        <v>-7.0918931987718893E-5</v>
      </c>
      <c r="AE26" s="418">
        <v>4.3555548985792399E-5</v>
      </c>
      <c r="AF26" s="418">
        <v>6.4031804602058398E-6</v>
      </c>
      <c r="AG26" s="418">
        <v>3.79092768225597E-5</v>
      </c>
      <c r="AH26" s="418">
        <v>4.4785566936528599E-5</v>
      </c>
      <c r="AI26" s="418">
        <v>1.12626949315495E-7</v>
      </c>
      <c r="AJ26" s="156">
        <v>-2.3205648758649401E-4</v>
      </c>
      <c r="AK26" s="418">
        <v>4.8779578102622598E-6</v>
      </c>
      <c r="AL26" s="418">
        <v>4.04335881136258E-6</v>
      </c>
      <c r="AM26" s="418">
        <v>9.89025090867958E-5</v>
      </c>
      <c r="AN26" s="156">
        <v>3.2934975221605799E-4</v>
      </c>
      <c r="AO26" s="418">
        <v>-3.3471069251305399E-5</v>
      </c>
      <c r="AP26" s="418">
        <v>-5.1430037477993603E-5</v>
      </c>
      <c r="AQ26" s="418">
        <v>6.9785473178147703E-5</v>
      </c>
      <c r="AR26" s="418">
        <v>-3.99946333139406E-5</v>
      </c>
      <c r="AS26" s="418">
        <v>-2.1819564444796399E-5</v>
      </c>
      <c r="AT26" s="156">
        <v>-1.29719457646763E-4</v>
      </c>
      <c r="AU26" s="418">
        <v>-8.3759274499777694E-5</v>
      </c>
      <c r="AV26" s="420">
        <v>5.9514744685180098E-5</v>
      </c>
    </row>
    <row r="27" spans="3:48" ht="15.75" customHeight="1">
      <c r="C27" s="157" t="s">
        <v>85</v>
      </c>
      <c r="D27" s="158">
        <v>0</v>
      </c>
      <c r="E27" s="158">
        <v>0</v>
      </c>
      <c r="F27" s="159">
        <v>1.2684032101541419E-2</v>
      </c>
      <c r="I27" t="s">
        <v>147</v>
      </c>
      <c r="J27">
        <v>0</v>
      </c>
      <c r="L27">
        <v>0</v>
      </c>
      <c r="M27" s="247">
        <v>0</v>
      </c>
      <c r="N27" s="247">
        <v>0</v>
      </c>
      <c r="O27">
        <v>0</v>
      </c>
      <c r="P27">
        <v>0</v>
      </c>
      <c r="X27" s="204" t="s">
        <v>85</v>
      </c>
      <c r="Y27" s="158">
        <v>-8.3209720498060198E-3</v>
      </c>
      <c r="Z27" s="159">
        <v>-7.58246463914231E-4</v>
      </c>
      <c r="AA27" s="159">
        <v>2.38610182653402E-4</v>
      </c>
      <c r="AB27" s="156">
        <v>-1.6950875537330499E-4</v>
      </c>
      <c r="AC27" s="156">
        <v>-2.25249893262451E-4</v>
      </c>
      <c r="AD27" s="156">
        <v>-1.4649049294246401E-3</v>
      </c>
      <c r="AE27" s="156">
        <v>6.3004942371912298E-4</v>
      </c>
      <c r="AF27" s="156">
        <v>4.1422718259192398E-4</v>
      </c>
      <c r="AG27" s="156">
        <v>2.65092663372978E-4</v>
      </c>
      <c r="AH27" s="156">
        <v>3.1317730684875402E-4</v>
      </c>
      <c r="AI27" s="418">
        <v>7.8759077093000804E-7</v>
      </c>
      <c r="AJ27" s="156">
        <v>-1.4337216379095E-3</v>
      </c>
      <c r="AK27" s="418">
        <v>3.3876606092050997E-5</v>
      </c>
      <c r="AL27" s="156">
        <v>2.5414634613962501E-4</v>
      </c>
      <c r="AM27" s="418">
        <v>5.9217232389422803E-4</v>
      </c>
      <c r="AN27" s="156">
        <v>1.9665156105091799E-3</v>
      </c>
      <c r="AO27" s="156">
        <v>-3.4167623581863698E-4</v>
      </c>
      <c r="AP27" s="156">
        <v>-1.41635829316498E-4</v>
      </c>
      <c r="AQ27" s="156">
        <v>4.7542033459052E-4</v>
      </c>
      <c r="AR27" s="156">
        <v>-1.22426700530648E-4</v>
      </c>
      <c r="AS27" s="156">
        <v>-1.29719457646763E-4</v>
      </c>
      <c r="AT27" s="156">
        <v>-7.5632874173269004E-4</v>
      </c>
      <c r="AU27" s="156">
        <v>-5.2846647330728204E-4</v>
      </c>
      <c r="AV27" s="159">
        <v>3.6816466048219599E-4</v>
      </c>
    </row>
    <row r="28" spans="3:48" ht="15.75" customHeight="1">
      <c r="C28" s="157" t="s">
        <v>88</v>
      </c>
      <c r="D28" s="158">
        <v>0</v>
      </c>
      <c r="E28" s="158">
        <v>0</v>
      </c>
      <c r="F28" s="159">
        <v>7.1849625272613807E-2</v>
      </c>
      <c r="X28" s="204" t="s">
        <v>88</v>
      </c>
      <c r="Y28" s="158">
        <v>-6.8823204374148197E-2</v>
      </c>
      <c r="Z28" s="159">
        <v>2.1058569970180699E-2</v>
      </c>
      <c r="AA28" s="159">
        <v>-7.4932518728983903E-4</v>
      </c>
      <c r="AB28" s="156">
        <v>-2.0173931391495102E-3</v>
      </c>
      <c r="AC28" s="156">
        <v>1.4441282072937701E-3</v>
      </c>
      <c r="AD28" s="156">
        <v>-1.23392249540206E-2</v>
      </c>
      <c r="AE28" s="156">
        <v>1.27636456445549E-3</v>
      </c>
      <c r="AF28" s="156">
        <v>2.7670684903284402E-4</v>
      </c>
      <c r="AG28" s="156">
        <v>1.0294581613359E-3</v>
      </c>
      <c r="AH28" s="156">
        <v>1.2161895783099699E-3</v>
      </c>
      <c r="AI28" s="418">
        <v>3.0588999896322799E-6</v>
      </c>
      <c r="AJ28" s="156">
        <v>8.3909704102628005E-4</v>
      </c>
      <c r="AK28" s="156">
        <v>1.1726294754967699E-3</v>
      </c>
      <c r="AL28" s="156">
        <v>1.7452357092081301E-4</v>
      </c>
      <c r="AM28" s="156">
        <v>1.3648171492329499E-3</v>
      </c>
      <c r="AN28" s="156">
        <v>5.4088996138949603E-4</v>
      </c>
      <c r="AO28" s="156">
        <v>-1.2701758956344101E-3</v>
      </c>
      <c r="AP28" s="156">
        <v>3.7881374933047802E-4</v>
      </c>
      <c r="AQ28" s="156">
        <v>1.44934604523544E-2</v>
      </c>
      <c r="AR28" s="156">
        <v>2.2655536735969101E-4</v>
      </c>
      <c r="AS28" s="418">
        <v>-8.3759274499777694E-5</v>
      </c>
      <c r="AT28" s="156">
        <v>-5.2846647330728204E-4</v>
      </c>
      <c r="AU28" s="156">
        <v>-8.1862522228050103E-3</v>
      </c>
      <c r="AV28" s="420">
        <v>-1.1421068113264801E-5</v>
      </c>
    </row>
    <row r="29" spans="3:48" ht="15.75" customHeight="1">
      <c r="C29" s="157" t="s">
        <v>147</v>
      </c>
      <c r="D29" s="160">
        <v>0</v>
      </c>
      <c r="E29" s="160">
        <v>0</v>
      </c>
      <c r="F29" s="161">
        <v>0</v>
      </c>
      <c r="X29" s="204" t="s">
        <v>147</v>
      </c>
      <c r="Y29" s="160">
        <v>8.99496378399532E-3</v>
      </c>
      <c r="Z29" s="161">
        <v>-6.7490144906984699E-3</v>
      </c>
      <c r="AA29" s="161">
        <v>1.1116790369304101E-3</v>
      </c>
      <c r="AB29" s="237">
        <v>1.1661746515508899E-3</v>
      </c>
      <c r="AC29" s="237">
        <v>-5.4568210200554499E-4</v>
      </c>
      <c r="AD29" s="237">
        <v>3.39210602876589E-3</v>
      </c>
      <c r="AE29" s="237">
        <v>-5.84533819235724E-4</v>
      </c>
      <c r="AF29" s="237">
        <v>-3.5985848891783201E-4</v>
      </c>
      <c r="AG29" s="237">
        <v>-2.7408775108083799E-4</v>
      </c>
      <c r="AH29" s="237">
        <v>-3.2380399605007901E-4</v>
      </c>
      <c r="AI29" s="421">
        <v>-8.1444317845588797E-7</v>
      </c>
      <c r="AJ29" s="237">
        <v>-6.8850087737966901E-4</v>
      </c>
      <c r="AK29" s="237">
        <v>-2.91274000430721E-4</v>
      </c>
      <c r="AL29" s="237">
        <v>-2.16242856200437E-4</v>
      </c>
      <c r="AM29" s="237">
        <v>6.5262338936699E-4</v>
      </c>
      <c r="AN29" s="237">
        <v>2.3097612714795602E-3</v>
      </c>
      <c r="AO29" s="237">
        <v>2.3353801246309201E-4</v>
      </c>
      <c r="AP29" s="421">
        <v>-3.2003849886432602E-4</v>
      </c>
      <c r="AQ29" s="237">
        <v>-3.5302402736190801E-3</v>
      </c>
      <c r="AR29" s="237">
        <v>-2.9301233003593098E-4</v>
      </c>
      <c r="AS29" s="421">
        <v>5.9514744685180098E-5</v>
      </c>
      <c r="AT29" s="237">
        <v>3.6816466048219599E-4</v>
      </c>
      <c r="AU29" s="421">
        <v>-1.1421068113264901E-5</v>
      </c>
      <c r="AV29" s="161">
        <v>-7.4237134208092698E-4</v>
      </c>
    </row>
    <row r="30" spans="3:48" ht="15.75" customHeight="1"/>
    <row r="31" spans="3:48" ht="15.75" customHeight="1"/>
    <row r="32" spans="3:48" ht="15.75" customHeight="1"/>
    <row r="33" spans="2:19" ht="15.75" customHeight="1" thickBot="1">
      <c r="B33" s="249" t="s">
        <v>863</v>
      </c>
      <c r="C33" s="480" t="s">
        <v>1026</v>
      </c>
      <c r="D33" s="481"/>
      <c r="E33" s="481"/>
      <c r="F33" s="481"/>
      <c r="G33" s="481"/>
      <c r="H33" s="481"/>
      <c r="I33" s="481"/>
      <c r="J33" s="481"/>
      <c r="K33" s="481"/>
      <c r="L33" s="481"/>
      <c r="O33" s="505" t="s">
        <v>1043</v>
      </c>
      <c r="P33" s="505"/>
      <c r="Q33" s="505"/>
      <c r="R33" s="505"/>
      <c r="S33" s="505"/>
    </row>
    <row r="34" spans="2:19" ht="15.75" customHeight="1" thickBot="1">
      <c r="B34" s="458" t="s">
        <v>864</v>
      </c>
      <c r="C34" s="459"/>
      <c r="D34" s="459"/>
      <c r="E34" s="459"/>
      <c r="F34" s="460"/>
      <c r="G34" s="468" t="s">
        <v>865</v>
      </c>
      <c r="H34" s="469"/>
      <c r="I34" s="469"/>
      <c r="J34" s="469"/>
      <c r="K34" s="469"/>
      <c r="L34" s="470"/>
      <c r="O34" s="488" t="s">
        <v>1038</v>
      </c>
      <c r="P34" s="489"/>
      <c r="Q34" s="490"/>
      <c r="R34" s="491" t="s">
        <v>1039</v>
      </c>
      <c r="S34" s="492"/>
    </row>
    <row r="35" spans="2:19" ht="15.75" customHeight="1" thickBot="1">
      <c r="B35" s="458" t="s">
        <v>866</v>
      </c>
      <c r="C35" s="459"/>
      <c r="D35" s="459"/>
      <c r="E35" s="459"/>
      <c r="F35" s="460"/>
      <c r="G35" s="461" t="s">
        <v>867</v>
      </c>
      <c r="H35" s="462"/>
      <c r="I35" s="462"/>
      <c r="J35" s="462"/>
      <c r="K35" s="462"/>
      <c r="L35" s="463"/>
      <c r="O35" s="493" t="s">
        <v>1040</v>
      </c>
      <c r="P35" s="494"/>
      <c r="Q35" s="495"/>
      <c r="R35" s="281"/>
      <c r="S35" s="281"/>
    </row>
    <row r="36" spans="2:19" ht="15.75" customHeight="1" thickBot="1">
      <c r="B36" s="458" t="s">
        <v>868</v>
      </c>
      <c r="C36" s="459"/>
      <c r="D36" s="459"/>
      <c r="E36" s="459"/>
      <c r="F36" s="460"/>
      <c r="G36" s="461" t="s">
        <v>869</v>
      </c>
      <c r="H36" s="462"/>
      <c r="I36" s="462"/>
      <c r="J36" s="462"/>
      <c r="K36" s="462"/>
      <c r="L36" s="463"/>
      <c r="O36" s="496" t="s">
        <v>139</v>
      </c>
      <c r="P36" s="254" t="s">
        <v>883</v>
      </c>
      <c r="Q36" s="273">
        <v>1</v>
      </c>
      <c r="R36" s="499" t="s">
        <v>1031</v>
      </c>
      <c r="S36" s="254" t="s">
        <v>883</v>
      </c>
    </row>
    <row r="37" spans="2:19" ht="15.75" customHeight="1" thickBot="1">
      <c r="B37" s="458" t="s">
        <v>870</v>
      </c>
      <c r="C37" s="459"/>
      <c r="D37" s="459"/>
      <c r="E37" s="459"/>
      <c r="F37" s="460"/>
      <c r="G37" s="461" t="s">
        <v>871</v>
      </c>
      <c r="H37" s="462"/>
      <c r="I37" s="462"/>
      <c r="J37" s="462"/>
      <c r="K37" s="462"/>
      <c r="L37" s="463"/>
      <c r="O37" s="497"/>
      <c r="P37" s="254" t="s">
        <v>885</v>
      </c>
      <c r="Q37" s="273">
        <v>2</v>
      </c>
      <c r="R37" s="500"/>
      <c r="S37" s="254" t="s">
        <v>885</v>
      </c>
    </row>
    <row r="38" spans="2:19" ht="15.75" customHeight="1" thickBot="1">
      <c r="B38" s="464" t="s">
        <v>405</v>
      </c>
      <c r="C38" s="465"/>
      <c r="D38" s="465"/>
      <c r="E38" s="465"/>
      <c r="F38" s="466"/>
      <c r="G38" s="250" t="s">
        <v>872</v>
      </c>
      <c r="H38" s="250" t="s">
        <v>873</v>
      </c>
      <c r="I38" s="250" t="s">
        <v>191</v>
      </c>
      <c r="J38" s="250" t="s">
        <v>874</v>
      </c>
      <c r="K38" s="250" t="s">
        <v>875</v>
      </c>
      <c r="L38" s="250" t="s">
        <v>876</v>
      </c>
      <c r="O38" s="498"/>
      <c r="P38" s="254" t="s">
        <v>887</v>
      </c>
      <c r="Q38" s="273">
        <v>3</v>
      </c>
      <c r="R38" s="501"/>
      <c r="S38" s="254" t="s">
        <v>887</v>
      </c>
    </row>
    <row r="39" spans="2:19" ht="15.75" customHeight="1" thickBot="1">
      <c r="B39" s="475" t="s">
        <v>877</v>
      </c>
      <c r="C39" s="476"/>
      <c r="D39" s="476"/>
      <c r="E39" s="477"/>
      <c r="F39" s="251" t="s">
        <v>878</v>
      </c>
      <c r="G39" s="251" t="s">
        <v>879</v>
      </c>
      <c r="H39" s="251" t="s">
        <v>879</v>
      </c>
      <c r="I39" s="251" t="s">
        <v>879</v>
      </c>
      <c r="J39" s="251" t="s">
        <v>879</v>
      </c>
      <c r="K39" s="251" t="s">
        <v>879</v>
      </c>
      <c r="L39" s="251" t="s">
        <v>879</v>
      </c>
      <c r="O39" s="282" t="s">
        <v>37</v>
      </c>
      <c r="P39" s="255" t="s">
        <v>889</v>
      </c>
      <c r="Q39" s="277">
        <v>4</v>
      </c>
      <c r="R39" s="278" t="s">
        <v>37</v>
      </c>
      <c r="S39" s="255" t="s">
        <v>889</v>
      </c>
    </row>
    <row r="40" spans="2:19" ht="15.75" customHeight="1" thickBot="1">
      <c r="B40" s="471" t="s">
        <v>880</v>
      </c>
      <c r="C40" s="478"/>
      <c r="D40" s="478"/>
      <c r="E40" s="472"/>
      <c r="F40" s="251" t="s">
        <v>879</v>
      </c>
      <c r="G40" s="252">
        <v>487832.6</v>
      </c>
      <c r="H40" s="252">
        <v>501130.3</v>
      </c>
      <c r="I40" s="252">
        <v>466755.7</v>
      </c>
      <c r="J40" s="252">
        <v>471861.1</v>
      </c>
      <c r="K40" s="252">
        <v>478427.9</v>
      </c>
      <c r="L40" s="252">
        <v>484861.3</v>
      </c>
      <c r="O40" s="502" t="s">
        <v>140</v>
      </c>
      <c r="P40" s="256" t="s">
        <v>892</v>
      </c>
      <c r="Q40" s="277">
        <v>5</v>
      </c>
      <c r="R40" s="482" t="s">
        <v>140</v>
      </c>
      <c r="S40" s="256" t="s">
        <v>892</v>
      </c>
    </row>
    <row r="41" spans="2:19" ht="15.75" customHeight="1" thickBot="1">
      <c r="B41" s="473" t="s">
        <v>880</v>
      </c>
      <c r="C41" s="471" t="s">
        <v>881</v>
      </c>
      <c r="D41" s="478"/>
      <c r="E41" s="472"/>
      <c r="F41" s="251" t="s">
        <v>879</v>
      </c>
      <c r="G41" s="253">
        <v>12166</v>
      </c>
      <c r="H41" s="253">
        <v>14753.4</v>
      </c>
      <c r="I41" s="253">
        <v>15722.5</v>
      </c>
      <c r="J41" s="253">
        <v>19351.2</v>
      </c>
      <c r="K41" s="253">
        <v>17746.599999999999</v>
      </c>
      <c r="L41" s="253">
        <v>16968</v>
      </c>
      <c r="O41" s="503"/>
      <c r="P41" s="256" t="s">
        <v>894</v>
      </c>
      <c r="Q41" s="277">
        <v>6</v>
      </c>
      <c r="R41" s="483"/>
      <c r="S41" s="256" t="s">
        <v>894</v>
      </c>
    </row>
    <row r="42" spans="2:19" ht="15.75" customHeight="1" thickBot="1">
      <c r="B42" s="479"/>
      <c r="C42" s="473" t="s">
        <v>881</v>
      </c>
      <c r="D42" s="471" t="s">
        <v>882</v>
      </c>
      <c r="E42" s="472"/>
      <c r="F42" s="254" t="s">
        <v>883</v>
      </c>
      <c r="G42" s="252">
        <v>10884.1</v>
      </c>
      <c r="H42" s="252">
        <v>13612.2</v>
      </c>
      <c r="I42" s="252">
        <v>14594.2</v>
      </c>
      <c r="J42" s="252">
        <v>18204.900000000001</v>
      </c>
      <c r="K42" s="252">
        <v>16700</v>
      </c>
      <c r="L42" s="252">
        <v>15824.8</v>
      </c>
      <c r="O42" s="503"/>
      <c r="P42" s="256" t="s">
        <v>897</v>
      </c>
      <c r="Q42" s="277">
        <v>7</v>
      </c>
      <c r="R42" s="483"/>
      <c r="S42" s="256" t="s">
        <v>897</v>
      </c>
    </row>
    <row r="43" spans="2:19" ht="15.75" customHeight="1" thickBot="1">
      <c r="B43" s="479"/>
      <c r="C43" s="479"/>
      <c r="D43" s="471" t="s">
        <v>884</v>
      </c>
      <c r="E43" s="472"/>
      <c r="F43" s="254" t="s">
        <v>885</v>
      </c>
      <c r="G43" s="253">
        <v>642.20000000000005</v>
      </c>
      <c r="H43" s="253">
        <v>573.29999999999995</v>
      </c>
      <c r="I43" s="253">
        <v>709.6</v>
      </c>
      <c r="J43" s="253">
        <v>872.3</v>
      </c>
      <c r="K43" s="253">
        <v>799.5</v>
      </c>
      <c r="L43" s="253">
        <v>813.8</v>
      </c>
      <c r="O43" s="503"/>
      <c r="P43" s="256" t="s">
        <v>899</v>
      </c>
      <c r="Q43" s="277">
        <v>8</v>
      </c>
      <c r="R43" s="483"/>
      <c r="S43" s="256" t="s">
        <v>899</v>
      </c>
    </row>
    <row r="44" spans="2:19" ht="15.75" customHeight="1" thickBot="1">
      <c r="B44" s="479"/>
      <c r="C44" s="474"/>
      <c r="D44" s="471" t="s">
        <v>886</v>
      </c>
      <c r="E44" s="472"/>
      <c r="F44" s="254" t="s">
        <v>887</v>
      </c>
      <c r="G44" s="252">
        <v>639.70000000000005</v>
      </c>
      <c r="H44" s="252">
        <v>568</v>
      </c>
      <c r="I44" s="252">
        <v>418.6</v>
      </c>
      <c r="J44" s="252">
        <v>273.89999999999998</v>
      </c>
      <c r="K44" s="252">
        <v>247.1</v>
      </c>
      <c r="L44" s="252">
        <v>329.3</v>
      </c>
      <c r="O44" s="504"/>
      <c r="P44" s="256" t="s">
        <v>901</v>
      </c>
      <c r="Q44" s="277">
        <v>9</v>
      </c>
      <c r="R44" s="484"/>
      <c r="S44" s="256" t="s">
        <v>901</v>
      </c>
    </row>
    <row r="45" spans="2:19" ht="15.75" customHeight="1" thickBot="1">
      <c r="B45" s="479"/>
      <c r="C45" s="471" t="s">
        <v>888</v>
      </c>
      <c r="D45" s="478"/>
      <c r="E45" s="472"/>
      <c r="F45" s="255" t="s">
        <v>889</v>
      </c>
      <c r="G45" s="253">
        <v>858.3</v>
      </c>
      <c r="H45" s="253">
        <v>1578.4</v>
      </c>
      <c r="I45" s="253">
        <v>2933.8</v>
      </c>
      <c r="J45" s="253">
        <v>2699.7</v>
      </c>
      <c r="K45" s="253">
        <v>1757.2</v>
      </c>
      <c r="L45" s="253">
        <v>492.7</v>
      </c>
      <c r="O45" s="282" t="s">
        <v>48</v>
      </c>
      <c r="P45" s="258" t="s">
        <v>903</v>
      </c>
      <c r="Q45" s="277">
        <v>10</v>
      </c>
      <c r="R45" s="278" t="s">
        <v>48</v>
      </c>
      <c r="S45" s="258" t="s">
        <v>903</v>
      </c>
    </row>
    <row r="46" spans="2:19" ht="15.75" customHeight="1" thickBot="1">
      <c r="B46" s="479"/>
      <c r="C46" s="471" t="s">
        <v>890</v>
      </c>
      <c r="D46" s="478"/>
      <c r="E46" s="472"/>
      <c r="F46" s="251" t="s">
        <v>879</v>
      </c>
      <c r="G46" s="252">
        <v>37376.5</v>
      </c>
      <c r="H46" s="252">
        <v>37110.699999999997</v>
      </c>
      <c r="I46" s="252">
        <v>28181.8</v>
      </c>
      <c r="J46" s="252">
        <v>28971.5</v>
      </c>
      <c r="K46" s="252">
        <v>31159</v>
      </c>
      <c r="L46" s="252">
        <v>38395</v>
      </c>
      <c r="O46" s="502" t="s">
        <v>140</v>
      </c>
      <c r="P46" s="256" t="s">
        <v>905</v>
      </c>
      <c r="Q46" s="277">
        <v>11</v>
      </c>
      <c r="R46" s="482" t="s">
        <v>140</v>
      </c>
      <c r="S46" s="256" t="s">
        <v>905</v>
      </c>
    </row>
    <row r="47" spans="2:19" ht="15.75" customHeight="1" thickBot="1">
      <c r="B47" s="479"/>
      <c r="C47" s="473" t="s">
        <v>890</v>
      </c>
      <c r="D47" s="471" t="s">
        <v>891</v>
      </c>
      <c r="E47" s="472"/>
      <c r="F47" s="256" t="s">
        <v>892</v>
      </c>
      <c r="G47" s="253">
        <v>6077</v>
      </c>
      <c r="H47" s="253">
        <v>5047.8999999999996</v>
      </c>
      <c r="I47" s="253">
        <v>4325.3999999999996</v>
      </c>
      <c r="J47" s="253">
        <v>4302</v>
      </c>
      <c r="K47" s="253">
        <v>4707.5</v>
      </c>
      <c r="L47" s="253">
        <v>6016</v>
      </c>
      <c r="O47" s="503"/>
      <c r="P47" s="256" t="s">
        <v>907</v>
      </c>
      <c r="Q47" s="277">
        <v>12</v>
      </c>
      <c r="R47" s="483"/>
      <c r="S47" s="256" t="s">
        <v>907</v>
      </c>
    </row>
    <row r="48" spans="2:19" ht="15.75" customHeight="1" thickBot="1">
      <c r="B48" s="479"/>
      <c r="C48" s="479"/>
      <c r="D48" s="471" t="s">
        <v>893</v>
      </c>
      <c r="E48" s="472"/>
      <c r="F48" s="256" t="s">
        <v>894</v>
      </c>
      <c r="G48" s="252">
        <v>6232.3</v>
      </c>
      <c r="H48" s="252">
        <v>6987.8</v>
      </c>
      <c r="I48" s="252">
        <v>5781.4</v>
      </c>
      <c r="J48" s="252">
        <v>6548.9</v>
      </c>
      <c r="K48" s="252">
        <v>6795.6</v>
      </c>
      <c r="L48" s="252">
        <v>6813.1</v>
      </c>
      <c r="O48" s="503"/>
      <c r="P48" s="256" t="s">
        <v>910</v>
      </c>
      <c r="Q48" s="277">
        <v>13</v>
      </c>
      <c r="R48" s="483"/>
      <c r="S48" s="256" t="s">
        <v>910</v>
      </c>
    </row>
    <row r="49" spans="2:19" ht="15.75" customHeight="1" thickBot="1">
      <c r="B49" s="479"/>
      <c r="C49" s="479"/>
      <c r="D49" s="471" t="s">
        <v>895</v>
      </c>
      <c r="E49" s="472"/>
      <c r="F49" s="251" t="s">
        <v>879</v>
      </c>
      <c r="G49" s="253">
        <v>3420.2</v>
      </c>
      <c r="H49" s="253">
        <v>3497.6</v>
      </c>
      <c r="I49" s="253">
        <v>2832.3</v>
      </c>
      <c r="J49" s="253">
        <v>2664.2</v>
      </c>
      <c r="K49" s="253">
        <v>3028.8</v>
      </c>
      <c r="L49" s="253">
        <v>2872.6</v>
      </c>
      <c r="O49" s="503"/>
      <c r="P49" s="256" t="s">
        <v>912</v>
      </c>
      <c r="Q49" s="277">
        <v>14</v>
      </c>
      <c r="R49" s="483"/>
      <c r="S49" s="256" t="s">
        <v>912</v>
      </c>
    </row>
    <row r="50" spans="2:19" ht="15.75" customHeight="1" thickBot="1">
      <c r="B50" s="479"/>
      <c r="C50" s="479"/>
      <c r="D50" s="473" t="s">
        <v>895</v>
      </c>
      <c r="E50" s="257" t="s">
        <v>896</v>
      </c>
      <c r="F50" s="256" t="s">
        <v>897</v>
      </c>
      <c r="G50" s="252">
        <v>1731</v>
      </c>
      <c r="H50" s="252">
        <v>1762.6</v>
      </c>
      <c r="I50" s="252">
        <v>1302.3</v>
      </c>
      <c r="J50" s="252">
        <v>1283.9000000000001</v>
      </c>
      <c r="K50" s="252">
        <v>1305.4000000000001</v>
      </c>
      <c r="L50" s="252">
        <v>1327.6</v>
      </c>
      <c r="O50" s="503"/>
      <c r="P50" s="256" t="s">
        <v>915</v>
      </c>
      <c r="Q50" s="277">
        <v>15</v>
      </c>
      <c r="R50" s="483"/>
      <c r="S50" s="256" t="s">
        <v>915</v>
      </c>
    </row>
    <row r="51" spans="2:19" ht="15.75" customHeight="1" thickBot="1">
      <c r="B51" s="479"/>
      <c r="C51" s="479"/>
      <c r="D51" s="479"/>
      <c r="E51" s="257" t="s">
        <v>898</v>
      </c>
      <c r="F51" s="256" t="s">
        <v>899</v>
      </c>
      <c r="G51" s="253">
        <v>331.2</v>
      </c>
      <c r="H51" s="253">
        <v>457.2</v>
      </c>
      <c r="I51" s="253">
        <v>438.1</v>
      </c>
      <c r="J51" s="253">
        <v>420.1</v>
      </c>
      <c r="K51" s="253">
        <v>768.9</v>
      </c>
      <c r="L51" s="253">
        <v>649.1</v>
      </c>
      <c r="O51" s="503"/>
      <c r="P51" s="256" t="s">
        <v>917</v>
      </c>
      <c r="Q51" s="277">
        <v>16</v>
      </c>
      <c r="R51" s="483"/>
      <c r="S51" s="256" t="s">
        <v>917</v>
      </c>
    </row>
    <row r="52" spans="2:19" ht="15.75" customHeight="1" thickBot="1">
      <c r="B52" s="479"/>
      <c r="C52" s="479"/>
      <c r="D52" s="474"/>
      <c r="E52" s="257" t="s">
        <v>900</v>
      </c>
      <c r="F52" s="256" t="s">
        <v>901</v>
      </c>
      <c r="G52" s="252">
        <v>1358.1</v>
      </c>
      <c r="H52" s="252">
        <v>1277.8</v>
      </c>
      <c r="I52" s="252">
        <v>1091.9000000000001</v>
      </c>
      <c r="J52" s="252">
        <v>960.2</v>
      </c>
      <c r="K52" s="252">
        <v>954.4</v>
      </c>
      <c r="L52" s="252">
        <v>895.9</v>
      </c>
      <c r="O52" s="503"/>
      <c r="P52" s="256" t="s">
        <v>919</v>
      </c>
      <c r="Q52" s="277">
        <v>17</v>
      </c>
      <c r="R52" s="483"/>
      <c r="S52" s="256" t="s">
        <v>919</v>
      </c>
    </row>
    <row r="53" spans="2:19" ht="15.75" customHeight="1" thickBot="1">
      <c r="B53" s="479"/>
      <c r="C53" s="479"/>
      <c r="D53" s="471" t="s">
        <v>902</v>
      </c>
      <c r="E53" s="472"/>
      <c r="F53" s="258" t="s">
        <v>903</v>
      </c>
      <c r="G53" s="253">
        <v>-1093.4000000000001</v>
      </c>
      <c r="H53" s="253">
        <v>-906.5</v>
      </c>
      <c r="I53" s="253">
        <v>-1348</v>
      </c>
      <c r="J53" s="253">
        <v>-2061.8000000000002</v>
      </c>
      <c r="K53" s="253">
        <v>-3594.5</v>
      </c>
      <c r="L53" s="253">
        <v>-1070.0999999999999</v>
      </c>
      <c r="O53" s="503"/>
      <c r="P53" s="256" t="s">
        <v>921</v>
      </c>
      <c r="Q53" s="277">
        <v>18</v>
      </c>
      <c r="R53" s="483"/>
      <c r="S53" s="256" t="s">
        <v>921</v>
      </c>
    </row>
    <row r="54" spans="2:19" ht="15.75" customHeight="1" thickBot="1">
      <c r="B54" s="479"/>
      <c r="C54" s="479"/>
      <c r="D54" s="471" t="s">
        <v>904</v>
      </c>
      <c r="E54" s="472"/>
      <c r="F54" s="256" t="s">
        <v>905</v>
      </c>
      <c r="G54" s="252">
        <v>437.9</v>
      </c>
      <c r="H54" s="252">
        <v>35.4</v>
      </c>
      <c r="I54" s="252">
        <v>-285.7</v>
      </c>
      <c r="J54" s="252">
        <v>-96.9</v>
      </c>
      <c r="K54" s="252">
        <v>13</v>
      </c>
      <c r="L54" s="252">
        <v>852.5</v>
      </c>
      <c r="O54" s="503"/>
      <c r="P54" s="256" t="s">
        <v>923</v>
      </c>
      <c r="Q54" s="277">
        <v>19</v>
      </c>
      <c r="R54" s="484"/>
      <c r="S54" s="256" t="s">
        <v>923</v>
      </c>
    </row>
    <row r="55" spans="2:19" ht="15.75" customHeight="1" thickBot="1">
      <c r="B55" s="479"/>
      <c r="C55" s="479"/>
      <c r="D55" s="471" t="s">
        <v>906</v>
      </c>
      <c r="E55" s="472"/>
      <c r="F55" s="256" t="s">
        <v>907</v>
      </c>
      <c r="G55" s="253">
        <v>2133.9</v>
      </c>
      <c r="H55" s="253">
        <v>2124.1</v>
      </c>
      <c r="I55" s="253">
        <v>1894.1</v>
      </c>
      <c r="J55" s="253">
        <v>2217.6</v>
      </c>
      <c r="K55" s="253">
        <v>1798.3</v>
      </c>
      <c r="L55" s="253">
        <v>2418.9</v>
      </c>
      <c r="O55" s="503"/>
      <c r="P55" s="256" t="s">
        <v>926</v>
      </c>
      <c r="Q55" s="277">
        <v>20</v>
      </c>
      <c r="R55" s="482" t="s">
        <v>341</v>
      </c>
      <c r="S55" s="256" t="s">
        <v>926</v>
      </c>
    </row>
    <row r="56" spans="2:19" ht="15.75" customHeight="1" thickBot="1">
      <c r="B56" s="479"/>
      <c r="C56" s="479"/>
      <c r="D56" s="471" t="s">
        <v>908</v>
      </c>
      <c r="E56" s="472"/>
      <c r="F56" s="251" t="s">
        <v>455</v>
      </c>
      <c r="G56" s="252">
        <v>2410.4</v>
      </c>
      <c r="H56" s="252">
        <v>1821.3</v>
      </c>
      <c r="I56" s="252">
        <v>1214.5</v>
      </c>
      <c r="J56" s="252">
        <v>1670.1</v>
      </c>
      <c r="K56" s="252">
        <v>1969.6</v>
      </c>
      <c r="L56" s="252">
        <v>2560.8000000000002</v>
      </c>
      <c r="O56" s="503"/>
      <c r="P56" s="256" t="s">
        <v>928</v>
      </c>
      <c r="Q56" s="277">
        <v>21</v>
      </c>
      <c r="R56" s="484"/>
      <c r="S56" s="256" t="s">
        <v>928</v>
      </c>
    </row>
    <row r="57" spans="2:19" ht="15.75" customHeight="1" thickBot="1">
      <c r="B57" s="479"/>
      <c r="C57" s="479"/>
      <c r="D57" s="473" t="s">
        <v>908</v>
      </c>
      <c r="E57" s="257" t="s">
        <v>909</v>
      </c>
      <c r="F57" s="256" t="s">
        <v>910</v>
      </c>
      <c r="G57" s="253">
        <v>1059.5</v>
      </c>
      <c r="H57" s="253">
        <v>949.6</v>
      </c>
      <c r="I57" s="253">
        <v>1053.9000000000001</v>
      </c>
      <c r="J57" s="253">
        <v>1429.2</v>
      </c>
      <c r="K57" s="253">
        <v>1776.2</v>
      </c>
      <c r="L57" s="253">
        <v>2161.3000000000002</v>
      </c>
      <c r="O57" s="503"/>
      <c r="P57" s="256" t="s">
        <v>931</v>
      </c>
      <c r="Q57" s="277">
        <v>22</v>
      </c>
      <c r="R57" s="482" t="s">
        <v>140</v>
      </c>
      <c r="S57" s="256" t="s">
        <v>931</v>
      </c>
    </row>
    <row r="58" spans="2:19" ht="15.75" customHeight="1" thickBot="1">
      <c r="B58" s="479"/>
      <c r="C58" s="479"/>
      <c r="D58" s="474"/>
      <c r="E58" s="257" t="s">
        <v>911</v>
      </c>
      <c r="F58" s="256" t="s">
        <v>912</v>
      </c>
      <c r="G58" s="252">
        <v>1350.9</v>
      </c>
      <c r="H58" s="252">
        <v>871.7</v>
      </c>
      <c r="I58" s="252">
        <v>160.6</v>
      </c>
      <c r="J58" s="252">
        <v>241</v>
      </c>
      <c r="K58" s="252">
        <v>193.4</v>
      </c>
      <c r="L58" s="252">
        <v>399.6</v>
      </c>
      <c r="O58" s="504"/>
      <c r="P58" s="256" t="s">
        <v>933</v>
      </c>
      <c r="Q58" s="277">
        <v>23</v>
      </c>
      <c r="R58" s="484"/>
      <c r="S58" s="256" t="s">
        <v>933</v>
      </c>
    </row>
    <row r="59" spans="2:19" ht="15.75" customHeight="1" thickBot="1">
      <c r="B59" s="479"/>
      <c r="C59" s="479"/>
      <c r="D59" s="471" t="s">
        <v>913</v>
      </c>
      <c r="E59" s="472"/>
      <c r="F59" s="251" t="s">
        <v>455</v>
      </c>
      <c r="G59" s="253">
        <v>5657.3</v>
      </c>
      <c r="H59" s="253">
        <v>6136.3</v>
      </c>
      <c r="I59" s="253">
        <v>3887</v>
      </c>
      <c r="J59" s="253">
        <v>3775.5</v>
      </c>
      <c r="K59" s="253">
        <v>4873</v>
      </c>
      <c r="L59" s="253">
        <v>4780.7</v>
      </c>
      <c r="O59" s="282" t="s">
        <v>58</v>
      </c>
      <c r="P59" s="259" t="s">
        <v>935</v>
      </c>
      <c r="Q59" s="277">
        <v>24</v>
      </c>
      <c r="R59" s="278" t="s">
        <v>58</v>
      </c>
      <c r="S59" s="259" t="s">
        <v>935</v>
      </c>
    </row>
    <row r="60" spans="2:19" ht="15.75" customHeight="1" thickBot="1">
      <c r="B60" s="479"/>
      <c r="C60" s="479"/>
      <c r="D60" s="473" t="s">
        <v>913</v>
      </c>
      <c r="E60" s="257" t="s">
        <v>914</v>
      </c>
      <c r="F60" s="256" t="s">
        <v>915</v>
      </c>
      <c r="G60" s="252">
        <v>-540.6</v>
      </c>
      <c r="H60" s="252">
        <v>-37.6</v>
      </c>
      <c r="I60" s="252">
        <v>-1125.3</v>
      </c>
      <c r="J60" s="252">
        <v>-1307.4000000000001</v>
      </c>
      <c r="K60" s="252">
        <v>-766.3</v>
      </c>
      <c r="L60" s="252">
        <v>-895.4</v>
      </c>
      <c r="O60" s="502" t="s">
        <v>61</v>
      </c>
      <c r="P60" s="260" t="s">
        <v>938</v>
      </c>
      <c r="Q60" s="277">
        <v>25</v>
      </c>
      <c r="R60" s="485" t="s">
        <v>61</v>
      </c>
      <c r="S60" s="260" t="s">
        <v>938</v>
      </c>
    </row>
    <row r="61" spans="2:19" ht="15.75" customHeight="1" thickBot="1">
      <c r="B61" s="479"/>
      <c r="C61" s="479"/>
      <c r="D61" s="474"/>
      <c r="E61" s="257" t="s">
        <v>916</v>
      </c>
      <c r="F61" s="256" t="s">
        <v>917</v>
      </c>
      <c r="G61" s="253">
        <v>6197.9</v>
      </c>
      <c r="H61" s="253">
        <v>6174</v>
      </c>
      <c r="I61" s="253">
        <v>5012.3</v>
      </c>
      <c r="J61" s="253">
        <v>5082.8999999999996</v>
      </c>
      <c r="K61" s="253">
        <v>5639.3</v>
      </c>
      <c r="L61" s="253">
        <v>5676.2</v>
      </c>
      <c r="O61" s="504"/>
      <c r="P61" s="260" t="s">
        <v>940</v>
      </c>
      <c r="Q61" s="277">
        <v>26</v>
      </c>
      <c r="R61" s="486"/>
      <c r="S61" s="260" t="s">
        <v>940</v>
      </c>
    </row>
    <row r="62" spans="2:19" ht="15.75" customHeight="1" thickBot="1">
      <c r="B62" s="479"/>
      <c r="C62" s="479"/>
      <c r="D62" s="471" t="s">
        <v>918</v>
      </c>
      <c r="E62" s="472"/>
      <c r="F62" s="256" t="s">
        <v>919</v>
      </c>
      <c r="G62" s="252">
        <v>515</v>
      </c>
      <c r="H62" s="252">
        <v>617.1</v>
      </c>
      <c r="I62" s="252">
        <v>409.6</v>
      </c>
      <c r="J62" s="252">
        <v>-36.5</v>
      </c>
      <c r="K62" s="252">
        <v>345.1</v>
      </c>
      <c r="L62" s="252">
        <v>604.9</v>
      </c>
      <c r="O62" s="282" t="s">
        <v>63</v>
      </c>
      <c r="P62" s="261" t="s">
        <v>942</v>
      </c>
      <c r="Q62" s="277">
        <v>27</v>
      </c>
      <c r="R62" s="279" t="s">
        <v>63</v>
      </c>
      <c r="S62" s="261" t="s">
        <v>942</v>
      </c>
    </row>
    <row r="63" spans="2:19" ht="15.75" customHeight="1" thickBot="1">
      <c r="B63" s="479"/>
      <c r="C63" s="479"/>
      <c r="D63" s="471" t="s">
        <v>920</v>
      </c>
      <c r="E63" s="472"/>
      <c r="F63" s="256" t="s">
        <v>921</v>
      </c>
      <c r="G63" s="253">
        <v>1911</v>
      </c>
      <c r="H63" s="253">
        <v>1828.7</v>
      </c>
      <c r="I63" s="253">
        <v>1561.5</v>
      </c>
      <c r="J63" s="253">
        <v>1587.9</v>
      </c>
      <c r="K63" s="253">
        <v>854</v>
      </c>
      <c r="L63" s="253">
        <v>1457.9</v>
      </c>
      <c r="O63" s="502" t="s">
        <v>65</v>
      </c>
      <c r="P63" s="262" t="s">
        <v>1032</v>
      </c>
      <c r="Q63" s="277">
        <v>28</v>
      </c>
      <c r="R63" s="485" t="s">
        <v>65</v>
      </c>
      <c r="S63" s="262" t="s">
        <v>1032</v>
      </c>
    </row>
    <row r="64" spans="2:19" ht="15.75" customHeight="1" thickBot="1">
      <c r="B64" s="479"/>
      <c r="C64" s="479"/>
      <c r="D64" s="471" t="s">
        <v>922</v>
      </c>
      <c r="E64" s="472"/>
      <c r="F64" s="256" t="s">
        <v>923</v>
      </c>
      <c r="G64" s="252">
        <v>5024.2</v>
      </c>
      <c r="H64" s="252">
        <v>5731.5</v>
      </c>
      <c r="I64" s="252">
        <v>5511.4</v>
      </c>
      <c r="J64" s="252">
        <v>5889</v>
      </c>
      <c r="K64" s="252">
        <v>6692.2</v>
      </c>
      <c r="L64" s="252">
        <v>6674.4</v>
      </c>
      <c r="O64" s="503"/>
      <c r="P64" s="262" t="s">
        <v>944</v>
      </c>
      <c r="Q64" s="277">
        <v>29</v>
      </c>
      <c r="R64" s="487"/>
      <c r="S64" s="262" t="s">
        <v>944</v>
      </c>
    </row>
    <row r="65" spans="2:19" ht="15.75" customHeight="1" thickBot="1">
      <c r="B65" s="479"/>
      <c r="C65" s="479"/>
      <c r="D65" s="471" t="s">
        <v>924</v>
      </c>
      <c r="E65" s="472"/>
      <c r="F65" s="251" t="s">
        <v>879</v>
      </c>
      <c r="G65" s="253">
        <v>-275.89999999999998</v>
      </c>
      <c r="H65" s="253">
        <v>-1020</v>
      </c>
      <c r="I65" s="253">
        <v>-2403.1</v>
      </c>
      <c r="J65" s="253">
        <v>-2520</v>
      </c>
      <c r="K65" s="253">
        <v>-1782.5</v>
      </c>
      <c r="L65" s="253">
        <v>-1514.7</v>
      </c>
      <c r="O65" s="504"/>
      <c r="P65" s="262" t="s">
        <v>1034</v>
      </c>
      <c r="Q65" s="277">
        <v>30</v>
      </c>
      <c r="R65" s="486"/>
      <c r="S65" s="262" t="s">
        <v>1034</v>
      </c>
    </row>
    <row r="66" spans="2:19" ht="15.75" customHeight="1" thickBot="1">
      <c r="B66" s="479"/>
      <c r="C66" s="479"/>
      <c r="D66" s="473" t="s">
        <v>924</v>
      </c>
      <c r="E66" s="257" t="s">
        <v>925</v>
      </c>
      <c r="F66" s="256" t="s">
        <v>926</v>
      </c>
      <c r="G66" s="252">
        <v>-338.7</v>
      </c>
      <c r="H66" s="252">
        <v>-969.7</v>
      </c>
      <c r="I66" s="252">
        <v>-2312.9</v>
      </c>
      <c r="J66" s="252">
        <v>-1697.2</v>
      </c>
      <c r="K66" s="252">
        <v>-1916.6</v>
      </c>
      <c r="L66" s="252">
        <v>-1239.2</v>
      </c>
      <c r="O66" s="502" t="s">
        <v>67</v>
      </c>
      <c r="P66" s="263" t="s">
        <v>948</v>
      </c>
      <c r="Q66" s="277">
        <v>31</v>
      </c>
      <c r="R66" s="482" t="s">
        <v>342</v>
      </c>
      <c r="S66" s="263" t="s">
        <v>948</v>
      </c>
    </row>
    <row r="67" spans="2:19" ht="15.75" customHeight="1" thickBot="1">
      <c r="B67" s="479"/>
      <c r="C67" s="479"/>
      <c r="D67" s="474"/>
      <c r="E67" s="257" t="s">
        <v>927</v>
      </c>
      <c r="F67" s="256" t="s">
        <v>928</v>
      </c>
      <c r="G67" s="253">
        <v>62.8</v>
      </c>
      <c r="H67" s="253">
        <v>-50.2</v>
      </c>
      <c r="I67" s="253">
        <v>-90.1</v>
      </c>
      <c r="J67" s="253">
        <v>-822.8</v>
      </c>
      <c r="K67" s="253">
        <v>134.19999999999999</v>
      </c>
      <c r="L67" s="253">
        <v>-275.5</v>
      </c>
      <c r="O67" s="503"/>
      <c r="P67" s="263" t="s">
        <v>950</v>
      </c>
      <c r="Q67" s="277">
        <v>32</v>
      </c>
      <c r="R67" s="483"/>
      <c r="S67" s="263" t="s">
        <v>950</v>
      </c>
    </row>
    <row r="68" spans="2:19" ht="15.75" customHeight="1" thickBot="1">
      <c r="B68" s="479"/>
      <c r="C68" s="479"/>
      <c r="D68" s="471" t="s">
        <v>929</v>
      </c>
      <c r="E68" s="472"/>
      <c r="F68" s="251" t="s">
        <v>879</v>
      </c>
      <c r="G68" s="252">
        <v>4926.5</v>
      </c>
      <c r="H68" s="252">
        <v>5209.3999999999996</v>
      </c>
      <c r="I68" s="252">
        <v>4801.3</v>
      </c>
      <c r="J68" s="252">
        <v>5031.3</v>
      </c>
      <c r="K68" s="252">
        <v>5458.9</v>
      </c>
      <c r="L68" s="252">
        <v>5928</v>
      </c>
      <c r="O68" s="503"/>
      <c r="P68" s="263" t="s">
        <v>952</v>
      </c>
      <c r="Q68" s="277">
        <v>33</v>
      </c>
      <c r="R68" s="484"/>
      <c r="S68" s="263" t="s">
        <v>952</v>
      </c>
    </row>
    <row r="69" spans="2:19" ht="15.75" customHeight="1" thickBot="1">
      <c r="B69" s="479"/>
      <c r="C69" s="479"/>
      <c r="D69" s="473" t="s">
        <v>929</v>
      </c>
      <c r="E69" s="257" t="s">
        <v>930</v>
      </c>
      <c r="F69" s="256" t="s">
        <v>931</v>
      </c>
      <c r="G69" s="253">
        <v>3078.7</v>
      </c>
      <c r="H69" s="253">
        <v>3097.7</v>
      </c>
      <c r="I69" s="253">
        <v>2659.2</v>
      </c>
      <c r="J69" s="253">
        <v>2848.1</v>
      </c>
      <c r="K69" s="253">
        <v>3261.6</v>
      </c>
      <c r="L69" s="253">
        <v>3607.2</v>
      </c>
      <c r="O69" s="503"/>
      <c r="P69" s="263" t="s">
        <v>954</v>
      </c>
      <c r="Q69" s="277">
        <v>34</v>
      </c>
      <c r="R69" s="482" t="s">
        <v>858</v>
      </c>
      <c r="S69" s="263" t="s">
        <v>954</v>
      </c>
    </row>
    <row r="70" spans="2:19" ht="15.75" customHeight="1" thickBot="1">
      <c r="B70" s="479"/>
      <c r="C70" s="474"/>
      <c r="D70" s="474"/>
      <c r="E70" s="257" t="s">
        <v>932</v>
      </c>
      <c r="F70" s="256" t="s">
        <v>933</v>
      </c>
      <c r="G70" s="252">
        <v>1847.8</v>
      </c>
      <c r="H70" s="252">
        <v>2111.8000000000002</v>
      </c>
      <c r="I70" s="252">
        <v>2142.1</v>
      </c>
      <c r="J70" s="252">
        <v>2183.1999999999998</v>
      </c>
      <c r="K70" s="252">
        <v>2197.3000000000002</v>
      </c>
      <c r="L70" s="252">
        <v>2320.6999999999998</v>
      </c>
      <c r="O70" s="504"/>
      <c r="P70" s="263" t="s">
        <v>956</v>
      </c>
      <c r="Q70" s="277">
        <v>35</v>
      </c>
      <c r="R70" s="484"/>
      <c r="S70" s="263" t="s">
        <v>956</v>
      </c>
    </row>
    <row r="71" spans="2:19" ht="15.75" customHeight="1" thickBot="1">
      <c r="B71" s="479"/>
      <c r="C71" s="471" t="s">
        <v>934</v>
      </c>
      <c r="D71" s="478"/>
      <c r="E71" s="472"/>
      <c r="F71" s="259" t="s">
        <v>935</v>
      </c>
      <c r="G71" s="253">
        <v>4527.3999999999996</v>
      </c>
      <c r="H71" s="253">
        <v>2531.9</v>
      </c>
      <c r="I71" s="253">
        <v>4076.4</v>
      </c>
      <c r="J71" s="253">
        <v>4570.8999999999996</v>
      </c>
      <c r="K71" s="253">
        <v>3779.9</v>
      </c>
      <c r="L71" s="253">
        <v>1926.5</v>
      </c>
      <c r="O71" s="282" t="s">
        <v>69</v>
      </c>
      <c r="P71" s="254" t="s">
        <v>194</v>
      </c>
      <c r="Q71" s="277">
        <v>36</v>
      </c>
      <c r="R71" s="278" t="s">
        <v>69</v>
      </c>
      <c r="S71" s="254" t="s">
        <v>194</v>
      </c>
    </row>
    <row r="72" spans="2:19" ht="15.75" customHeight="1" thickBot="1">
      <c r="B72" s="479"/>
      <c r="C72" s="471" t="s">
        <v>936</v>
      </c>
      <c r="D72" s="478"/>
      <c r="E72" s="472"/>
      <c r="F72" s="251" t="s">
        <v>879</v>
      </c>
      <c r="G72" s="252">
        <v>323.7</v>
      </c>
      <c r="H72" s="252">
        <v>291.3</v>
      </c>
      <c r="I72" s="252">
        <v>251.2</v>
      </c>
      <c r="J72" s="252">
        <v>748.8</v>
      </c>
      <c r="K72" s="252">
        <v>1485.9</v>
      </c>
      <c r="L72" s="252">
        <v>1446.5</v>
      </c>
      <c r="O72" s="502" t="s">
        <v>71</v>
      </c>
      <c r="P72" s="264" t="s">
        <v>961</v>
      </c>
      <c r="Q72" s="277">
        <v>37</v>
      </c>
      <c r="R72" s="482" t="s">
        <v>1035</v>
      </c>
      <c r="S72" s="264" t="s">
        <v>961</v>
      </c>
    </row>
    <row r="73" spans="2:19" ht="15.75" customHeight="1" thickBot="1">
      <c r="B73" s="479"/>
      <c r="C73" s="473" t="s">
        <v>936</v>
      </c>
      <c r="D73" s="471" t="s">
        <v>937</v>
      </c>
      <c r="E73" s="472"/>
      <c r="F73" s="260" t="s">
        <v>938</v>
      </c>
      <c r="G73" s="253">
        <v>-755.5</v>
      </c>
      <c r="H73" s="253">
        <v>-691</v>
      </c>
      <c r="I73" s="253">
        <v>-545</v>
      </c>
      <c r="J73" s="253">
        <v>-203.2</v>
      </c>
      <c r="K73" s="253">
        <v>184.6</v>
      </c>
      <c r="L73" s="253">
        <v>413.7</v>
      </c>
      <c r="O73" s="503"/>
      <c r="P73" s="264" t="s">
        <v>963</v>
      </c>
      <c r="Q73" s="277">
        <v>38</v>
      </c>
      <c r="R73" s="483"/>
      <c r="S73" s="264" t="s">
        <v>963</v>
      </c>
    </row>
    <row r="74" spans="2:19" ht="15.75" customHeight="1" thickBot="1">
      <c r="B74" s="479"/>
      <c r="C74" s="474"/>
      <c r="D74" s="471" t="s">
        <v>939</v>
      </c>
      <c r="E74" s="472"/>
      <c r="F74" s="260" t="s">
        <v>940</v>
      </c>
      <c r="G74" s="252">
        <v>1079.2</v>
      </c>
      <c r="H74" s="252">
        <v>982.2</v>
      </c>
      <c r="I74" s="252">
        <v>796.2</v>
      </c>
      <c r="J74" s="252">
        <v>952</v>
      </c>
      <c r="K74" s="252">
        <v>1301.3</v>
      </c>
      <c r="L74" s="252">
        <v>1032.8</v>
      </c>
      <c r="O74" s="503"/>
      <c r="P74" s="264" t="s">
        <v>965</v>
      </c>
      <c r="Q74" s="277">
        <v>39</v>
      </c>
      <c r="R74" s="483"/>
      <c r="S74" s="264" t="s">
        <v>965</v>
      </c>
    </row>
    <row r="75" spans="2:19" ht="15.75" customHeight="1" thickBot="1">
      <c r="B75" s="479"/>
      <c r="C75" s="471" t="s">
        <v>941</v>
      </c>
      <c r="D75" s="478"/>
      <c r="E75" s="472"/>
      <c r="F75" s="261" t="s">
        <v>942</v>
      </c>
      <c r="G75" s="253">
        <v>33520.6</v>
      </c>
      <c r="H75" s="253">
        <v>34577.1</v>
      </c>
      <c r="I75" s="253">
        <v>31690.799999999999</v>
      </c>
      <c r="J75" s="253">
        <v>30372</v>
      </c>
      <c r="K75" s="253">
        <v>26600.400000000001</v>
      </c>
      <c r="L75" s="253">
        <v>25431.8</v>
      </c>
      <c r="O75" s="504"/>
      <c r="P75" s="264" t="s">
        <v>967</v>
      </c>
      <c r="Q75" s="277">
        <v>40</v>
      </c>
      <c r="R75" s="484"/>
      <c r="S75" s="264" t="s">
        <v>967</v>
      </c>
    </row>
    <row r="76" spans="2:19" ht="15.75" customHeight="1" thickBot="1">
      <c r="B76" s="479"/>
      <c r="C76" s="471" t="s">
        <v>943</v>
      </c>
      <c r="D76" s="478"/>
      <c r="E76" s="472"/>
      <c r="F76" s="262" t="s">
        <v>944</v>
      </c>
      <c r="G76" s="252">
        <v>75690.2</v>
      </c>
      <c r="H76" s="252">
        <v>79331.399999999994</v>
      </c>
      <c r="I76" s="252">
        <v>75757.899999999994</v>
      </c>
      <c r="J76" s="252">
        <v>75073.8</v>
      </c>
      <c r="K76" s="252">
        <v>77841.100000000006</v>
      </c>
      <c r="L76" s="252">
        <v>83020.600000000006</v>
      </c>
      <c r="O76" s="502" t="s">
        <v>73</v>
      </c>
      <c r="P76" s="265" t="s">
        <v>970</v>
      </c>
      <c r="Q76" s="277">
        <v>41</v>
      </c>
      <c r="R76" s="482" t="s">
        <v>73</v>
      </c>
      <c r="S76" s="265" t="s">
        <v>970</v>
      </c>
    </row>
    <row r="77" spans="2:19" ht="15.75" customHeight="1" thickBot="1">
      <c r="B77" s="479"/>
      <c r="C77" s="257" t="s">
        <v>943</v>
      </c>
      <c r="D77" s="471" t="s">
        <v>945</v>
      </c>
      <c r="E77" s="472"/>
      <c r="F77" s="245" t="s">
        <v>455</v>
      </c>
      <c r="G77" s="253">
        <v>33774</v>
      </c>
      <c r="H77" s="253">
        <v>37745.199999999997</v>
      </c>
      <c r="I77" s="253">
        <v>35519</v>
      </c>
      <c r="J77" s="253">
        <v>34887</v>
      </c>
      <c r="K77" s="253">
        <v>35573.800000000003</v>
      </c>
      <c r="L77" s="253">
        <v>37599.4</v>
      </c>
      <c r="O77" s="503"/>
      <c r="P77" s="265" t="s">
        <v>972</v>
      </c>
      <c r="Q77" s="277">
        <v>42</v>
      </c>
      <c r="R77" s="483"/>
      <c r="S77" s="265" t="s">
        <v>972</v>
      </c>
    </row>
    <row r="78" spans="2:19" ht="15.75" customHeight="1" thickBot="1">
      <c r="B78" s="479"/>
      <c r="C78" s="471" t="s">
        <v>946</v>
      </c>
      <c r="D78" s="478"/>
      <c r="E78" s="472"/>
      <c r="F78" s="251" t="s">
        <v>879</v>
      </c>
      <c r="G78" s="252">
        <v>21086.3</v>
      </c>
      <c r="H78" s="252">
        <v>21537</v>
      </c>
      <c r="I78" s="252">
        <v>19069.5</v>
      </c>
      <c r="J78" s="252">
        <v>20250.8</v>
      </c>
      <c r="K78" s="252">
        <v>21104.2</v>
      </c>
      <c r="L78" s="252">
        <v>21600.7</v>
      </c>
      <c r="O78" s="504"/>
      <c r="P78" s="265" t="s">
        <v>974</v>
      </c>
      <c r="Q78" s="277">
        <v>43</v>
      </c>
      <c r="R78" s="484"/>
      <c r="S78" s="265" t="s">
        <v>974</v>
      </c>
    </row>
    <row r="79" spans="2:19" ht="15.75" customHeight="1" thickBot="1">
      <c r="B79" s="479"/>
      <c r="C79" s="473" t="s">
        <v>946</v>
      </c>
      <c r="D79" s="471" t="s">
        <v>947</v>
      </c>
      <c r="E79" s="472"/>
      <c r="F79" s="263" t="s">
        <v>948</v>
      </c>
      <c r="G79" s="253">
        <v>18325.900000000001</v>
      </c>
      <c r="H79" s="253">
        <v>18434.5</v>
      </c>
      <c r="I79" s="253">
        <v>18072.5</v>
      </c>
      <c r="J79" s="253">
        <v>18304.599999999999</v>
      </c>
      <c r="K79" s="253">
        <v>18500.599999999999</v>
      </c>
      <c r="L79" s="253">
        <v>19341</v>
      </c>
      <c r="O79" s="282" t="s">
        <v>75</v>
      </c>
      <c r="P79" s="266" t="s">
        <v>976</v>
      </c>
      <c r="Q79" s="277">
        <v>44</v>
      </c>
      <c r="R79" s="482" t="s">
        <v>75</v>
      </c>
      <c r="S79" s="266" t="s">
        <v>976</v>
      </c>
    </row>
    <row r="80" spans="2:19" ht="15.75" customHeight="1" thickBot="1">
      <c r="B80" s="479"/>
      <c r="C80" s="479"/>
      <c r="D80" s="471" t="s">
        <v>949</v>
      </c>
      <c r="E80" s="472"/>
      <c r="F80" s="263" t="s">
        <v>950</v>
      </c>
      <c r="G80" s="252">
        <v>-2149.9</v>
      </c>
      <c r="H80" s="252">
        <v>-2155.9</v>
      </c>
      <c r="I80" s="252">
        <v>-2569.4</v>
      </c>
      <c r="J80" s="252">
        <v>-2412.3000000000002</v>
      </c>
      <c r="K80" s="252">
        <v>-2185.9</v>
      </c>
      <c r="L80" s="252">
        <v>-1880.7</v>
      </c>
      <c r="O80" s="502" t="s">
        <v>1041</v>
      </c>
      <c r="P80" s="267" t="s">
        <v>982</v>
      </c>
      <c r="Q80" s="277">
        <v>45</v>
      </c>
      <c r="R80" s="484"/>
      <c r="S80" s="267" t="s">
        <v>982</v>
      </c>
    </row>
    <row r="81" spans="2:19" ht="15.75" customHeight="1" thickBot="1">
      <c r="B81" s="479"/>
      <c r="C81" s="479"/>
      <c r="D81" s="471" t="s">
        <v>951</v>
      </c>
      <c r="E81" s="472"/>
      <c r="F81" s="263" t="s">
        <v>952</v>
      </c>
      <c r="G81" s="253">
        <v>-101.3</v>
      </c>
      <c r="H81" s="253">
        <v>362.9</v>
      </c>
      <c r="I81" s="253">
        <v>-693.3</v>
      </c>
      <c r="J81" s="253">
        <v>-934.8</v>
      </c>
      <c r="K81" s="253">
        <v>-802.6</v>
      </c>
      <c r="L81" s="253">
        <v>-697.3</v>
      </c>
      <c r="O81" s="503"/>
      <c r="P81" s="267" t="s">
        <v>984</v>
      </c>
      <c r="Q81" s="277">
        <v>46</v>
      </c>
      <c r="R81" s="506" t="s">
        <v>858</v>
      </c>
      <c r="S81" s="267" t="s">
        <v>984</v>
      </c>
    </row>
    <row r="82" spans="2:19" ht="15.75" customHeight="1" thickBot="1">
      <c r="B82" s="479"/>
      <c r="C82" s="479"/>
      <c r="D82" s="471" t="s">
        <v>953</v>
      </c>
      <c r="E82" s="472"/>
      <c r="F82" s="263" t="s">
        <v>954</v>
      </c>
      <c r="G82" s="252">
        <v>5303.5</v>
      </c>
      <c r="H82" s="252">
        <v>5343.4</v>
      </c>
      <c r="I82" s="252">
        <v>5449.4</v>
      </c>
      <c r="J82" s="252">
        <v>5774.3</v>
      </c>
      <c r="K82" s="252">
        <v>6403.9</v>
      </c>
      <c r="L82" s="252">
        <v>5323.2</v>
      </c>
      <c r="O82" s="503"/>
      <c r="P82" s="267" t="s">
        <v>986</v>
      </c>
      <c r="Q82" s="277">
        <v>47</v>
      </c>
      <c r="R82" s="507"/>
      <c r="S82" s="267" t="s">
        <v>986</v>
      </c>
    </row>
    <row r="83" spans="2:19" ht="15.75" customHeight="1" thickBot="1">
      <c r="B83" s="479"/>
      <c r="C83" s="474"/>
      <c r="D83" s="471" t="s">
        <v>955</v>
      </c>
      <c r="E83" s="472"/>
      <c r="F83" s="263" t="s">
        <v>956</v>
      </c>
      <c r="G83" s="253">
        <v>-291.89999999999998</v>
      </c>
      <c r="H83" s="253">
        <v>-447.8</v>
      </c>
      <c r="I83" s="253">
        <v>-1189.8</v>
      </c>
      <c r="J83" s="253">
        <v>-481.1</v>
      </c>
      <c r="K83" s="253">
        <v>-811.8</v>
      </c>
      <c r="L83" s="253">
        <v>-485.5</v>
      </c>
      <c r="O83" s="503"/>
      <c r="P83" s="267" t="s">
        <v>989</v>
      </c>
      <c r="Q83" s="277">
        <v>48</v>
      </c>
      <c r="R83" s="507"/>
      <c r="S83" s="267" t="s">
        <v>989</v>
      </c>
    </row>
    <row r="84" spans="2:19" ht="15.75" customHeight="1" thickBot="1">
      <c r="B84" s="479"/>
      <c r="C84" s="471" t="s">
        <v>957</v>
      </c>
      <c r="D84" s="478"/>
      <c r="E84" s="472"/>
      <c r="F84" s="254" t="s">
        <v>194</v>
      </c>
      <c r="G84" s="252">
        <v>22214.9</v>
      </c>
      <c r="H84" s="252">
        <v>22894.1</v>
      </c>
      <c r="I84" s="252">
        <v>21984.3</v>
      </c>
      <c r="J84" s="252">
        <v>21174.6</v>
      </c>
      <c r="K84" s="252">
        <v>22343.7</v>
      </c>
      <c r="L84" s="252">
        <v>21800.5</v>
      </c>
      <c r="O84" s="503"/>
      <c r="P84" s="267" t="s">
        <v>991</v>
      </c>
      <c r="Q84" s="277">
        <v>49</v>
      </c>
      <c r="R84" s="507"/>
      <c r="S84" s="267" t="s">
        <v>991</v>
      </c>
    </row>
    <row r="85" spans="2:19" ht="15.75" customHeight="1" thickBot="1">
      <c r="B85" s="479"/>
      <c r="C85" s="471" t="s">
        <v>958</v>
      </c>
      <c r="D85" s="478"/>
      <c r="E85" s="472"/>
      <c r="F85" s="251" t="s">
        <v>879</v>
      </c>
      <c r="G85" s="253">
        <v>22326.799999999999</v>
      </c>
      <c r="H85" s="253">
        <v>21310.9</v>
      </c>
      <c r="I85" s="253">
        <v>18108.900000000001</v>
      </c>
      <c r="J85" s="253">
        <v>14686.3</v>
      </c>
      <c r="K85" s="253">
        <v>13610.3</v>
      </c>
      <c r="L85" s="253">
        <v>11986.2</v>
      </c>
      <c r="O85" s="503"/>
      <c r="P85" s="267" t="s">
        <v>994</v>
      </c>
      <c r="Q85" s="277">
        <v>50</v>
      </c>
      <c r="R85" s="507"/>
      <c r="S85" s="267" t="s">
        <v>994</v>
      </c>
    </row>
    <row r="86" spans="2:19" ht="15.75" customHeight="1" thickBot="1">
      <c r="B86" s="479"/>
      <c r="C86" s="473" t="s">
        <v>958</v>
      </c>
      <c r="D86" s="471" t="s">
        <v>959</v>
      </c>
      <c r="E86" s="472"/>
      <c r="F86" s="251" t="s">
        <v>879</v>
      </c>
      <c r="G86" s="252">
        <v>3355.9</v>
      </c>
      <c r="H86" s="252">
        <v>2660.5</v>
      </c>
      <c r="I86" s="252">
        <v>1322.8</v>
      </c>
      <c r="J86" s="252">
        <v>1009.4</v>
      </c>
      <c r="K86" s="252">
        <v>635.9</v>
      </c>
      <c r="L86" s="252">
        <v>103.9</v>
      </c>
      <c r="O86" s="503"/>
      <c r="P86" s="267" t="s">
        <v>996</v>
      </c>
      <c r="Q86" s="277">
        <v>51</v>
      </c>
      <c r="R86" s="507"/>
      <c r="S86" s="267" t="s">
        <v>996</v>
      </c>
    </row>
    <row r="87" spans="2:19" ht="15.75" customHeight="1" thickBot="1">
      <c r="B87" s="479"/>
      <c r="C87" s="479"/>
      <c r="D87" s="473" t="s">
        <v>959</v>
      </c>
      <c r="E87" s="257" t="s">
        <v>960</v>
      </c>
      <c r="F87" s="264" t="s">
        <v>961</v>
      </c>
      <c r="G87" s="253">
        <v>1782.1</v>
      </c>
      <c r="H87" s="253">
        <v>1245.5999999999999</v>
      </c>
      <c r="I87" s="253">
        <v>517.70000000000005</v>
      </c>
      <c r="J87" s="253">
        <v>344.2</v>
      </c>
      <c r="K87" s="253">
        <v>544.9</v>
      </c>
      <c r="L87" s="253">
        <v>412.3</v>
      </c>
      <c r="O87" s="503"/>
      <c r="P87" s="267" t="s">
        <v>998</v>
      </c>
      <c r="Q87" s="277">
        <v>52</v>
      </c>
      <c r="R87" s="507"/>
      <c r="S87" s="267" t="s">
        <v>998</v>
      </c>
    </row>
    <row r="88" spans="2:19" ht="15.75" customHeight="1" thickBot="1">
      <c r="B88" s="479"/>
      <c r="C88" s="479"/>
      <c r="D88" s="474"/>
      <c r="E88" s="257" t="s">
        <v>962</v>
      </c>
      <c r="F88" s="264" t="s">
        <v>963</v>
      </c>
      <c r="G88" s="252">
        <v>1573.8</v>
      </c>
      <c r="H88" s="252">
        <v>1415</v>
      </c>
      <c r="I88" s="252">
        <v>805.1</v>
      </c>
      <c r="J88" s="252">
        <v>665.3</v>
      </c>
      <c r="K88" s="252">
        <v>91</v>
      </c>
      <c r="L88" s="252">
        <v>-308.39999999999998</v>
      </c>
      <c r="O88" s="504"/>
      <c r="P88" s="267" t="s">
        <v>1000</v>
      </c>
      <c r="Q88" s="277">
        <v>53</v>
      </c>
      <c r="R88" s="507"/>
      <c r="S88" s="267" t="s">
        <v>1000</v>
      </c>
    </row>
    <row r="89" spans="2:19" ht="15.75" customHeight="1" thickBot="1">
      <c r="B89" s="479"/>
      <c r="C89" s="479"/>
      <c r="D89" s="471" t="s">
        <v>964</v>
      </c>
      <c r="E89" s="472"/>
      <c r="F89" s="264" t="s">
        <v>965</v>
      </c>
      <c r="G89" s="253">
        <v>13902</v>
      </c>
      <c r="H89" s="253">
        <v>13108.2</v>
      </c>
      <c r="I89" s="253">
        <v>11398.3</v>
      </c>
      <c r="J89" s="253">
        <v>8420.2999999999993</v>
      </c>
      <c r="K89" s="253">
        <v>7161.2</v>
      </c>
      <c r="L89" s="253">
        <v>5805.9</v>
      </c>
      <c r="O89" s="282" t="s">
        <v>83</v>
      </c>
      <c r="P89" s="268" t="s">
        <v>1002</v>
      </c>
      <c r="Q89" s="277">
        <v>54</v>
      </c>
      <c r="R89" s="278" t="s">
        <v>83</v>
      </c>
      <c r="S89" s="268" t="s">
        <v>1002</v>
      </c>
    </row>
    <row r="90" spans="2:19" ht="15.75" customHeight="1" thickBot="1">
      <c r="B90" s="479"/>
      <c r="C90" s="474"/>
      <c r="D90" s="471" t="s">
        <v>966</v>
      </c>
      <c r="E90" s="472"/>
      <c r="F90" s="264" t="s">
        <v>967</v>
      </c>
      <c r="G90" s="252">
        <v>5068.8999999999996</v>
      </c>
      <c r="H90" s="252">
        <v>5542.2</v>
      </c>
      <c r="I90" s="252">
        <v>5387.8</v>
      </c>
      <c r="J90" s="252">
        <v>5256.5</v>
      </c>
      <c r="K90" s="252">
        <v>5813.2</v>
      </c>
      <c r="L90" s="252">
        <v>6076.4</v>
      </c>
      <c r="O90" s="282" t="s">
        <v>85</v>
      </c>
      <c r="P90" s="269" t="s">
        <v>1004</v>
      </c>
      <c r="Q90" s="277">
        <v>55</v>
      </c>
      <c r="R90" s="278" t="s">
        <v>85</v>
      </c>
      <c r="S90" s="269" t="s">
        <v>1004</v>
      </c>
    </row>
    <row r="91" spans="2:19" ht="15.75" customHeight="1" thickBot="1">
      <c r="B91" s="479"/>
      <c r="C91" s="471" t="s">
        <v>968</v>
      </c>
      <c r="D91" s="478"/>
      <c r="E91" s="472"/>
      <c r="F91" s="251" t="s">
        <v>879</v>
      </c>
      <c r="G91" s="253">
        <v>30291.5</v>
      </c>
      <c r="H91" s="253">
        <v>31637</v>
      </c>
      <c r="I91" s="253">
        <v>32066.6</v>
      </c>
      <c r="J91" s="253">
        <v>34888.9</v>
      </c>
      <c r="K91" s="253">
        <v>40989.9</v>
      </c>
      <c r="L91" s="253">
        <v>37140.800000000003</v>
      </c>
      <c r="O91" s="502" t="s">
        <v>88</v>
      </c>
      <c r="P91" s="270" t="s">
        <v>1007</v>
      </c>
      <c r="Q91" s="277">
        <v>56</v>
      </c>
      <c r="S91" s="270" t="s">
        <v>1007</v>
      </c>
    </row>
    <row r="92" spans="2:19" ht="15.75" customHeight="1" thickBot="1">
      <c r="B92" s="479"/>
      <c r="C92" s="473" t="s">
        <v>968</v>
      </c>
      <c r="D92" s="471" t="s">
        <v>969</v>
      </c>
      <c r="E92" s="472"/>
      <c r="F92" s="265" t="s">
        <v>970</v>
      </c>
      <c r="G92" s="252">
        <v>21785.1</v>
      </c>
      <c r="H92" s="252">
        <v>21244.3</v>
      </c>
      <c r="I92" s="252">
        <v>19526</v>
      </c>
      <c r="J92" s="252">
        <v>22543</v>
      </c>
      <c r="K92" s="252">
        <v>28286.5</v>
      </c>
      <c r="L92" s="252">
        <v>24175.599999999999</v>
      </c>
      <c r="O92" s="503"/>
      <c r="P92" s="270" t="s">
        <v>1009</v>
      </c>
      <c r="Q92" s="277">
        <v>57</v>
      </c>
      <c r="R92" s="482" t="s">
        <v>88</v>
      </c>
      <c r="S92" s="270" t="s">
        <v>1009</v>
      </c>
    </row>
    <row r="93" spans="2:19" ht="15.75" customHeight="1" thickBot="1">
      <c r="B93" s="479"/>
      <c r="C93" s="479"/>
      <c r="D93" s="471" t="s">
        <v>971</v>
      </c>
      <c r="E93" s="472"/>
      <c r="F93" s="265" t="s">
        <v>972</v>
      </c>
      <c r="G93" s="253">
        <v>852.6</v>
      </c>
      <c r="H93" s="253">
        <v>2176.4</v>
      </c>
      <c r="I93" s="253">
        <v>3927</v>
      </c>
      <c r="J93" s="253">
        <v>3378.4</v>
      </c>
      <c r="K93" s="253">
        <v>3963.8</v>
      </c>
      <c r="L93" s="253">
        <v>5050.8999999999996</v>
      </c>
      <c r="O93" s="504"/>
      <c r="P93" s="270" t="s">
        <v>1012</v>
      </c>
      <c r="Q93" s="277">
        <v>58</v>
      </c>
      <c r="R93" s="484"/>
      <c r="S93" s="270" t="s">
        <v>1012</v>
      </c>
    </row>
    <row r="94" spans="2:19" ht="15.75" customHeight="1" thickBot="1">
      <c r="B94" s="479"/>
      <c r="C94" s="474"/>
      <c r="D94" s="471" t="s">
        <v>973</v>
      </c>
      <c r="E94" s="472"/>
      <c r="F94" s="265" t="s">
        <v>974</v>
      </c>
      <c r="G94" s="252">
        <v>7653.7</v>
      </c>
      <c r="H94" s="252">
        <v>8216.2000000000007</v>
      </c>
      <c r="I94" s="252">
        <v>8613.6</v>
      </c>
      <c r="J94" s="252">
        <v>8967.5</v>
      </c>
      <c r="K94" s="252">
        <v>8739.6</v>
      </c>
      <c r="L94" s="252">
        <v>7914.4</v>
      </c>
      <c r="O94" s="282" t="s">
        <v>91</v>
      </c>
      <c r="P94" s="259" t="s">
        <v>1014</v>
      </c>
      <c r="Q94" s="277">
        <v>59</v>
      </c>
      <c r="R94" s="482" t="s">
        <v>1035</v>
      </c>
      <c r="S94" s="259" t="s">
        <v>1014</v>
      </c>
    </row>
    <row r="95" spans="2:19" ht="15.75" customHeight="1" thickBot="1">
      <c r="B95" s="479"/>
      <c r="C95" s="471" t="s">
        <v>975</v>
      </c>
      <c r="D95" s="478"/>
      <c r="E95" s="472"/>
      <c r="F95" s="266" t="s">
        <v>976</v>
      </c>
      <c r="G95" s="253">
        <v>116564.2</v>
      </c>
      <c r="H95" s="253">
        <v>120415.5</v>
      </c>
      <c r="I95" s="253">
        <v>106634.4</v>
      </c>
      <c r="J95" s="253">
        <v>109662</v>
      </c>
      <c r="K95" s="253">
        <v>106983.6</v>
      </c>
      <c r="L95" s="253">
        <v>112364.8</v>
      </c>
      <c r="O95" s="502" t="s">
        <v>1042</v>
      </c>
      <c r="P95" s="270" t="s">
        <v>1017</v>
      </c>
      <c r="Q95" s="277">
        <v>60</v>
      </c>
      <c r="R95" s="483"/>
      <c r="S95" s="270" t="s">
        <v>1017</v>
      </c>
    </row>
    <row r="96" spans="2:19" ht="15.75" customHeight="1" thickBot="1">
      <c r="B96" s="479"/>
      <c r="C96" s="257" t="s">
        <v>975</v>
      </c>
      <c r="D96" s="471" t="s">
        <v>977</v>
      </c>
      <c r="E96" s="472"/>
      <c r="F96" s="251" t="s">
        <v>879</v>
      </c>
      <c r="G96" s="252" t="s">
        <v>978</v>
      </c>
      <c r="H96" s="252" t="s">
        <v>978</v>
      </c>
      <c r="I96" s="252" t="s">
        <v>978</v>
      </c>
      <c r="J96" s="252">
        <v>130422</v>
      </c>
      <c r="K96" s="252" t="s">
        <v>978</v>
      </c>
      <c r="L96" s="252" t="s">
        <v>978</v>
      </c>
      <c r="O96" s="503"/>
      <c r="P96" s="262" t="s">
        <v>1019</v>
      </c>
      <c r="Q96" s="277">
        <v>61</v>
      </c>
      <c r="R96" s="483"/>
      <c r="S96" s="262" t="s">
        <v>1019</v>
      </c>
    </row>
    <row r="97" spans="2:19" ht="15.75" customHeight="1" thickBot="1">
      <c r="B97" s="479"/>
      <c r="C97" s="471" t="s">
        <v>979</v>
      </c>
      <c r="D97" s="478"/>
      <c r="E97" s="472"/>
      <c r="F97" s="251" t="s">
        <v>879</v>
      </c>
      <c r="G97" s="253">
        <v>56010.1</v>
      </c>
      <c r="H97" s="253">
        <v>54367.9</v>
      </c>
      <c r="I97" s="253">
        <v>54037.3</v>
      </c>
      <c r="J97" s="253">
        <v>53073.1</v>
      </c>
      <c r="K97" s="253">
        <v>53086.3</v>
      </c>
      <c r="L97" s="253">
        <v>53238.2</v>
      </c>
      <c r="O97" s="503"/>
      <c r="P97" s="262" t="s">
        <v>1021</v>
      </c>
      <c r="Q97" s="277">
        <v>62</v>
      </c>
      <c r="R97" s="483"/>
      <c r="S97" s="262" t="s">
        <v>1021</v>
      </c>
    </row>
    <row r="98" spans="2:19" ht="15.75" customHeight="1" thickBot="1">
      <c r="B98" s="479"/>
      <c r="C98" s="473" t="s">
        <v>979</v>
      </c>
      <c r="D98" s="471" t="s">
        <v>980</v>
      </c>
      <c r="E98" s="472"/>
      <c r="F98" s="251" t="s">
        <v>879</v>
      </c>
      <c r="G98" s="252">
        <v>43862.8</v>
      </c>
      <c r="H98" s="252">
        <v>42847.1</v>
      </c>
      <c r="I98" s="252">
        <v>41855.4</v>
      </c>
      <c r="J98" s="252">
        <v>41884.699999999997</v>
      </c>
      <c r="K98" s="252">
        <v>41773.300000000003</v>
      </c>
      <c r="L98" s="252">
        <v>42183.7</v>
      </c>
      <c r="O98" s="503"/>
      <c r="P98" s="262" t="s">
        <v>1023</v>
      </c>
      <c r="Q98" s="277">
        <v>63</v>
      </c>
      <c r="R98" s="484"/>
      <c r="S98" s="262" t="s">
        <v>1023</v>
      </c>
    </row>
    <row r="99" spans="2:19" ht="15.75" customHeight="1" thickBot="1">
      <c r="B99" s="479"/>
      <c r="C99" s="479"/>
      <c r="D99" s="473" t="s">
        <v>980</v>
      </c>
      <c r="E99" s="257" t="s">
        <v>981</v>
      </c>
      <c r="F99" s="267" t="s">
        <v>982</v>
      </c>
      <c r="G99" s="253">
        <v>30838.5</v>
      </c>
      <c r="H99" s="253">
        <v>29800.7</v>
      </c>
      <c r="I99" s="253">
        <v>29672</v>
      </c>
      <c r="J99" s="253">
        <v>29477.200000000001</v>
      </c>
      <c r="K99" s="253">
        <v>30012.400000000001</v>
      </c>
      <c r="L99" s="253">
        <v>30213.8</v>
      </c>
      <c r="O99" s="503"/>
      <c r="P99" s="262" t="s">
        <v>193</v>
      </c>
      <c r="Q99" s="277">
        <v>64</v>
      </c>
      <c r="R99" s="278" t="s">
        <v>147</v>
      </c>
      <c r="S99" s="262" t="s">
        <v>193</v>
      </c>
    </row>
    <row r="100" spans="2:19" ht="15.75" customHeight="1" thickBot="1">
      <c r="B100" s="479"/>
      <c r="C100" s="479"/>
      <c r="D100" s="474"/>
      <c r="E100" s="257" t="s">
        <v>983</v>
      </c>
      <c r="F100" s="267" t="s">
        <v>984</v>
      </c>
      <c r="G100" s="252">
        <v>13024.2</v>
      </c>
      <c r="H100" s="252">
        <v>13046.4</v>
      </c>
      <c r="I100" s="252">
        <v>12183.4</v>
      </c>
      <c r="J100" s="252">
        <v>12407.4</v>
      </c>
      <c r="K100" s="252">
        <v>11760.8</v>
      </c>
      <c r="L100" s="252">
        <v>11969.9</v>
      </c>
      <c r="O100" s="504"/>
      <c r="P100" s="280"/>
      <c r="Q100" s="277">
        <v>65</v>
      </c>
      <c r="R100" s="278" t="s">
        <v>858</v>
      </c>
      <c r="S100" s="280"/>
    </row>
    <row r="101" spans="2:19" ht="15.75" customHeight="1" thickBot="1">
      <c r="B101" s="479"/>
      <c r="C101" s="479"/>
      <c r="D101" s="471" t="s">
        <v>985</v>
      </c>
      <c r="E101" s="472"/>
      <c r="F101" s="267" t="s">
        <v>986</v>
      </c>
      <c r="G101" s="253">
        <v>592.4</v>
      </c>
      <c r="H101" s="253">
        <v>411.4</v>
      </c>
      <c r="I101" s="253">
        <v>609.5</v>
      </c>
      <c r="J101" s="253">
        <v>533.20000000000005</v>
      </c>
      <c r="K101" s="253">
        <v>66.8</v>
      </c>
      <c r="L101" s="253">
        <v>42.3</v>
      </c>
    </row>
    <row r="102" spans="2:19" ht="15.75" customHeight="1" thickBot="1">
      <c r="B102" s="479"/>
      <c r="C102" s="479"/>
      <c r="D102" s="471" t="s">
        <v>987</v>
      </c>
      <c r="E102" s="472"/>
      <c r="F102" s="267"/>
      <c r="G102" s="252">
        <v>11554.9</v>
      </c>
      <c r="H102" s="252">
        <v>11109.3</v>
      </c>
      <c r="I102" s="252">
        <v>11572.4</v>
      </c>
      <c r="J102" s="252">
        <v>10655.2</v>
      </c>
      <c r="K102" s="252">
        <v>11246.3</v>
      </c>
      <c r="L102" s="252">
        <v>11012.2</v>
      </c>
    </row>
    <row r="103" spans="2:19" ht="15.75" customHeight="1" thickBot="1">
      <c r="B103" s="479"/>
      <c r="C103" s="479"/>
      <c r="D103" s="473" t="s">
        <v>987</v>
      </c>
      <c r="E103" s="257" t="s">
        <v>988</v>
      </c>
      <c r="F103" s="267" t="s">
        <v>989</v>
      </c>
      <c r="G103" s="253">
        <v>2207.8000000000002</v>
      </c>
      <c r="H103" s="253">
        <v>2135</v>
      </c>
      <c r="I103" s="253">
        <v>2041.9</v>
      </c>
      <c r="J103" s="253">
        <v>1571.2</v>
      </c>
      <c r="K103" s="253">
        <v>1839.5</v>
      </c>
      <c r="L103" s="253">
        <v>1944.9</v>
      </c>
    </row>
    <row r="104" spans="2:19" ht="15.75" customHeight="1" thickBot="1">
      <c r="B104" s="479"/>
      <c r="C104" s="474"/>
      <c r="D104" s="474"/>
      <c r="E104" s="257" t="s">
        <v>990</v>
      </c>
      <c r="F104" s="267" t="s">
        <v>991</v>
      </c>
      <c r="G104" s="252">
        <v>9347.2000000000007</v>
      </c>
      <c r="H104" s="252">
        <v>8974.4</v>
      </c>
      <c r="I104" s="252">
        <v>9530.4</v>
      </c>
      <c r="J104" s="252">
        <v>9084.1</v>
      </c>
      <c r="K104" s="252">
        <v>9406.7999999999993</v>
      </c>
      <c r="L104" s="252">
        <v>9067.2999999999993</v>
      </c>
    </row>
    <row r="105" spans="2:19" ht="15.75" customHeight="1" thickBot="1">
      <c r="B105" s="479"/>
      <c r="C105" s="471" t="s">
        <v>992</v>
      </c>
      <c r="D105" s="478"/>
      <c r="E105" s="472"/>
      <c r="F105" s="251" t="s">
        <v>879</v>
      </c>
      <c r="G105" s="253">
        <v>10033.5</v>
      </c>
      <c r="H105" s="253">
        <v>11572.8</v>
      </c>
      <c r="I105" s="253">
        <v>10332</v>
      </c>
      <c r="J105" s="253">
        <v>9906.7000000000007</v>
      </c>
      <c r="K105" s="253">
        <v>10843.8</v>
      </c>
      <c r="L105" s="253">
        <v>10593.1</v>
      </c>
    </row>
    <row r="106" spans="2:19" ht="15.75" customHeight="1" thickBot="1">
      <c r="B106" s="479"/>
      <c r="C106" s="473" t="s">
        <v>992</v>
      </c>
      <c r="D106" s="471" t="s">
        <v>993</v>
      </c>
      <c r="E106" s="472"/>
      <c r="F106" s="267" t="s">
        <v>994</v>
      </c>
      <c r="G106" s="252">
        <v>76.599999999999994</v>
      </c>
      <c r="H106" s="252">
        <v>50.3</v>
      </c>
      <c r="I106" s="252">
        <v>-231</v>
      </c>
      <c r="J106" s="252">
        <v>-351.5</v>
      </c>
      <c r="K106" s="252">
        <v>179.4</v>
      </c>
      <c r="L106" s="252">
        <v>78.400000000000006</v>
      </c>
    </row>
    <row r="107" spans="2:19" ht="15.75" customHeight="1" thickBot="1">
      <c r="B107" s="479"/>
      <c r="C107" s="479"/>
      <c r="D107" s="471" t="s">
        <v>995</v>
      </c>
      <c r="E107" s="472"/>
      <c r="F107" s="267" t="s">
        <v>996</v>
      </c>
      <c r="G107" s="253">
        <v>32.299999999999997</v>
      </c>
      <c r="H107" s="253">
        <v>252.6</v>
      </c>
      <c r="I107" s="253">
        <v>267.60000000000002</v>
      </c>
      <c r="J107" s="253">
        <v>-120.7</v>
      </c>
      <c r="K107" s="253">
        <v>-150.80000000000001</v>
      </c>
      <c r="L107" s="253">
        <v>312.8</v>
      </c>
    </row>
    <row r="108" spans="2:19" ht="15.75" customHeight="1" thickBot="1">
      <c r="B108" s="479"/>
      <c r="C108" s="479"/>
      <c r="D108" s="471" t="s">
        <v>997</v>
      </c>
      <c r="E108" s="472"/>
      <c r="F108" s="267" t="s">
        <v>998</v>
      </c>
      <c r="G108" s="252">
        <v>758.6</v>
      </c>
      <c r="H108" s="252">
        <v>633.79999999999995</v>
      </c>
      <c r="I108" s="252">
        <v>565.6</v>
      </c>
      <c r="J108" s="252">
        <v>572.20000000000005</v>
      </c>
      <c r="K108" s="252">
        <v>718.2</v>
      </c>
      <c r="L108" s="252">
        <v>682.3</v>
      </c>
    </row>
    <row r="109" spans="2:19" ht="15.75" customHeight="1" thickBot="1">
      <c r="B109" s="479"/>
      <c r="C109" s="474"/>
      <c r="D109" s="471" t="s">
        <v>999</v>
      </c>
      <c r="E109" s="472"/>
      <c r="F109" s="267" t="s">
        <v>1000</v>
      </c>
      <c r="G109" s="253">
        <v>9166</v>
      </c>
      <c r="H109" s="253">
        <v>10636</v>
      </c>
      <c r="I109" s="253">
        <v>9729.7999999999993</v>
      </c>
      <c r="J109" s="253">
        <v>9806.7000000000007</v>
      </c>
      <c r="K109" s="253">
        <v>10096.9</v>
      </c>
      <c r="L109" s="253">
        <v>9519.6</v>
      </c>
    </row>
    <row r="110" spans="2:19" ht="15.75" customHeight="1" thickBot="1">
      <c r="B110" s="479"/>
      <c r="C110" s="471" t="s">
        <v>1001</v>
      </c>
      <c r="D110" s="478"/>
      <c r="E110" s="472"/>
      <c r="F110" s="268" t="s">
        <v>1002</v>
      </c>
      <c r="G110" s="252">
        <v>1234</v>
      </c>
      <c r="H110" s="252">
        <v>1240</v>
      </c>
      <c r="I110" s="252">
        <v>1278</v>
      </c>
      <c r="J110" s="252">
        <v>1323</v>
      </c>
      <c r="K110" s="252">
        <v>1710</v>
      </c>
      <c r="L110" s="252">
        <v>1683</v>
      </c>
    </row>
    <row r="111" spans="2:19" ht="15.75" customHeight="1" thickBot="1">
      <c r="B111" s="479"/>
      <c r="C111" s="471" t="s">
        <v>1003</v>
      </c>
      <c r="D111" s="478"/>
      <c r="E111" s="472"/>
      <c r="F111" s="269" t="s">
        <v>1004</v>
      </c>
      <c r="G111" s="253">
        <v>2951</v>
      </c>
      <c r="H111" s="253">
        <v>2717.8</v>
      </c>
      <c r="I111" s="253">
        <v>2846.5</v>
      </c>
      <c r="J111" s="253">
        <v>3070.4</v>
      </c>
      <c r="K111" s="253">
        <v>3204.4</v>
      </c>
      <c r="L111" s="253">
        <v>3213.1</v>
      </c>
    </row>
    <row r="112" spans="2:19" ht="15.75" customHeight="1" thickBot="1">
      <c r="B112" s="479"/>
      <c r="C112" s="471" t="s">
        <v>1005</v>
      </c>
      <c r="D112" s="478"/>
      <c r="E112" s="472"/>
      <c r="F112" s="251" t="s">
        <v>879</v>
      </c>
      <c r="G112" s="252">
        <v>18873</v>
      </c>
      <c r="H112" s="252">
        <v>19494.900000000001</v>
      </c>
      <c r="I112" s="252">
        <v>20122.5</v>
      </c>
      <c r="J112" s="252">
        <v>20530</v>
      </c>
      <c r="K112" s="252">
        <v>22368.799999999999</v>
      </c>
      <c r="L112" s="252">
        <v>22209.599999999999</v>
      </c>
    </row>
    <row r="113" spans="2:12" ht="15.75" customHeight="1" thickBot="1">
      <c r="B113" s="479"/>
      <c r="C113" s="473" t="s">
        <v>1005</v>
      </c>
      <c r="D113" s="471" t="s">
        <v>1006</v>
      </c>
      <c r="E113" s="472"/>
      <c r="F113" s="270" t="s">
        <v>1007</v>
      </c>
      <c r="G113" s="253">
        <v>17462.8</v>
      </c>
      <c r="H113" s="253">
        <v>18429.3</v>
      </c>
      <c r="I113" s="253">
        <v>19137.3</v>
      </c>
      <c r="J113" s="253">
        <v>19388.099999999999</v>
      </c>
      <c r="K113" s="253">
        <v>21038.3</v>
      </c>
      <c r="L113" s="253">
        <v>21049.200000000001</v>
      </c>
    </row>
    <row r="114" spans="2:12" ht="15.75" customHeight="1" thickBot="1">
      <c r="B114" s="479"/>
      <c r="C114" s="474"/>
      <c r="D114" s="471" t="s">
        <v>1008</v>
      </c>
      <c r="E114" s="472"/>
      <c r="F114" s="270" t="s">
        <v>1009</v>
      </c>
      <c r="G114" s="252">
        <v>1410.2</v>
      </c>
      <c r="H114" s="252">
        <v>1065.5999999999999</v>
      </c>
      <c r="I114" s="252">
        <v>985.2</v>
      </c>
      <c r="J114" s="252">
        <v>1141.9000000000001</v>
      </c>
      <c r="K114" s="252">
        <v>1330.5</v>
      </c>
      <c r="L114" s="252">
        <v>1160.3</v>
      </c>
    </row>
    <row r="115" spans="2:12" ht="15.75" customHeight="1" thickBot="1">
      <c r="B115" s="479"/>
      <c r="C115" s="471" t="s">
        <v>1010</v>
      </c>
      <c r="D115" s="478"/>
      <c r="E115" s="472"/>
      <c r="F115" s="251" t="s">
        <v>879</v>
      </c>
      <c r="G115" s="253">
        <v>5912.7</v>
      </c>
      <c r="H115" s="253">
        <v>6326.8</v>
      </c>
      <c r="I115" s="253">
        <v>5407.2</v>
      </c>
      <c r="J115" s="253">
        <v>5021.3</v>
      </c>
      <c r="K115" s="253">
        <v>5770.9</v>
      </c>
      <c r="L115" s="253">
        <v>5497.6</v>
      </c>
    </row>
    <row r="116" spans="2:12" ht="15.75" customHeight="1" thickBot="1">
      <c r="B116" s="479"/>
      <c r="C116" s="473" t="s">
        <v>1010</v>
      </c>
      <c r="D116" s="471" t="s">
        <v>1011</v>
      </c>
      <c r="E116" s="472"/>
      <c r="F116" s="270" t="s">
        <v>1012</v>
      </c>
      <c r="G116" s="252">
        <v>4037</v>
      </c>
      <c r="H116" s="252">
        <v>4338.8</v>
      </c>
      <c r="I116" s="252">
        <v>3780.1</v>
      </c>
      <c r="J116" s="252">
        <v>3404.1</v>
      </c>
      <c r="K116" s="252">
        <v>3724.1</v>
      </c>
      <c r="L116" s="252">
        <v>3426.4</v>
      </c>
    </row>
    <row r="117" spans="2:12" ht="15.75" customHeight="1" thickBot="1">
      <c r="B117" s="479"/>
      <c r="C117" s="474"/>
      <c r="D117" s="471" t="s">
        <v>1013</v>
      </c>
      <c r="E117" s="472"/>
      <c r="F117" s="259" t="s">
        <v>1014</v>
      </c>
      <c r="G117" s="253">
        <v>1875.7</v>
      </c>
      <c r="H117" s="253">
        <v>1988</v>
      </c>
      <c r="I117" s="253">
        <v>1627.1</v>
      </c>
      <c r="J117" s="253">
        <v>1617.3</v>
      </c>
      <c r="K117" s="253">
        <v>2046.7</v>
      </c>
      <c r="L117" s="253">
        <v>2071.1999999999998</v>
      </c>
    </row>
    <row r="118" spans="2:12" ht="15.75" customHeight="1" thickBot="1">
      <c r="B118" s="479"/>
      <c r="C118" s="471" t="s">
        <v>1015</v>
      </c>
      <c r="D118" s="478"/>
      <c r="E118" s="472"/>
      <c r="F118" s="251" t="s">
        <v>879</v>
      </c>
      <c r="G118" s="252">
        <v>15871.7</v>
      </c>
      <c r="H118" s="252">
        <v>17441.3</v>
      </c>
      <c r="I118" s="252">
        <v>16254.3</v>
      </c>
      <c r="J118" s="252">
        <v>16486</v>
      </c>
      <c r="K118" s="252">
        <v>16041.9</v>
      </c>
      <c r="L118" s="252">
        <v>15852.7</v>
      </c>
    </row>
    <row r="119" spans="2:12" ht="15.75" customHeight="1" thickBot="1">
      <c r="B119" s="479"/>
      <c r="C119" s="473" t="s">
        <v>1015</v>
      </c>
      <c r="D119" s="471" t="s">
        <v>1016</v>
      </c>
      <c r="E119" s="472"/>
      <c r="F119" s="270" t="s">
        <v>1017</v>
      </c>
      <c r="G119" s="253">
        <v>445.8</v>
      </c>
      <c r="H119" s="253">
        <v>479.6</v>
      </c>
      <c r="I119" s="253">
        <v>369.2</v>
      </c>
      <c r="J119" s="253">
        <v>344.9</v>
      </c>
      <c r="K119" s="253">
        <v>180.6</v>
      </c>
      <c r="L119" s="253">
        <v>54.3</v>
      </c>
    </row>
    <row r="120" spans="2:12" ht="15.75" customHeight="1" thickBot="1">
      <c r="B120" s="479"/>
      <c r="C120" s="479"/>
      <c r="D120" s="471" t="s">
        <v>1018</v>
      </c>
      <c r="E120" s="472"/>
      <c r="F120" s="262" t="s">
        <v>1019</v>
      </c>
      <c r="G120" s="252">
        <v>1322.2</v>
      </c>
      <c r="H120" s="252">
        <v>1405.7</v>
      </c>
      <c r="I120" s="252">
        <v>1347.2</v>
      </c>
      <c r="J120" s="252">
        <v>1382</v>
      </c>
      <c r="K120" s="252">
        <v>1284.4000000000001</v>
      </c>
      <c r="L120" s="252">
        <v>1223.9000000000001</v>
      </c>
    </row>
    <row r="121" spans="2:12" ht="15.75" customHeight="1" thickBot="1">
      <c r="B121" s="479"/>
      <c r="C121" s="474"/>
      <c r="D121" s="471" t="s">
        <v>1020</v>
      </c>
      <c r="E121" s="472"/>
      <c r="F121" s="262" t="s">
        <v>1021</v>
      </c>
      <c r="G121" s="253">
        <v>14103.8</v>
      </c>
      <c r="H121" s="253">
        <v>15556.1</v>
      </c>
      <c r="I121" s="253">
        <v>14537.8</v>
      </c>
      <c r="J121" s="253">
        <v>14759.1</v>
      </c>
      <c r="K121" s="253">
        <v>14576.9</v>
      </c>
      <c r="L121" s="253">
        <v>14574.5</v>
      </c>
    </row>
    <row r="122" spans="2:12" ht="15.75" customHeight="1" thickBot="1">
      <c r="B122" s="479"/>
      <c r="C122" s="471" t="s">
        <v>1022</v>
      </c>
      <c r="D122" s="478"/>
      <c r="E122" s="472"/>
      <c r="F122" s="262" t="s">
        <v>1023</v>
      </c>
      <c r="G122" s="252">
        <v>0</v>
      </c>
      <c r="H122" s="252">
        <v>0</v>
      </c>
      <c r="I122" s="252">
        <v>0</v>
      </c>
      <c r="J122" s="252">
        <v>0</v>
      </c>
      <c r="K122" s="252">
        <v>0</v>
      </c>
      <c r="L122" s="252">
        <v>0</v>
      </c>
    </row>
    <row r="123" spans="2:12" ht="15.75" customHeight="1" thickBot="1">
      <c r="B123" s="474"/>
      <c r="C123" s="471" t="s">
        <v>1024</v>
      </c>
      <c r="D123" s="478"/>
      <c r="E123" s="472"/>
      <c r="F123" s="262" t="s">
        <v>193</v>
      </c>
      <c r="G123" s="253">
        <v>0</v>
      </c>
      <c r="H123" s="253">
        <v>0</v>
      </c>
      <c r="I123" s="253">
        <v>0</v>
      </c>
      <c r="J123" s="253">
        <v>0</v>
      </c>
      <c r="K123" s="253">
        <v>0</v>
      </c>
      <c r="L123" s="253">
        <v>0</v>
      </c>
    </row>
    <row r="124" spans="2:12" ht="15.75" customHeight="1">
      <c r="B124" s="271" t="s">
        <v>1025</v>
      </c>
      <c r="C124" s="36"/>
      <c r="D124" s="36"/>
      <c r="E124" s="36"/>
      <c r="F124" s="36"/>
      <c r="G124" s="36"/>
      <c r="H124" s="36"/>
      <c r="I124" s="36"/>
      <c r="J124" s="36"/>
      <c r="K124" s="36"/>
      <c r="L124" s="36"/>
    </row>
    <row r="125" spans="2:12" ht="15.75" customHeight="1"/>
    <row r="126" spans="2:12" ht="15.75" customHeight="1"/>
    <row r="127" spans="2:12" ht="15.75" customHeight="1">
      <c r="B127" s="272" t="e">
        <f ca="1">DotStatQuery(C127)</f>
        <v>#NAME?</v>
      </c>
      <c r="C127" s="272" t="s">
        <v>1027</v>
      </c>
      <c r="D127" s="36"/>
      <c r="E127" s="36"/>
      <c r="F127" s="36"/>
      <c r="G127" s="36"/>
      <c r="H127" s="36"/>
      <c r="I127" s="36"/>
      <c r="J127" s="36"/>
      <c r="K127" s="36"/>
      <c r="L127" s="36"/>
    </row>
    <row r="128" spans="2:12" ht="15.75" customHeight="1">
      <c r="B128" s="249" t="s">
        <v>863</v>
      </c>
      <c r="C128" s="480" t="s">
        <v>1030</v>
      </c>
      <c r="D128" s="481"/>
      <c r="E128" s="481"/>
      <c r="F128" s="481"/>
      <c r="G128" s="481"/>
      <c r="H128" s="481"/>
      <c r="I128" s="481"/>
      <c r="J128" s="481"/>
      <c r="K128" s="481"/>
      <c r="L128" s="481"/>
    </row>
    <row r="129" spans="2:23" ht="15.75" customHeight="1">
      <c r="B129" s="458" t="s">
        <v>864</v>
      </c>
      <c r="C129" s="459"/>
      <c r="D129" s="459"/>
      <c r="E129" s="459"/>
      <c r="F129" s="460"/>
      <c r="G129" s="468" t="s">
        <v>865</v>
      </c>
      <c r="H129" s="469"/>
      <c r="I129" s="469"/>
      <c r="J129" s="469"/>
      <c r="K129" s="469"/>
      <c r="L129" s="470"/>
    </row>
    <row r="130" spans="2:23" ht="15.75" customHeight="1">
      <c r="B130" s="458" t="s">
        <v>866</v>
      </c>
      <c r="C130" s="459"/>
      <c r="D130" s="459"/>
      <c r="E130" s="459"/>
      <c r="F130" s="460"/>
      <c r="G130" s="461" t="s">
        <v>1028</v>
      </c>
      <c r="H130" s="462"/>
      <c r="I130" s="462"/>
      <c r="J130" s="462"/>
      <c r="K130" s="462"/>
      <c r="L130" s="463"/>
    </row>
    <row r="131" spans="2:23" ht="15.75" customHeight="1">
      <c r="B131" s="458" t="s">
        <v>868</v>
      </c>
      <c r="C131" s="459"/>
      <c r="D131" s="459"/>
      <c r="E131" s="459"/>
      <c r="F131" s="460"/>
      <c r="G131" s="461" t="s">
        <v>869</v>
      </c>
      <c r="H131" s="462"/>
      <c r="I131" s="462"/>
      <c r="J131" s="462"/>
      <c r="K131" s="462"/>
      <c r="L131" s="463"/>
    </row>
    <row r="132" spans="2:23" ht="15.75" customHeight="1">
      <c r="B132" s="458" t="s">
        <v>870</v>
      </c>
      <c r="C132" s="459"/>
      <c r="D132" s="459"/>
      <c r="E132" s="459"/>
      <c r="F132" s="460"/>
      <c r="G132" s="461" t="s">
        <v>871</v>
      </c>
      <c r="H132" s="462"/>
      <c r="I132" s="462"/>
      <c r="J132" s="462"/>
      <c r="K132" s="462"/>
      <c r="L132" s="463"/>
    </row>
    <row r="133" spans="2:23" ht="15.75" customHeight="1">
      <c r="B133" s="464" t="s">
        <v>405</v>
      </c>
      <c r="C133" s="465"/>
      <c r="D133" s="465"/>
      <c r="E133" s="465"/>
      <c r="F133" s="466"/>
      <c r="G133" s="250" t="s">
        <v>872</v>
      </c>
      <c r="H133" s="250" t="s">
        <v>873</v>
      </c>
      <c r="I133" s="250" t="s">
        <v>191</v>
      </c>
      <c r="J133" s="250" t="s">
        <v>874</v>
      </c>
      <c r="K133" s="250" t="s">
        <v>875</v>
      </c>
      <c r="L133" s="250" t="s">
        <v>876</v>
      </c>
    </row>
    <row r="134" spans="2:23" ht="15.75" customHeight="1" thickBot="1">
      <c r="B134" s="475" t="s">
        <v>877</v>
      </c>
      <c r="C134" s="476"/>
      <c r="D134" s="476"/>
      <c r="E134" s="477"/>
      <c r="F134" s="251" t="s">
        <v>878</v>
      </c>
      <c r="G134" s="251" t="s">
        <v>879</v>
      </c>
      <c r="H134" s="251" t="s">
        <v>879</v>
      </c>
      <c r="I134" s="251" t="s">
        <v>879</v>
      </c>
      <c r="J134" s="251" t="s">
        <v>879</v>
      </c>
      <c r="K134" s="251" t="s">
        <v>879</v>
      </c>
      <c r="L134" s="251" t="s">
        <v>879</v>
      </c>
    </row>
    <row r="135" spans="2:23" ht="15.75" customHeight="1" thickBot="1">
      <c r="B135" s="471" t="s">
        <v>880</v>
      </c>
      <c r="C135" s="478"/>
      <c r="D135" s="478"/>
      <c r="E135" s="472"/>
      <c r="F135" s="251" t="s">
        <v>879</v>
      </c>
      <c r="G135" s="252">
        <v>1449430.4</v>
      </c>
      <c r="H135" s="252">
        <v>1480874.8</v>
      </c>
      <c r="I135" s="252">
        <v>1458006.7</v>
      </c>
      <c r="J135" s="252">
        <v>1451514.3</v>
      </c>
      <c r="K135" s="252">
        <v>1462744.6</v>
      </c>
      <c r="L135" s="252">
        <v>1488049</v>
      </c>
      <c r="O135" s="273">
        <v>1</v>
      </c>
      <c r="P135" s="274" t="s">
        <v>1031</v>
      </c>
      <c r="Q135" s="254" t="s">
        <v>883</v>
      </c>
      <c r="R135" t="s">
        <v>139</v>
      </c>
      <c r="S135">
        <v>25778.7</v>
      </c>
      <c r="V135" t="s">
        <v>139</v>
      </c>
      <c r="W135">
        <v>28608.400000000001</v>
      </c>
    </row>
    <row r="136" spans="2:23" ht="15.75" customHeight="1" thickBot="1">
      <c r="B136" s="473" t="s">
        <v>880</v>
      </c>
      <c r="C136" s="471" t="s">
        <v>881</v>
      </c>
      <c r="D136" s="478"/>
      <c r="E136" s="472"/>
      <c r="F136" s="251" t="s">
        <v>879</v>
      </c>
      <c r="G136" s="253">
        <v>28608.5</v>
      </c>
      <c r="H136" s="253">
        <v>31053.1</v>
      </c>
      <c r="I136" s="253">
        <v>32012.1</v>
      </c>
      <c r="J136" s="253">
        <v>34586.9</v>
      </c>
      <c r="K136" s="253">
        <v>32513.3</v>
      </c>
      <c r="L136" s="253">
        <v>34187</v>
      </c>
      <c r="O136" s="273">
        <v>2</v>
      </c>
      <c r="P136" s="275"/>
      <c r="Q136" s="254" t="s">
        <v>885</v>
      </c>
      <c r="R136" t="s">
        <v>139</v>
      </c>
      <c r="S136">
        <v>1454.5</v>
      </c>
      <c r="V136" t="s">
        <v>37</v>
      </c>
      <c r="W136">
        <v>4520</v>
      </c>
    </row>
    <row r="137" spans="2:23" ht="15.75" customHeight="1" thickBot="1">
      <c r="B137" s="479"/>
      <c r="C137" s="473" t="s">
        <v>881</v>
      </c>
      <c r="D137" s="471" t="s">
        <v>882</v>
      </c>
      <c r="E137" s="472"/>
      <c r="F137" s="254" t="s">
        <v>883</v>
      </c>
      <c r="G137" s="252">
        <v>25778.7</v>
      </c>
      <c r="H137" s="252">
        <v>28141</v>
      </c>
      <c r="I137" s="252">
        <v>29270.1</v>
      </c>
      <c r="J137" s="252">
        <v>31846.2</v>
      </c>
      <c r="K137" s="252">
        <v>29820</v>
      </c>
      <c r="L137" s="252">
        <v>31373.200000000001</v>
      </c>
      <c r="O137" s="273">
        <v>3</v>
      </c>
      <c r="P137" s="276"/>
      <c r="Q137" s="254" t="s">
        <v>887</v>
      </c>
      <c r="R137" t="s">
        <v>139</v>
      </c>
      <c r="S137">
        <v>1375.2</v>
      </c>
      <c r="V137" t="s">
        <v>140</v>
      </c>
      <c r="W137">
        <v>209721.1</v>
      </c>
    </row>
    <row r="138" spans="2:23" ht="15.75" customHeight="1" thickBot="1">
      <c r="B138" s="479"/>
      <c r="C138" s="479"/>
      <c r="D138" s="471" t="s">
        <v>884</v>
      </c>
      <c r="E138" s="472"/>
      <c r="F138" s="254" t="s">
        <v>885</v>
      </c>
      <c r="G138" s="253">
        <v>1454.5</v>
      </c>
      <c r="H138" s="253">
        <v>1597.9</v>
      </c>
      <c r="I138" s="253">
        <v>1642.4</v>
      </c>
      <c r="J138" s="253">
        <v>1810.9</v>
      </c>
      <c r="K138" s="253">
        <v>1785</v>
      </c>
      <c r="L138" s="253">
        <v>1788.2</v>
      </c>
      <c r="O138" s="277">
        <v>4</v>
      </c>
      <c r="P138" s="278" t="s">
        <v>37</v>
      </c>
      <c r="Q138" s="255" t="s">
        <v>889</v>
      </c>
      <c r="R138" t="s">
        <v>37</v>
      </c>
      <c r="S138">
        <v>4520</v>
      </c>
      <c r="V138" t="s">
        <v>48</v>
      </c>
      <c r="W138">
        <v>2500.6999999999998</v>
      </c>
    </row>
    <row r="139" spans="2:23" ht="15.75" customHeight="1" thickBot="1">
      <c r="B139" s="479"/>
      <c r="C139" s="474"/>
      <c r="D139" s="471" t="s">
        <v>886</v>
      </c>
      <c r="E139" s="472"/>
      <c r="F139" s="254" t="s">
        <v>887</v>
      </c>
      <c r="G139" s="252">
        <v>1375.2</v>
      </c>
      <c r="H139" s="252">
        <v>1314.2</v>
      </c>
      <c r="I139" s="252">
        <v>1099.5</v>
      </c>
      <c r="J139" s="252">
        <v>929.8</v>
      </c>
      <c r="K139" s="252">
        <v>908.3</v>
      </c>
      <c r="L139" s="252">
        <v>1025.5999999999999</v>
      </c>
      <c r="O139" s="277">
        <v>5</v>
      </c>
      <c r="P139" s="482" t="s">
        <v>140</v>
      </c>
      <c r="Q139" s="256" t="s">
        <v>892</v>
      </c>
      <c r="R139" t="s">
        <v>140</v>
      </c>
      <c r="S139">
        <v>25536.2</v>
      </c>
      <c r="V139" t="s">
        <v>341</v>
      </c>
      <c r="W139">
        <v>17052.599999999999</v>
      </c>
    </row>
    <row r="140" spans="2:23" ht="15.75" customHeight="1" thickBot="1">
      <c r="B140" s="479"/>
      <c r="C140" s="471" t="s">
        <v>888</v>
      </c>
      <c r="D140" s="478"/>
      <c r="E140" s="472"/>
      <c r="F140" s="255" t="s">
        <v>889</v>
      </c>
      <c r="G140" s="253">
        <v>4520</v>
      </c>
      <c r="H140" s="253">
        <v>5369.8</v>
      </c>
      <c r="I140" s="253">
        <v>6738.4</v>
      </c>
      <c r="J140" s="253">
        <v>6531.2</v>
      </c>
      <c r="K140" s="253">
        <v>5596.6</v>
      </c>
      <c r="L140" s="253">
        <v>4373.6000000000004</v>
      </c>
      <c r="O140" s="277">
        <v>6</v>
      </c>
      <c r="P140" s="483"/>
      <c r="Q140" s="256" t="s">
        <v>894</v>
      </c>
      <c r="R140" t="s">
        <v>140</v>
      </c>
      <c r="S140">
        <v>22705.7</v>
      </c>
      <c r="V140" t="s">
        <v>58</v>
      </c>
      <c r="W140">
        <v>24332.6</v>
      </c>
    </row>
    <row r="141" spans="2:23" ht="15.75" customHeight="1" thickBot="1">
      <c r="B141" s="479"/>
      <c r="C141" s="471" t="s">
        <v>890</v>
      </c>
      <c r="D141" s="478"/>
      <c r="E141" s="472"/>
      <c r="F141" s="251" t="s">
        <v>879</v>
      </c>
      <c r="G141" s="252">
        <v>229274.2</v>
      </c>
      <c r="H141" s="252">
        <v>234354.9</v>
      </c>
      <c r="I141" s="252">
        <v>224967.6</v>
      </c>
      <c r="J141" s="252">
        <v>223850.2</v>
      </c>
      <c r="K141" s="252">
        <v>227450.1</v>
      </c>
      <c r="L141" s="252">
        <v>238294.5</v>
      </c>
      <c r="O141" s="277">
        <v>7</v>
      </c>
      <c r="P141" s="483"/>
      <c r="Q141" s="256" t="s">
        <v>897</v>
      </c>
      <c r="R141" t="s">
        <v>140</v>
      </c>
      <c r="S141">
        <v>5914.4</v>
      </c>
      <c r="V141" t="s">
        <v>61</v>
      </c>
      <c r="W141">
        <v>12641.199999999999</v>
      </c>
    </row>
    <row r="142" spans="2:23" ht="15.75" customHeight="1" thickBot="1">
      <c r="B142" s="479"/>
      <c r="C142" s="473" t="s">
        <v>890</v>
      </c>
      <c r="D142" s="471" t="s">
        <v>891</v>
      </c>
      <c r="E142" s="472"/>
      <c r="F142" s="256" t="s">
        <v>892</v>
      </c>
      <c r="G142" s="253">
        <v>25536.2</v>
      </c>
      <c r="H142" s="253">
        <v>25122.5</v>
      </c>
      <c r="I142" s="253">
        <v>24364.400000000001</v>
      </c>
      <c r="J142" s="253">
        <v>24656.799999999999</v>
      </c>
      <c r="K142" s="253">
        <v>25315.3</v>
      </c>
      <c r="L142" s="253">
        <v>26972.9</v>
      </c>
      <c r="O142" s="277">
        <v>8</v>
      </c>
      <c r="P142" s="483"/>
      <c r="Q142" s="256" t="s">
        <v>899</v>
      </c>
      <c r="R142" t="s">
        <v>140</v>
      </c>
      <c r="S142">
        <v>4693</v>
      </c>
      <c r="V142" t="s">
        <v>63</v>
      </c>
      <c r="W142">
        <v>81550.399999999994</v>
      </c>
    </row>
    <row r="143" spans="2:23" ht="15.75" customHeight="1" thickBot="1">
      <c r="B143" s="479"/>
      <c r="C143" s="479"/>
      <c r="D143" s="471" t="s">
        <v>893</v>
      </c>
      <c r="E143" s="472"/>
      <c r="F143" s="256" t="s">
        <v>894</v>
      </c>
      <c r="G143" s="252">
        <v>22705.7</v>
      </c>
      <c r="H143" s="252">
        <v>24015.5</v>
      </c>
      <c r="I143" s="252">
        <v>22763.8</v>
      </c>
      <c r="J143" s="252">
        <v>23149.1</v>
      </c>
      <c r="K143" s="252">
        <v>23695.8</v>
      </c>
      <c r="L143" s="252">
        <v>24021.8</v>
      </c>
      <c r="O143" s="277">
        <v>9</v>
      </c>
      <c r="P143" s="484"/>
      <c r="Q143" s="256" t="s">
        <v>901</v>
      </c>
      <c r="R143" t="s">
        <v>140</v>
      </c>
      <c r="S143">
        <v>5146.5</v>
      </c>
      <c r="V143" t="s">
        <v>65</v>
      </c>
      <c r="W143">
        <v>162829.6</v>
      </c>
    </row>
    <row r="144" spans="2:23" ht="15.75" customHeight="1" thickBot="1">
      <c r="B144" s="479"/>
      <c r="C144" s="479"/>
      <c r="D144" s="471" t="s">
        <v>895</v>
      </c>
      <c r="E144" s="472"/>
      <c r="F144" s="251" t="s">
        <v>879</v>
      </c>
      <c r="G144" s="253">
        <v>15753.9</v>
      </c>
      <c r="H144" s="253">
        <v>15828.2</v>
      </c>
      <c r="I144" s="253">
        <v>14757</v>
      </c>
      <c r="J144" s="253">
        <v>14091.6</v>
      </c>
      <c r="K144" s="253">
        <v>14293.1</v>
      </c>
      <c r="L144" s="253">
        <v>14076.9</v>
      </c>
      <c r="O144" s="277">
        <v>10</v>
      </c>
      <c r="P144" s="278" t="s">
        <v>48</v>
      </c>
      <c r="Q144" s="258" t="s">
        <v>903</v>
      </c>
      <c r="R144" t="s">
        <v>48</v>
      </c>
      <c r="S144">
        <v>2500.6999999999998</v>
      </c>
      <c r="V144" t="s">
        <v>342</v>
      </c>
      <c r="W144">
        <v>47698.7</v>
      </c>
    </row>
    <row r="145" spans="2:23" ht="15.75" customHeight="1" thickBot="1">
      <c r="B145" s="479"/>
      <c r="C145" s="479"/>
      <c r="D145" s="473" t="s">
        <v>895</v>
      </c>
      <c r="E145" s="257" t="s">
        <v>896</v>
      </c>
      <c r="F145" s="256" t="s">
        <v>897</v>
      </c>
      <c r="G145" s="252">
        <v>5914.4</v>
      </c>
      <c r="H145" s="252">
        <v>5913.1</v>
      </c>
      <c r="I145" s="252">
        <v>5201.2</v>
      </c>
      <c r="J145" s="252">
        <v>4906.6000000000004</v>
      </c>
      <c r="K145" s="252">
        <v>4805.2</v>
      </c>
      <c r="L145" s="252">
        <v>4755.2</v>
      </c>
      <c r="O145" s="277">
        <v>11</v>
      </c>
      <c r="P145" s="482" t="s">
        <v>140</v>
      </c>
      <c r="Q145" s="256" t="s">
        <v>905</v>
      </c>
      <c r="R145" t="s">
        <v>140</v>
      </c>
      <c r="S145">
        <v>9790.1</v>
      </c>
      <c r="V145" t="s">
        <v>858</v>
      </c>
      <c r="W145">
        <v>169298.5</v>
      </c>
    </row>
    <row r="146" spans="2:23" ht="15.75" customHeight="1" thickBot="1">
      <c r="B146" s="479"/>
      <c r="C146" s="479"/>
      <c r="D146" s="479"/>
      <c r="E146" s="257" t="s">
        <v>898</v>
      </c>
      <c r="F146" s="256" t="s">
        <v>899</v>
      </c>
      <c r="G146" s="253">
        <v>4693</v>
      </c>
      <c r="H146" s="253">
        <v>4921.3999999999996</v>
      </c>
      <c r="I146" s="253">
        <v>4849.3999999999996</v>
      </c>
      <c r="J146" s="253">
        <v>4773.6000000000004</v>
      </c>
      <c r="K146" s="253">
        <v>5180.2</v>
      </c>
      <c r="L146" s="253">
        <v>5126.8</v>
      </c>
      <c r="O146" s="277">
        <v>12</v>
      </c>
      <c r="P146" s="483"/>
      <c r="Q146" s="256" t="s">
        <v>907</v>
      </c>
      <c r="R146" t="s">
        <v>140</v>
      </c>
      <c r="S146">
        <v>8337.7999999999993</v>
      </c>
      <c r="V146" t="s">
        <v>69</v>
      </c>
      <c r="W146">
        <v>52571.3</v>
      </c>
    </row>
    <row r="147" spans="2:23" ht="15.75" customHeight="1" thickBot="1">
      <c r="B147" s="479"/>
      <c r="C147" s="479"/>
      <c r="D147" s="474"/>
      <c r="E147" s="257" t="s">
        <v>900</v>
      </c>
      <c r="F147" s="256" t="s">
        <v>901</v>
      </c>
      <c r="G147" s="252">
        <v>5146.5</v>
      </c>
      <c r="H147" s="252">
        <v>4993.8</v>
      </c>
      <c r="I147" s="252">
        <v>4706.3999999999996</v>
      </c>
      <c r="J147" s="252">
        <v>4411.3999999999996</v>
      </c>
      <c r="K147" s="252">
        <v>4307.6000000000004</v>
      </c>
      <c r="L147" s="252">
        <v>4195</v>
      </c>
      <c r="O147" s="277">
        <v>13</v>
      </c>
      <c r="P147" s="483"/>
      <c r="Q147" s="256" t="s">
        <v>910</v>
      </c>
      <c r="R147" t="s">
        <v>140</v>
      </c>
      <c r="S147">
        <v>10267.1</v>
      </c>
      <c r="V147" t="s">
        <v>859</v>
      </c>
      <c r="W147">
        <v>102822.1</v>
      </c>
    </row>
    <row r="148" spans="2:23" ht="15.75" customHeight="1" thickBot="1">
      <c r="B148" s="479"/>
      <c r="C148" s="479"/>
      <c r="D148" s="471" t="s">
        <v>902</v>
      </c>
      <c r="E148" s="472"/>
      <c r="F148" s="258" t="s">
        <v>903</v>
      </c>
      <c r="G148" s="253">
        <v>2500.6999999999998</v>
      </c>
      <c r="H148" s="253">
        <v>2843</v>
      </c>
      <c r="I148" s="253">
        <v>2264.5</v>
      </c>
      <c r="J148" s="253">
        <v>1504.5</v>
      </c>
      <c r="K148" s="253">
        <v>-213.5</v>
      </c>
      <c r="L148" s="253">
        <v>2418.1999999999998</v>
      </c>
      <c r="O148" s="277">
        <v>14</v>
      </c>
      <c r="P148" s="483"/>
      <c r="Q148" s="256" t="s">
        <v>912</v>
      </c>
      <c r="R148" t="s">
        <v>140</v>
      </c>
      <c r="S148">
        <v>11627.9</v>
      </c>
      <c r="V148" t="s">
        <v>73</v>
      </c>
      <c r="W148">
        <v>75684.7</v>
      </c>
    </row>
    <row r="149" spans="2:23" ht="15.75" customHeight="1" thickBot="1">
      <c r="B149" s="479"/>
      <c r="C149" s="479"/>
      <c r="D149" s="471" t="s">
        <v>904</v>
      </c>
      <c r="E149" s="472"/>
      <c r="F149" s="256" t="s">
        <v>905</v>
      </c>
      <c r="G149" s="252">
        <v>9790.1</v>
      </c>
      <c r="H149" s="252">
        <v>9646</v>
      </c>
      <c r="I149" s="252">
        <v>9558.2999999999993</v>
      </c>
      <c r="J149" s="252">
        <v>9797.9</v>
      </c>
      <c r="K149" s="252">
        <v>9873.5</v>
      </c>
      <c r="L149" s="252">
        <v>10896.2</v>
      </c>
      <c r="O149" s="277">
        <v>15</v>
      </c>
      <c r="P149" s="483"/>
      <c r="Q149" s="256" t="s">
        <v>915</v>
      </c>
      <c r="R149" t="s">
        <v>140</v>
      </c>
      <c r="S149">
        <v>7840.9</v>
      </c>
      <c r="V149" t="s">
        <v>75</v>
      </c>
      <c r="W149">
        <v>184601</v>
      </c>
    </row>
    <row r="150" spans="2:23" ht="15.75" customHeight="1" thickBot="1">
      <c r="B150" s="479"/>
      <c r="C150" s="479"/>
      <c r="D150" s="471" t="s">
        <v>906</v>
      </c>
      <c r="E150" s="472"/>
      <c r="F150" s="256" t="s">
        <v>907</v>
      </c>
      <c r="G150" s="253">
        <v>8337.7999999999993</v>
      </c>
      <c r="H150" s="253">
        <v>8564.7000000000007</v>
      </c>
      <c r="I150" s="253">
        <v>8490.2999999999993</v>
      </c>
      <c r="J150" s="253">
        <v>8646</v>
      </c>
      <c r="K150" s="253">
        <v>8186.3</v>
      </c>
      <c r="L150" s="253">
        <v>8888.5</v>
      </c>
      <c r="O150" s="277">
        <v>16</v>
      </c>
      <c r="P150" s="483"/>
      <c r="Q150" s="256" t="s">
        <v>917</v>
      </c>
      <c r="R150" t="s">
        <v>140</v>
      </c>
      <c r="S150">
        <v>28480.400000000001</v>
      </c>
      <c r="V150" t="s">
        <v>83</v>
      </c>
      <c r="W150">
        <v>103467</v>
      </c>
    </row>
    <row r="151" spans="2:23" ht="15.75" customHeight="1" thickBot="1">
      <c r="B151" s="479"/>
      <c r="C151" s="479"/>
      <c r="D151" s="471" t="s">
        <v>908</v>
      </c>
      <c r="E151" s="472"/>
      <c r="F151" s="251" t="s">
        <v>455</v>
      </c>
      <c r="G151" s="252">
        <v>21895</v>
      </c>
      <c r="H151" s="252">
        <v>21459.1</v>
      </c>
      <c r="I151" s="252">
        <v>20613.599999999999</v>
      </c>
      <c r="J151" s="252">
        <v>20410.599999999999</v>
      </c>
      <c r="K151" s="252">
        <v>20597.599999999999</v>
      </c>
      <c r="L151" s="252">
        <v>21422.3</v>
      </c>
      <c r="O151" s="277">
        <v>17</v>
      </c>
      <c r="P151" s="483"/>
      <c r="Q151" s="256" t="s">
        <v>919</v>
      </c>
      <c r="R151" t="s">
        <v>140</v>
      </c>
      <c r="S151">
        <v>8094.4</v>
      </c>
      <c r="V151" t="s">
        <v>85</v>
      </c>
      <c r="W151">
        <v>64670.9</v>
      </c>
    </row>
    <row r="152" spans="2:23" ht="15.75" customHeight="1" thickBot="1">
      <c r="B152" s="479"/>
      <c r="C152" s="479"/>
      <c r="D152" s="473" t="s">
        <v>908</v>
      </c>
      <c r="E152" s="257" t="s">
        <v>909</v>
      </c>
      <c r="F152" s="256" t="s">
        <v>910</v>
      </c>
      <c r="G152" s="253">
        <v>10267.1</v>
      </c>
      <c r="H152" s="253">
        <v>10391.299999999999</v>
      </c>
      <c r="I152" s="253">
        <v>10684.6</v>
      </c>
      <c r="J152" s="253">
        <v>10876.9</v>
      </c>
      <c r="K152" s="253">
        <v>11319.8</v>
      </c>
      <c r="L152" s="253">
        <v>11984.2</v>
      </c>
      <c r="O152" s="277">
        <v>18</v>
      </c>
      <c r="P152" s="483"/>
      <c r="Q152" s="256" t="s">
        <v>921</v>
      </c>
      <c r="R152" t="s">
        <v>140</v>
      </c>
      <c r="S152">
        <v>11148.3</v>
      </c>
      <c r="V152" t="s">
        <v>88</v>
      </c>
      <c r="W152">
        <v>86854.5</v>
      </c>
    </row>
    <row r="153" spans="2:23" ht="15.75" customHeight="1" thickBot="1">
      <c r="B153" s="479"/>
      <c r="C153" s="479"/>
      <c r="D153" s="474"/>
      <c r="E153" s="257" t="s">
        <v>911</v>
      </c>
      <c r="F153" s="256" t="s">
        <v>912</v>
      </c>
      <c r="G153" s="252">
        <v>11627.9</v>
      </c>
      <c r="H153" s="252">
        <v>11067.8</v>
      </c>
      <c r="I153" s="252">
        <v>9929</v>
      </c>
      <c r="J153" s="252">
        <v>9533.7999999999993</v>
      </c>
      <c r="K153" s="252">
        <v>9277.7999999999993</v>
      </c>
      <c r="L153" s="252">
        <v>9438</v>
      </c>
      <c r="O153" s="277">
        <v>19</v>
      </c>
      <c r="P153" s="484"/>
      <c r="Q153" s="256" t="s">
        <v>923</v>
      </c>
      <c r="R153" t="s">
        <v>140</v>
      </c>
      <c r="S153">
        <v>29894.1</v>
      </c>
      <c r="V153" t="s">
        <v>147</v>
      </c>
      <c r="W153">
        <v>18005</v>
      </c>
    </row>
    <row r="154" spans="2:23" ht="15.75" customHeight="1" thickBot="1">
      <c r="B154" s="479"/>
      <c r="C154" s="479"/>
      <c r="D154" s="471" t="s">
        <v>913</v>
      </c>
      <c r="E154" s="472"/>
      <c r="F154" s="251" t="s">
        <v>455</v>
      </c>
      <c r="G154" s="253">
        <v>36321.300000000003</v>
      </c>
      <c r="H154" s="253">
        <v>37770.6</v>
      </c>
      <c r="I154" s="253">
        <v>35498.300000000003</v>
      </c>
      <c r="J154" s="253">
        <v>34625.599999999999</v>
      </c>
      <c r="K154" s="253">
        <v>35898.400000000001</v>
      </c>
      <c r="L154" s="253">
        <v>36275.199999999997</v>
      </c>
      <c r="O154" s="277">
        <v>20</v>
      </c>
      <c r="P154" s="482" t="s">
        <v>341</v>
      </c>
      <c r="Q154" s="256" t="s">
        <v>926</v>
      </c>
      <c r="R154" t="s">
        <v>341</v>
      </c>
      <c r="S154">
        <v>10854.3</v>
      </c>
    </row>
    <row r="155" spans="2:23" ht="15.75" customHeight="1" thickBot="1">
      <c r="B155" s="479"/>
      <c r="C155" s="479"/>
      <c r="D155" s="473" t="s">
        <v>913</v>
      </c>
      <c r="E155" s="257" t="s">
        <v>914</v>
      </c>
      <c r="F155" s="256" t="s">
        <v>915</v>
      </c>
      <c r="G155" s="252">
        <v>7840.9</v>
      </c>
      <c r="H155" s="252">
        <v>8606.6</v>
      </c>
      <c r="I155" s="252">
        <v>7537.8</v>
      </c>
      <c r="J155" s="252">
        <v>7090.6</v>
      </c>
      <c r="K155" s="252">
        <v>7727</v>
      </c>
      <c r="L155" s="252">
        <v>7668.8</v>
      </c>
      <c r="O155" s="277">
        <v>21</v>
      </c>
      <c r="P155" s="484"/>
      <c r="Q155" s="256" t="s">
        <v>928</v>
      </c>
      <c r="R155" t="s">
        <v>341</v>
      </c>
      <c r="S155">
        <v>6198.3</v>
      </c>
    </row>
    <row r="156" spans="2:23" ht="15.75" customHeight="1" thickBot="1">
      <c r="B156" s="479"/>
      <c r="C156" s="479"/>
      <c r="D156" s="474"/>
      <c r="E156" s="257" t="s">
        <v>916</v>
      </c>
      <c r="F156" s="256" t="s">
        <v>917</v>
      </c>
      <c r="G156" s="253">
        <v>28480.400000000001</v>
      </c>
      <c r="H156" s="253">
        <v>29164</v>
      </c>
      <c r="I156" s="253">
        <v>27960.5</v>
      </c>
      <c r="J156" s="253">
        <v>27535</v>
      </c>
      <c r="K156" s="253">
        <v>28171.3</v>
      </c>
      <c r="L156" s="253">
        <v>28606.400000000001</v>
      </c>
      <c r="O156" s="277">
        <v>22</v>
      </c>
      <c r="P156" s="482" t="s">
        <v>140</v>
      </c>
      <c r="Q156" s="256" t="s">
        <v>931</v>
      </c>
      <c r="R156" t="s">
        <v>140</v>
      </c>
      <c r="S156">
        <v>12380.7</v>
      </c>
    </row>
    <row r="157" spans="2:23" ht="15.75" customHeight="1" thickBot="1">
      <c r="B157" s="479"/>
      <c r="C157" s="479"/>
      <c r="D157" s="471" t="s">
        <v>918</v>
      </c>
      <c r="E157" s="472"/>
      <c r="F157" s="256" t="s">
        <v>919</v>
      </c>
      <c r="G157" s="252">
        <v>8094.4</v>
      </c>
      <c r="H157" s="252">
        <v>8537</v>
      </c>
      <c r="I157" s="252">
        <v>8349</v>
      </c>
      <c r="J157" s="252">
        <v>7947</v>
      </c>
      <c r="K157" s="252">
        <v>8008.6</v>
      </c>
      <c r="L157" s="252">
        <v>8317.1</v>
      </c>
      <c r="O157" s="277">
        <v>23</v>
      </c>
      <c r="P157" s="484"/>
      <c r="Q157" s="256" t="s">
        <v>933</v>
      </c>
      <c r="R157" t="s">
        <v>140</v>
      </c>
      <c r="S157">
        <v>7863.6</v>
      </c>
    </row>
    <row r="158" spans="2:23" ht="15.75" customHeight="1" thickBot="1">
      <c r="B158" s="479"/>
      <c r="C158" s="479"/>
      <c r="D158" s="471" t="s">
        <v>920</v>
      </c>
      <c r="E158" s="472"/>
      <c r="F158" s="256" t="s">
        <v>921</v>
      </c>
      <c r="G158" s="253">
        <v>11148.3</v>
      </c>
      <c r="H158" s="253">
        <v>11271.2</v>
      </c>
      <c r="I158" s="253">
        <v>10978.8</v>
      </c>
      <c r="J158" s="253">
        <v>10852</v>
      </c>
      <c r="K158" s="253">
        <v>10230.700000000001</v>
      </c>
      <c r="L158" s="253">
        <v>10783.7</v>
      </c>
      <c r="O158" s="277">
        <v>24</v>
      </c>
      <c r="P158" s="278" t="s">
        <v>58</v>
      </c>
      <c r="Q158" s="259" t="s">
        <v>935</v>
      </c>
      <c r="R158" t="s">
        <v>58</v>
      </c>
      <c r="S158">
        <v>24332.6</v>
      </c>
      <c r="W158">
        <v>0</v>
      </c>
    </row>
    <row r="159" spans="2:23" ht="15.75" customHeight="1" thickBot="1">
      <c r="B159" s="479"/>
      <c r="C159" s="479"/>
      <c r="D159" s="471" t="s">
        <v>922</v>
      </c>
      <c r="E159" s="472"/>
      <c r="F159" s="256" t="s">
        <v>923</v>
      </c>
      <c r="G159" s="252">
        <v>29894.1</v>
      </c>
      <c r="H159" s="252">
        <v>31911.9</v>
      </c>
      <c r="I159" s="252">
        <v>32023</v>
      </c>
      <c r="J159" s="252">
        <v>32825.199999999997</v>
      </c>
      <c r="K159" s="252">
        <v>34304.800000000003</v>
      </c>
      <c r="L159" s="252">
        <v>34838.199999999997</v>
      </c>
      <c r="O159" s="277">
        <v>25</v>
      </c>
      <c r="P159" s="485" t="s">
        <v>61</v>
      </c>
      <c r="Q159" s="260" t="s">
        <v>938</v>
      </c>
      <c r="R159" t="s">
        <v>61</v>
      </c>
      <c r="S159">
        <v>3249.9</v>
      </c>
      <c r="W159">
        <v>0</v>
      </c>
    </row>
    <row r="160" spans="2:23" ht="15.75" customHeight="1" thickBot="1">
      <c r="B160" s="479"/>
      <c r="C160" s="479"/>
      <c r="D160" s="471" t="s">
        <v>924</v>
      </c>
      <c r="E160" s="472"/>
      <c r="F160" s="251" t="s">
        <v>879</v>
      </c>
      <c r="G160" s="253">
        <v>17052.599999999999</v>
      </c>
      <c r="H160" s="253">
        <v>16715.5</v>
      </c>
      <c r="I160" s="253">
        <v>15223.2</v>
      </c>
      <c r="J160" s="253">
        <v>15320.6</v>
      </c>
      <c r="K160" s="253">
        <v>16910.5</v>
      </c>
      <c r="L160" s="253">
        <v>18168.400000000001</v>
      </c>
      <c r="O160" s="277">
        <v>26</v>
      </c>
      <c r="P160" s="486"/>
      <c r="Q160" s="260" t="s">
        <v>940</v>
      </c>
      <c r="R160" t="s">
        <v>61</v>
      </c>
      <c r="S160">
        <v>9391.2999999999993</v>
      </c>
      <c r="W160">
        <v>0</v>
      </c>
    </row>
    <row r="161" spans="2:23" ht="15.75" customHeight="1" thickBot="1">
      <c r="B161" s="479"/>
      <c r="C161" s="479"/>
      <c r="D161" s="473" t="s">
        <v>924</v>
      </c>
      <c r="E161" s="257" t="s">
        <v>925</v>
      </c>
      <c r="F161" s="256" t="s">
        <v>926</v>
      </c>
      <c r="G161" s="252">
        <v>10854.3</v>
      </c>
      <c r="H161" s="252">
        <v>10693.3</v>
      </c>
      <c r="I161" s="252">
        <v>9276.7999999999993</v>
      </c>
      <c r="J161" s="252">
        <v>9999.6</v>
      </c>
      <c r="K161" s="252">
        <v>10410.200000000001</v>
      </c>
      <c r="L161" s="252">
        <v>11926.3</v>
      </c>
      <c r="O161" s="277">
        <v>27</v>
      </c>
      <c r="P161" s="279" t="s">
        <v>63</v>
      </c>
      <c r="Q161" s="261" t="s">
        <v>942</v>
      </c>
      <c r="R161" t="s">
        <v>63</v>
      </c>
      <c r="S161">
        <v>81550.399999999994</v>
      </c>
      <c r="W161">
        <v>0</v>
      </c>
    </row>
    <row r="162" spans="2:23" ht="15.75" customHeight="1" thickBot="1">
      <c r="B162" s="479"/>
      <c r="C162" s="479"/>
      <c r="D162" s="474"/>
      <c r="E162" s="257" t="s">
        <v>927</v>
      </c>
      <c r="F162" s="256" t="s">
        <v>928</v>
      </c>
      <c r="G162" s="253">
        <v>6198.3</v>
      </c>
      <c r="H162" s="253">
        <v>6022.2</v>
      </c>
      <c r="I162" s="253">
        <v>5946.3</v>
      </c>
      <c r="J162" s="253">
        <v>5320.9</v>
      </c>
      <c r="K162" s="253">
        <v>6500.3</v>
      </c>
      <c r="L162" s="253">
        <v>6242.1</v>
      </c>
      <c r="O162" s="277">
        <v>28</v>
      </c>
      <c r="P162" s="485" t="s">
        <v>65</v>
      </c>
      <c r="Q162" s="262" t="s">
        <v>1032</v>
      </c>
      <c r="R162" t="s">
        <v>65</v>
      </c>
      <c r="S162">
        <v>0</v>
      </c>
    </row>
    <row r="163" spans="2:23" ht="15.75" customHeight="1" thickBot="1">
      <c r="B163" s="479"/>
      <c r="C163" s="479"/>
      <c r="D163" s="471" t="s">
        <v>929</v>
      </c>
      <c r="E163" s="472"/>
      <c r="F163" s="251" t="s">
        <v>879</v>
      </c>
      <c r="G163" s="252">
        <v>20244.3</v>
      </c>
      <c r="H163" s="252">
        <v>20669.7</v>
      </c>
      <c r="I163" s="252">
        <v>20083.400000000001</v>
      </c>
      <c r="J163" s="252">
        <v>20023.3</v>
      </c>
      <c r="K163" s="252">
        <v>20349.099999999999</v>
      </c>
      <c r="L163" s="252">
        <v>21215.200000000001</v>
      </c>
      <c r="O163" s="277">
        <v>29</v>
      </c>
      <c r="P163" s="487"/>
      <c r="Q163" s="262" t="s">
        <v>944</v>
      </c>
      <c r="R163" t="s">
        <v>65</v>
      </c>
      <c r="S163">
        <v>162829.6</v>
      </c>
      <c r="T163" t="s">
        <v>1033</v>
      </c>
    </row>
    <row r="164" spans="2:23" ht="15.75" customHeight="1" thickBot="1">
      <c r="B164" s="479"/>
      <c r="C164" s="479"/>
      <c r="D164" s="473" t="s">
        <v>929</v>
      </c>
      <c r="E164" s="257" t="s">
        <v>930</v>
      </c>
      <c r="F164" s="256" t="s">
        <v>931</v>
      </c>
      <c r="G164" s="253">
        <v>12380.7</v>
      </c>
      <c r="H164" s="253">
        <v>12472.3</v>
      </c>
      <c r="I164" s="253">
        <v>11695.6</v>
      </c>
      <c r="J164" s="253">
        <v>11744.8</v>
      </c>
      <c r="K164" s="253">
        <v>12242</v>
      </c>
      <c r="L164" s="253">
        <v>12834.2</v>
      </c>
      <c r="O164" s="277">
        <v>30</v>
      </c>
      <c r="P164" s="486"/>
      <c r="Q164" s="262" t="s">
        <v>1034</v>
      </c>
      <c r="R164" t="s">
        <v>65</v>
      </c>
      <c r="S164">
        <v>0</v>
      </c>
    </row>
    <row r="165" spans="2:23" ht="15.75" customHeight="1" thickBot="1">
      <c r="B165" s="479"/>
      <c r="C165" s="474"/>
      <c r="D165" s="474"/>
      <c r="E165" s="257" t="s">
        <v>932</v>
      </c>
      <c r="F165" s="256" t="s">
        <v>933</v>
      </c>
      <c r="G165" s="252">
        <v>7863.6</v>
      </c>
      <c r="H165" s="252">
        <v>8197.4</v>
      </c>
      <c r="I165" s="252">
        <v>8387.7999999999993</v>
      </c>
      <c r="J165" s="252">
        <v>8278.4</v>
      </c>
      <c r="K165" s="252">
        <v>8107.1</v>
      </c>
      <c r="L165" s="252">
        <v>8381</v>
      </c>
      <c r="O165" s="277">
        <v>31</v>
      </c>
      <c r="P165" s="482" t="s">
        <v>342</v>
      </c>
      <c r="Q165" s="263" t="s">
        <v>948</v>
      </c>
      <c r="R165" t="s">
        <v>342</v>
      </c>
      <c r="S165">
        <v>43004.6</v>
      </c>
    </row>
    <row r="166" spans="2:23" ht="15.75" customHeight="1" thickBot="1">
      <c r="B166" s="479"/>
      <c r="C166" s="471" t="s">
        <v>934</v>
      </c>
      <c r="D166" s="478"/>
      <c r="E166" s="472"/>
      <c r="F166" s="259" t="s">
        <v>935</v>
      </c>
      <c r="G166" s="253">
        <v>24332.6</v>
      </c>
      <c r="H166" s="253">
        <v>23208.799999999999</v>
      </c>
      <c r="I166" s="253">
        <v>25290</v>
      </c>
      <c r="J166" s="253">
        <v>26049.8</v>
      </c>
      <c r="K166" s="253">
        <v>25233</v>
      </c>
      <c r="L166" s="253">
        <v>23311.9</v>
      </c>
      <c r="O166" s="277">
        <v>32</v>
      </c>
      <c r="P166" s="483"/>
      <c r="Q166" s="263" t="s">
        <v>950</v>
      </c>
      <c r="R166" t="s">
        <v>342</v>
      </c>
      <c r="S166">
        <v>3245.6</v>
      </c>
    </row>
    <row r="167" spans="2:23" ht="15.75" customHeight="1" thickBot="1">
      <c r="B167" s="479"/>
      <c r="C167" s="471" t="s">
        <v>936</v>
      </c>
      <c r="D167" s="478"/>
      <c r="E167" s="472"/>
      <c r="F167" s="251" t="s">
        <v>879</v>
      </c>
      <c r="G167" s="252">
        <v>12641.2</v>
      </c>
      <c r="H167" s="252">
        <v>13048.5</v>
      </c>
      <c r="I167" s="252">
        <v>13212.8</v>
      </c>
      <c r="J167" s="252">
        <v>13684.9</v>
      </c>
      <c r="K167" s="252">
        <v>14533.3</v>
      </c>
      <c r="L167" s="252">
        <v>14644.6</v>
      </c>
      <c r="O167" s="277">
        <v>33</v>
      </c>
      <c r="P167" s="484"/>
      <c r="Q167" s="263" t="s">
        <v>952</v>
      </c>
      <c r="R167" t="s">
        <v>342</v>
      </c>
      <c r="S167">
        <v>1448.5</v>
      </c>
    </row>
    <row r="168" spans="2:23" ht="15.75" customHeight="1" thickBot="1">
      <c r="B168" s="479"/>
      <c r="C168" s="473" t="s">
        <v>936</v>
      </c>
      <c r="D168" s="471" t="s">
        <v>937</v>
      </c>
      <c r="E168" s="472"/>
      <c r="F168" s="260" t="s">
        <v>938</v>
      </c>
      <c r="G168" s="253">
        <v>3249.9</v>
      </c>
      <c r="H168" s="253">
        <v>3580</v>
      </c>
      <c r="I168" s="253">
        <v>3702.6</v>
      </c>
      <c r="J168" s="253">
        <v>3978.1</v>
      </c>
      <c r="K168" s="253">
        <v>4421.1000000000004</v>
      </c>
      <c r="L168" s="253">
        <v>4671.1000000000004</v>
      </c>
      <c r="O168" s="277">
        <v>34</v>
      </c>
      <c r="P168" s="482" t="s">
        <v>858</v>
      </c>
      <c r="Q168" s="263" t="s">
        <v>954</v>
      </c>
      <c r="R168" t="s">
        <v>858</v>
      </c>
      <c r="S168">
        <v>26836.6</v>
      </c>
    </row>
    <row r="169" spans="2:23" ht="15.75" customHeight="1" thickBot="1">
      <c r="B169" s="479"/>
      <c r="C169" s="474"/>
      <c r="D169" s="471" t="s">
        <v>939</v>
      </c>
      <c r="E169" s="472"/>
      <c r="F169" s="260" t="s">
        <v>940</v>
      </c>
      <c r="G169" s="252">
        <v>9391.2999999999993</v>
      </c>
      <c r="H169" s="252">
        <v>9468.5</v>
      </c>
      <c r="I169" s="252">
        <v>9510.2000000000007</v>
      </c>
      <c r="J169" s="252">
        <v>9706.7999999999993</v>
      </c>
      <c r="K169" s="252">
        <v>10112.200000000001</v>
      </c>
      <c r="L169" s="252">
        <v>9973.5</v>
      </c>
      <c r="O169" s="277">
        <v>35</v>
      </c>
      <c r="P169" s="484"/>
      <c r="Q169" s="263" t="s">
        <v>956</v>
      </c>
      <c r="R169" t="s">
        <v>858</v>
      </c>
      <c r="S169">
        <v>4505.2</v>
      </c>
    </row>
    <row r="170" spans="2:23" ht="15.75" customHeight="1" thickBot="1">
      <c r="B170" s="479"/>
      <c r="C170" s="471" t="s">
        <v>941</v>
      </c>
      <c r="D170" s="478"/>
      <c r="E170" s="472"/>
      <c r="F170" s="261" t="s">
        <v>942</v>
      </c>
      <c r="G170" s="253">
        <v>81550.399999999994</v>
      </c>
      <c r="H170" s="253">
        <v>82617.5</v>
      </c>
      <c r="I170" s="253">
        <v>76511.8</v>
      </c>
      <c r="J170" s="253">
        <v>71343</v>
      </c>
      <c r="K170" s="253">
        <v>65661.899999999994</v>
      </c>
      <c r="L170" s="253">
        <v>64622.7</v>
      </c>
      <c r="O170" s="277">
        <v>36</v>
      </c>
      <c r="P170" s="278" t="s">
        <v>69</v>
      </c>
      <c r="Q170" s="254" t="s">
        <v>194</v>
      </c>
      <c r="R170" t="s">
        <v>69</v>
      </c>
      <c r="S170">
        <v>52571.3</v>
      </c>
    </row>
    <row r="171" spans="2:23" ht="15.75" customHeight="1" thickBot="1">
      <c r="B171" s="479"/>
      <c r="C171" s="471" t="s">
        <v>943</v>
      </c>
      <c r="D171" s="478"/>
      <c r="E171" s="472"/>
      <c r="F171" s="262" t="s">
        <v>944</v>
      </c>
      <c r="G171" s="252">
        <v>162829.6</v>
      </c>
      <c r="H171" s="252">
        <v>168259.3</v>
      </c>
      <c r="I171" s="252">
        <v>164487.20000000001</v>
      </c>
      <c r="J171" s="252">
        <v>162323.20000000001</v>
      </c>
      <c r="K171" s="252">
        <v>165362.4</v>
      </c>
      <c r="L171" s="252">
        <v>172025.9</v>
      </c>
      <c r="O171" s="277">
        <v>37</v>
      </c>
      <c r="P171" s="482" t="s">
        <v>1035</v>
      </c>
      <c r="Q171" s="264" t="s">
        <v>961</v>
      </c>
      <c r="R171" t="s">
        <v>859</v>
      </c>
      <c r="S171">
        <v>4669.7</v>
      </c>
    </row>
    <row r="172" spans="2:23" ht="15.75" customHeight="1" thickBot="1">
      <c r="B172" s="479"/>
      <c r="C172" s="257" t="s">
        <v>943</v>
      </c>
      <c r="D172" s="471" t="s">
        <v>945</v>
      </c>
      <c r="E172" s="472"/>
      <c r="F172" s="245" t="s">
        <v>455</v>
      </c>
      <c r="G172" s="253">
        <v>73099.3</v>
      </c>
      <c r="H172" s="253">
        <v>77967.7</v>
      </c>
      <c r="I172" s="253">
        <v>75661</v>
      </c>
      <c r="J172" s="253">
        <v>74449</v>
      </c>
      <c r="K172" s="253">
        <v>75283.899999999994</v>
      </c>
      <c r="L172" s="253">
        <v>77891.399999999994</v>
      </c>
      <c r="O172" s="277">
        <v>38</v>
      </c>
      <c r="P172" s="483"/>
      <c r="Q172" s="264" t="s">
        <v>963</v>
      </c>
      <c r="R172" t="s">
        <v>859</v>
      </c>
      <c r="S172">
        <v>6552.6</v>
      </c>
    </row>
    <row r="173" spans="2:23" ht="15.75" customHeight="1" thickBot="1">
      <c r="B173" s="479"/>
      <c r="C173" s="471" t="s">
        <v>946</v>
      </c>
      <c r="D173" s="478"/>
      <c r="E173" s="472"/>
      <c r="F173" s="251" t="s">
        <v>879</v>
      </c>
      <c r="G173" s="252">
        <v>79040.399999999994</v>
      </c>
      <c r="H173" s="252">
        <v>80404.2</v>
      </c>
      <c r="I173" s="252">
        <v>78026.5</v>
      </c>
      <c r="J173" s="252">
        <v>78781.7</v>
      </c>
      <c r="K173" s="252">
        <v>80267</v>
      </c>
      <c r="L173" s="252">
        <v>81563.899999999994</v>
      </c>
      <c r="O173" s="277">
        <v>39</v>
      </c>
      <c r="P173" s="483"/>
      <c r="Q173" s="264" t="s">
        <v>965</v>
      </c>
      <c r="R173" t="s">
        <v>859</v>
      </c>
      <c r="S173">
        <v>24909.5</v>
      </c>
    </row>
    <row r="174" spans="2:23" ht="15.75" customHeight="1" thickBot="1">
      <c r="B174" s="479"/>
      <c r="C174" s="473" t="s">
        <v>946</v>
      </c>
      <c r="D174" s="471" t="s">
        <v>947</v>
      </c>
      <c r="E174" s="472"/>
      <c r="F174" s="263" t="s">
        <v>948</v>
      </c>
      <c r="G174" s="253">
        <v>43004.6</v>
      </c>
      <c r="H174" s="253">
        <v>43538</v>
      </c>
      <c r="I174" s="253">
        <v>42488.1</v>
      </c>
      <c r="J174" s="253">
        <v>42226.7</v>
      </c>
      <c r="K174" s="253">
        <v>42868.9</v>
      </c>
      <c r="L174" s="253">
        <v>44161.9</v>
      </c>
      <c r="O174" s="277">
        <v>40</v>
      </c>
      <c r="P174" s="484"/>
      <c r="Q174" s="264" t="s">
        <v>967</v>
      </c>
      <c r="R174" t="s">
        <v>859</v>
      </c>
      <c r="S174">
        <v>24549.5</v>
      </c>
    </row>
    <row r="175" spans="2:23" ht="15.75" customHeight="1" thickBot="1">
      <c r="B175" s="479"/>
      <c r="C175" s="479"/>
      <c r="D175" s="471" t="s">
        <v>949</v>
      </c>
      <c r="E175" s="472"/>
      <c r="F175" s="263" t="s">
        <v>950</v>
      </c>
      <c r="G175" s="252">
        <v>3245.6</v>
      </c>
      <c r="H175" s="252">
        <v>3159.8</v>
      </c>
      <c r="I175" s="252">
        <v>2792.5</v>
      </c>
      <c r="J175" s="252">
        <v>3060.3</v>
      </c>
      <c r="K175" s="252">
        <v>3429.2</v>
      </c>
      <c r="L175" s="252">
        <v>3868.8</v>
      </c>
      <c r="O175" s="277">
        <v>41</v>
      </c>
      <c r="P175" s="482" t="s">
        <v>73</v>
      </c>
      <c r="Q175" s="265" t="s">
        <v>970</v>
      </c>
      <c r="R175" t="s">
        <v>73</v>
      </c>
      <c r="S175">
        <v>57033.3</v>
      </c>
    </row>
    <row r="176" spans="2:23" ht="15.75" customHeight="1" thickBot="1">
      <c r="B176" s="479"/>
      <c r="C176" s="479"/>
      <c r="D176" s="471" t="s">
        <v>951</v>
      </c>
      <c r="E176" s="472"/>
      <c r="F176" s="263" t="s">
        <v>952</v>
      </c>
      <c r="G176" s="253">
        <v>1448.5</v>
      </c>
      <c r="H176" s="253">
        <v>1775.7</v>
      </c>
      <c r="I176" s="253">
        <v>809.2</v>
      </c>
      <c r="J176" s="253">
        <v>555.1</v>
      </c>
      <c r="K176" s="253">
        <v>565.20000000000005</v>
      </c>
      <c r="L176" s="253">
        <v>705.2</v>
      </c>
      <c r="O176" s="277">
        <v>42</v>
      </c>
      <c r="P176" s="483"/>
      <c r="Q176" s="265" t="s">
        <v>972</v>
      </c>
      <c r="R176" t="s">
        <v>73</v>
      </c>
      <c r="S176">
        <v>4759</v>
      </c>
    </row>
    <row r="177" spans="2:19" ht="15.75" customHeight="1" thickBot="1">
      <c r="B177" s="479"/>
      <c r="C177" s="479"/>
      <c r="D177" s="471" t="s">
        <v>953</v>
      </c>
      <c r="E177" s="472"/>
      <c r="F177" s="263" t="s">
        <v>954</v>
      </c>
      <c r="G177" s="252">
        <v>26836.6</v>
      </c>
      <c r="H177" s="252">
        <v>27755.7</v>
      </c>
      <c r="I177" s="252">
        <v>28263.8</v>
      </c>
      <c r="J177" s="252">
        <v>28846.3</v>
      </c>
      <c r="K177" s="252">
        <v>29751.4</v>
      </c>
      <c r="L177" s="252">
        <v>29198.799999999999</v>
      </c>
      <c r="O177" s="277">
        <v>43</v>
      </c>
      <c r="P177" s="484"/>
      <c r="Q177" s="265" t="s">
        <v>974</v>
      </c>
      <c r="R177" t="s">
        <v>73</v>
      </c>
      <c r="S177">
        <v>13892.4</v>
      </c>
    </row>
    <row r="178" spans="2:19" ht="15.75" customHeight="1" thickBot="1">
      <c r="B178" s="479"/>
      <c r="C178" s="474"/>
      <c r="D178" s="471" t="s">
        <v>955</v>
      </c>
      <c r="E178" s="472"/>
      <c r="F178" s="263" t="s">
        <v>956</v>
      </c>
      <c r="G178" s="253">
        <v>4505.2</v>
      </c>
      <c r="H178" s="253">
        <v>4175</v>
      </c>
      <c r="I178" s="253">
        <v>3672.9</v>
      </c>
      <c r="J178" s="253">
        <v>4093.3</v>
      </c>
      <c r="K178" s="253">
        <v>3652.3</v>
      </c>
      <c r="L178" s="253">
        <v>3629.1</v>
      </c>
      <c r="O178" s="277">
        <v>44</v>
      </c>
      <c r="P178" s="482" t="s">
        <v>75</v>
      </c>
      <c r="Q178" s="266" t="s">
        <v>976</v>
      </c>
      <c r="R178" t="s">
        <v>75</v>
      </c>
      <c r="S178">
        <v>184601</v>
      </c>
    </row>
    <row r="179" spans="2:19" ht="15.75" customHeight="1" thickBot="1">
      <c r="B179" s="479"/>
      <c r="C179" s="471" t="s">
        <v>957</v>
      </c>
      <c r="D179" s="478"/>
      <c r="E179" s="472"/>
      <c r="F179" s="254" t="s">
        <v>194</v>
      </c>
      <c r="G179" s="252">
        <v>52571.3</v>
      </c>
      <c r="H179" s="252">
        <v>54208.800000000003</v>
      </c>
      <c r="I179" s="252">
        <v>53833.3</v>
      </c>
      <c r="J179" s="252">
        <v>52440.9</v>
      </c>
      <c r="K179" s="252">
        <v>53999.6</v>
      </c>
      <c r="L179" s="252">
        <v>54618.3</v>
      </c>
      <c r="O179" s="277">
        <v>45</v>
      </c>
      <c r="P179" s="484"/>
      <c r="Q179" s="266"/>
      <c r="R179" t="s">
        <v>75</v>
      </c>
      <c r="S179">
        <v>0</v>
      </c>
    </row>
    <row r="180" spans="2:19" ht="15.75" customHeight="1" thickBot="1">
      <c r="B180" s="479"/>
      <c r="C180" s="471" t="s">
        <v>958</v>
      </c>
      <c r="D180" s="478"/>
      <c r="E180" s="472"/>
      <c r="F180" s="251" t="s">
        <v>879</v>
      </c>
      <c r="G180" s="253">
        <v>60681.4</v>
      </c>
      <c r="H180" s="253">
        <v>60105.5</v>
      </c>
      <c r="I180" s="253">
        <v>56899</v>
      </c>
      <c r="J180" s="253">
        <v>53541.1</v>
      </c>
      <c r="K180" s="253">
        <v>52751.5</v>
      </c>
      <c r="L180" s="253">
        <v>53806.400000000001</v>
      </c>
      <c r="O180" s="277">
        <v>46</v>
      </c>
      <c r="P180" s="482" t="s">
        <v>858</v>
      </c>
      <c r="Q180" s="267" t="s">
        <v>982</v>
      </c>
      <c r="R180" t="s">
        <v>858</v>
      </c>
      <c r="S180">
        <v>44995.8</v>
      </c>
    </row>
    <row r="181" spans="2:19" ht="15.75" customHeight="1" thickBot="1">
      <c r="B181" s="479"/>
      <c r="C181" s="473" t="s">
        <v>958</v>
      </c>
      <c r="D181" s="471" t="s">
        <v>959</v>
      </c>
      <c r="E181" s="472"/>
      <c r="F181" s="251" t="s">
        <v>879</v>
      </c>
      <c r="G181" s="252">
        <v>11222.3</v>
      </c>
      <c r="H181" s="252">
        <v>10601.6</v>
      </c>
      <c r="I181" s="252">
        <v>9119.7000000000007</v>
      </c>
      <c r="J181" s="252">
        <v>8556.4</v>
      </c>
      <c r="K181" s="252">
        <v>8102.9</v>
      </c>
      <c r="L181" s="252">
        <v>8049.3</v>
      </c>
      <c r="O181" s="277">
        <v>47</v>
      </c>
      <c r="P181" s="483"/>
      <c r="Q181" s="267" t="s">
        <v>984</v>
      </c>
      <c r="R181" t="s">
        <v>858</v>
      </c>
      <c r="S181">
        <v>18097.900000000001</v>
      </c>
    </row>
    <row r="182" spans="2:19" ht="15.75" customHeight="1" thickBot="1">
      <c r="B182" s="479"/>
      <c r="C182" s="479"/>
      <c r="D182" s="473" t="s">
        <v>959</v>
      </c>
      <c r="E182" s="257" t="s">
        <v>960</v>
      </c>
      <c r="F182" s="264" t="s">
        <v>961</v>
      </c>
      <c r="G182" s="253">
        <v>4669.7</v>
      </c>
      <c r="H182" s="253">
        <v>4050.9</v>
      </c>
      <c r="I182" s="253">
        <v>3286.1</v>
      </c>
      <c r="J182" s="253">
        <v>3067.8</v>
      </c>
      <c r="K182" s="253">
        <v>3058.4</v>
      </c>
      <c r="L182" s="253">
        <v>2848.3</v>
      </c>
      <c r="O182" s="277">
        <v>48</v>
      </c>
      <c r="P182" s="483"/>
      <c r="Q182" s="267" t="s">
        <v>986</v>
      </c>
      <c r="R182" t="s">
        <v>858</v>
      </c>
      <c r="S182">
        <v>16163.1</v>
      </c>
    </row>
    <row r="183" spans="2:19" ht="15.75" customHeight="1" thickBot="1">
      <c r="B183" s="479"/>
      <c r="C183" s="479"/>
      <c r="D183" s="474"/>
      <c r="E183" s="257" t="s">
        <v>962</v>
      </c>
      <c r="F183" s="264" t="s">
        <v>963</v>
      </c>
      <c r="G183" s="252">
        <v>6552.6</v>
      </c>
      <c r="H183" s="252">
        <v>6550.8</v>
      </c>
      <c r="I183" s="252">
        <v>5833.7</v>
      </c>
      <c r="J183" s="252">
        <v>5488.7</v>
      </c>
      <c r="K183" s="252">
        <v>5044.3999999999996</v>
      </c>
      <c r="L183" s="252">
        <v>5201.1000000000004</v>
      </c>
      <c r="O183" s="277">
        <v>49</v>
      </c>
      <c r="P183" s="483"/>
      <c r="Q183" s="267" t="s">
        <v>989</v>
      </c>
      <c r="R183" t="s">
        <v>858</v>
      </c>
      <c r="S183">
        <v>4167.3999999999996</v>
      </c>
    </row>
    <row r="184" spans="2:19" ht="15.75" customHeight="1" thickBot="1">
      <c r="B184" s="479"/>
      <c r="C184" s="479"/>
      <c r="D184" s="471" t="s">
        <v>964</v>
      </c>
      <c r="E184" s="472"/>
      <c r="F184" s="264" t="s">
        <v>965</v>
      </c>
      <c r="G184" s="253">
        <v>24909.5</v>
      </c>
      <c r="H184" s="253">
        <v>24115.1</v>
      </c>
      <c r="I184" s="253">
        <v>22394.5</v>
      </c>
      <c r="J184" s="253">
        <v>19207.2</v>
      </c>
      <c r="K184" s="253">
        <v>17848.599999999999</v>
      </c>
      <c r="L184" s="253">
        <v>17557.400000000001</v>
      </c>
      <c r="O184" s="277">
        <v>50</v>
      </c>
      <c r="P184" s="483"/>
      <c r="Q184" s="267" t="s">
        <v>991</v>
      </c>
      <c r="R184" t="s">
        <v>858</v>
      </c>
      <c r="S184">
        <v>12924.3</v>
      </c>
    </row>
    <row r="185" spans="2:19" ht="15.75" customHeight="1" thickBot="1">
      <c r="B185" s="479"/>
      <c r="C185" s="474"/>
      <c r="D185" s="471" t="s">
        <v>966</v>
      </c>
      <c r="E185" s="472"/>
      <c r="F185" s="264" t="s">
        <v>967</v>
      </c>
      <c r="G185" s="252">
        <v>24549.5</v>
      </c>
      <c r="H185" s="252">
        <v>25388.799999999999</v>
      </c>
      <c r="I185" s="252">
        <v>25384.799999999999</v>
      </c>
      <c r="J185" s="252">
        <v>25777.4</v>
      </c>
      <c r="K185" s="252">
        <v>26800.1</v>
      </c>
      <c r="L185" s="252">
        <v>28199.7</v>
      </c>
      <c r="O185" s="277">
        <v>51</v>
      </c>
      <c r="P185" s="483"/>
      <c r="Q185" s="267" t="s">
        <v>994</v>
      </c>
      <c r="R185" t="s">
        <v>858</v>
      </c>
      <c r="S185">
        <v>7057.9</v>
      </c>
    </row>
    <row r="186" spans="2:19" ht="15.75" customHeight="1" thickBot="1">
      <c r="B186" s="479"/>
      <c r="C186" s="471" t="s">
        <v>968</v>
      </c>
      <c r="D186" s="478"/>
      <c r="E186" s="472"/>
      <c r="F186" s="251" t="s">
        <v>879</v>
      </c>
      <c r="G186" s="253">
        <v>75684.600000000006</v>
      </c>
      <c r="H186" s="253">
        <v>78147.899999999994</v>
      </c>
      <c r="I186" s="253">
        <v>77579.3</v>
      </c>
      <c r="J186" s="253">
        <v>80743.5</v>
      </c>
      <c r="K186" s="253">
        <v>84974.5</v>
      </c>
      <c r="L186" s="253">
        <v>83670.3</v>
      </c>
      <c r="O186" s="277">
        <v>52</v>
      </c>
      <c r="P186" s="483"/>
      <c r="Q186" s="267" t="s">
        <v>996</v>
      </c>
      <c r="R186" t="s">
        <v>858</v>
      </c>
      <c r="S186">
        <v>5270.3</v>
      </c>
    </row>
    <row r="187" spans="2:19" ht="15.75" customHeight="1" thickBot="1">
      <c r="B187" s="479"/>
      <c r="C187" s="473" t="s">
        <v>968</v>
      </c>
      <c r="D187" s="471" t="s">
        <v>969</v>
      </c>
      <c r="E187" s="472"/>
      <c r="F187" s="265" t="s">
        <v>970</v>
      </c>
      <c r="G187" s="252">
        <v>57033.3</v>
      </c>
      <c r="H187" s="252">
        <v>57381</v>
      </c>
      <c r="I187" s="252">
        <v>55465.599999999999</v>
      </c>
      <c r="J187" s="252">
        <v>57444.800000000003</v>
      </c>
      <c r="K187" s="252">
        <v>61566.8</v>
      </c>
      <c r="L187" s="252">
        <v>59947.5</v>
      </c>
      <c r="O187" s="277">
        <v>53</v>
      </c>
      <c r="P187" s="483"/>
      <c r="Q187" s="267" t="s">
        <v>998</v>
      </c>
      <c r="R187" t="s">
        <v>858</v>
      </c>
      <c r="S187">
        <v>1932</v>
      </c>
    </row>
    <row r="188" spans="2:19" ht="15.75" customHeight="1" thickBot="1">
      <c r="B188" s="479"/>
      <c r="C188" s="479"/>
      <c r="D188" s="471" t="s">
        <v>971</v>
      </c>
      <c r="E188" s="472"/>
      <c r="F188" s="265" t="s">
        <v>972</v>
      </c>
      <c r="G188" s="253">
        <v>4759</v>
      </c>
      <c r="H188" s="253">
        <v>6213.2</v>
      </c>
      <c r="I188" s="253">
        <v>7764.6</v>
      </c>
      <c r="J188" s="253">
        <v>8301.4</v>
      </c>
      <c r="K188" s="253">
        <v>8575.2000000000007</v>
      </c>
      <c r="L188" s="253">
        <v>9437.1</v>
      </c>
      <c r="O188" s="277">
        <v>54</v>
      </c>
      <c r="P188" s="484"/>
      <c r="Q188" s="267" t="s">
        <v>1000</v>
      </c>
      <c r="R188" t="s">
        <v>858</v>
      </c>
      <c r="S188">
        <v>27348</v>
      </c>
    </row>
    <row r="189" spans="2:19" ht="15.75" customHeight="1" thickBot="1">
      <c r="B189" s="479"/>
      <c r="C189" s="474"/>
      <c r="D189" s="471" t="s">
        <v>973</v>
      </c>
      <c r="E189" s="472"/>
      <c r="F189" s="265" t="s">
        <v>974</v>
      </c>
      <c r="G189" s="252">
        <v>13892.4</v>
      </c>
      <c r="H189" s="252">
        <v>14553.7</v>
      </c>
      <c r="I189" s="252">
        <v>14349.2</v>
      </c>
      <c r="J189" s="252">
        <v>14997.2</v>
      </c>
      <c r="K189" s="252">
        <v>14832.6</v>
      </c>
      <c r="L189" s="252">
        <v>14285.7</v>
      </c>
      <c r="O189" s="277">
        <v>55</v>
      </c>
      <c r="P189" s="278" t="s">
        <v>83</v>
      </c>
      <c r="Q189" s="268" t="s">
        <v>1002</v>
      </c>
      <c r="R189" t="s">
        <v>83</v>
      </c>
      <c r="S189">
        <v>103467</v>
      </c>
    </row>
    <row r="190" spans="2:19" ht="15.75" customHeight="1" thickBot="1">
      <c r="B190" s="479"/>
      <c r="C190" s="471" t="s">
        <v>975</v>
      </c>
      <c r="D190" s="478"/>
      <c r="E190" s="472"/>
      <c r="F190" s="266" t="s">
        <v>976</v>
      </c>
      <c r="G190" s="253">
        <v>184601</v>
      </c>
      <c r="H190" s="253">
        <v>191577.7</v>
      </c>
      <c r="I190" s="253">
        <v>195857.2</v>
      </c>
      <c r="J190" s="253">
        <v>196714</v>
      </c>
      <c r="K190" s="253">
        <v>198931.7</v>
      </c>
      <c r="L190" s="253">
        <v>205209.60000000001</v>
      </c>
      <c r="O190" s="277">
        <v>56</v>
      </c>
      <c r="P190" s="278" t="s">
        <v>85</v>
      </c>
      <c r="Q190" s="269" t="s">
        <v>1004</v>
      </c>
      <c r="R190" t="s">
        <v>85</v>
      </c>
      <c r="S190">
        <v>64670.9</v>
      </c>
    </row>
    <row r="191" spans="2:19" ht="15.75" customHeight="1" thickBot="1">
      <c r="B191" s="479"/>
      <c r="C191" s="257" t="s">
        <v>975</v>
      </c>
      <c r="D191" s="471" t="s">
        <v>977</v>
      </c>
      <c r="E191" s="472"/>
      <c r="F191" s="251" t="s">
        <v>879</v>
      </c>
      <c r="G191" s="252">
        <v>123833.4</v>
      </c>
      <c r="H191" s="252">
        <v>128677.4</v>
      </c>
      <c r="I191" s="252">
        <v>132292.70000000001</v>
      </c>
      <c r="J191" s="252">
        <v>135105.29999999999</v>
      </c>
      <c r="K191" s="252">
        <v>136086.1</v>
      </c>
      <c r="L191" s="252">
        <v>138959.9</v>
      </c>
      <c r="O191" s="277">
        <v>57</v>
      </c>
      <c r="P191" s="482" t="s">
        <v>88</v>
      </c>
      <c r="Q191" s="270" t="s">
        <v>1007</v>
      </c>
      <c r="R191" t="s">
        <v>88</v>
      </c>
      <c r="S191">
        <v>75086.899999999994</v>
      </c>
    </row>
    <row r="192" spans="2:19" ht="15.75" customHeight="1" thickBot="1">
      <c r="B192" s="479"/>
      <c r="C192" s="471" t="s">
        <v>979</v>
      </c>
      <c r="D192" s="478"/>
      <c r="E192" s="472"/>
      <c r="F192" s="251" t="s">
        <v>879</v>
      </c>
      <c r="G192" s="253">
        <v>96348.6</v>
      </c>
      <c r="H192" s="253">
        <v>95296.1</v>
      </c>
      <c r="I192" s="253">
        <v>94073.600000000006</v>
      </c>
      <c r="J192" s="253">
        <v>93344.4</v>
      </c>
      <c r="K192" s="253">
        <v>94209.1</v>
      </c>
      <c r="L192" s="253">
        <v>95849.1</v>
      </c>
      <c r="O192" s="277">
        <v>58</v>
      </c>
      <c r="P192" s="484"/>
      <c r="Q192" s="270" t="s">
        <v>1009</v>
      </c>
      <c r="R192" t="s">
        <v>88</v>
      </c>
      <c r="S192">
        <v>11767.6</v>
      </c>
    </row>
    <row r="193" spans="2:19" ht="15.75" customHeight="1" thickBot="1">
      <c r="B193" s="479"/>
      <c r="C193" s="473" t="s">
        <v>979</v>
      </c>
      <c r="D193" s="471" t="s">
        <v>980</v>
      </c>
      <c r="E193" s="472"/>
      <c r="F193" s="251" t="s">
        <v>879</v>
      </c>
      <c r="G193" s="252">
        <v>63093.7</v>
      </c>
      <c r="H193" s="252">
        <v>62719.5</v>
      </c>
      <c r="I193" s="252">
        <v>61115.9</v>
      </c>
      <c r="J193" s="252">
        <v>61053.2</v>
      </c>
      <c r="K193" s="252">
        <v>61568.6</v>
      </c>
      <c r="L193" s="252">
        <v>63140</v>
      </c>
      <c r="O193" s="277">
        <v>59</v>
      </c>
      <c r="P193" s="482" t="s">
        <v>1035</v>
      </c>
      <c r="Q193" s="270" t="s">
        <v>1012</v>
      </c>
      <c r="R193" t="s">
        <v>859</v>
      </c>
      <c r="S193">
        <v>10152.6</v>
      </c>
    </row>
    <row r="194" spans="2:19" ht="15.75" customHeight="1" thickBot="1">
      <c r="B194" s="479"/>
      <c r="C194" s="479"/>
      <c r="D194" s="473" t="s">
        <v>980</v>
      </c>
      <c r="E194" s="257" t="s">
        <v>981</v>
      </c>
      <c r="F194" s="267" t="s">
        <v>982</v>
      </c>
      <c r="G194" s="253">
        <v>44995.8</v>
      </c>
      <c r="H194" s="253">
        <v>44408.1</v>
      </c>
      <c r="I194" s="253">
        <v>43910</v>
      </c>
      <c r="J194" s="253">
        <v>43825.4</v>
      </c>
      <c r="K194" s="253">
        <v>44730.1</v>
      </c>
      <c r="L194" s="253">
        <v>45701.2</v>
      </c>
      <c r="O194" s="277">
        <v>60</v>
      </c>
      <c r="P194" s="483"/>
      <c r="Q194" s="259" t="s">
        <v>1014</v>
      </c>
      <c r="R194" t="s">
        <v>859</v>
      </c>
      <c r="S194">
        <v>6448.9</v>
      </c>
    </row>
    <row r="195" spans="2:19" ht="15.75" customHeight="1" thickBot="1">
      <c r="B195" s="479"/>
      <c r="C195" s="479"/>
      <c r="D195" s="474"/>
      <c r="E195" s="257" t="s">
        <v>983</v>
      </c>
      <c r="F195" s="267" t="s">
        <v>984</v>
      </c>
      <c r="G195" s="252">
        <v>18097.900000000001</v>
      </c>
      <c r="H195" s="252">
        <v>18311.400000000001</v>
      </c>
      <c r="I195" s="252">
        <v>17205.900000000001</v>
      </c>
      <c r="J195" s="252">
        <v>17227.8</v>
      </c>
      <c r="K195" s="252">
        <v>16838.400000000001</v>
      </c>
      <c r="L195" s="252">
        <v>17438.8</v>
      </c>
      <c r="O195" s="277">
        <v>61</v>
      </c>
      <c r="P195" s="483"/>
      <c r="Q195" s="270" t="s">
        <v>1017</v>
      </c>
      <c r="R195" t="s">
        <v>859</v>
      </c>
      <c r="S195">
        <v>3977.8</v>
      </c>
    </row>
    <row r="196" spans="2:19" ht="15.75" customHeight="1" thickBot="1">
      <c r="B196" s="479"/>
      <c r="C196" s="479"/>
      <c r="D196" s="471" t="s">
        <v>985</v>
      </c>
      <c r="E196" s="472"/>
      <c r="F196" s="267" t="s">
        <v>986</v>
      </c>
      <c r="G196" s="253">
        <v>16163.1</v>
      </c>
      <c r="H196" s="253">
        <v>15756</v>
      </c>
      <c r="I196" s="253">
        <v>15776.9</v>
      </c>
      <c r="J196" s="253">
        <v>15900.2</v>
      </c>
      <c r="K196" s="253">
        <v>15573.2</v>
      </c>
      <c r="L196" s="253">
        <v>15654</v>
      </c>
      <c r="O196" s="277">
        <v>62</v>
      </c>
      <c r="P196" s="483"/>
      <c r="Q196" s="262" t="s">
        <v>1019</v>
      </c>
      <c r="R196" t="s">
        <v>859</v>
      </c>
      <c r="S196">
        <v>1975.3</v>
      </c>
    </row>
    <row r="197" spans="2:19" ht="15.75" customHeight="1" thickBot="1">
      <c r="B197" s="479"/>
      <c r="C197" s="479"/>
      <c r="D197" s="471" t="s">
        <v>987</v>
      </c>
      <c r="E197" s="472"/>
      <c r="F197" s="267"/>
      <c r="G197" s="252">
        <v>17091.8</v>
      </c>
      <c r="H197" s="252">
        <v>16820.599999999999</v>
      </c>
      <c r="I197" s="252">
        <v>17180.8</v>
      </c>
      <c r="J197" s="252">
        <v>16390.900000000001</v>
      </c>
      <c r="K197" s="252">
        <v>17067.400000000001</v>
      </c>
      <c r="L197" s="252">
        <v>17055.099999999999</v>
      </c>
      <c r="O197" s="277">
        <v>63</v>
      </c>
      <c r="P197" s="484"/>
      <c r="Q197" s="262" t="s">
        <v>1021</v>
      </c>
      <c r="R197" t="s">
        <v>859</v>
      </c>
      <c r="S197">
        <v>19586.2</v>
      </c>
    </row>
    <row r="198" spans="2:19" ht="15.75" customHeight="1" thickBot="1">
      <c r="B198" s="479"/>
      <c r="C198" s="479"/>
      <c r="D198" s="473" t="s">
        <v>987</v>
      </c>
      <c r="E198" s="257" t="s">
        <v>988</v>
      </c>
      <c r="F198" s="267" t="s">
        <v>989</v>
      </c>
      <c r="G198" s="253">
        <v>4167.3999999999996</v>
      </c>
      <c r="H198" s="253">
        <v>4201.2</v>
      </c>
      <c r="I198" s="253">
        <v>4045.1</v>
      </c>
      <c r="J198" s="253">
        <v>3600.5</v>
      </c>
      <c r="K198" s="253">
        <v>3965.9</v>
      </c>
      <c r="L198" s="253">
        <v>4124.6000000000004</v>
      </c>
      <c r="O198" s="277">
        <v>64</v>
      </c>
      <c r="P198" s="278" t="s">
        <v>147</v>
      </c>
      <c r="Q198" s="262" t="s">
        <v>1023</v>
      </c>
      <c r="R198" t="s">
        <v>147</v>
      </c>
      <c r="S198">
        <v>18005</v>
      </c>
    </row>
    <row r="199" spans="2:19" ht="15.75" customHeight="1" thickBot="1">
      <c r="B199" s="479"/>
      <c r="C199" s="474"/>
      <c r="D199" s="474"/>
      <c r="E199" s="257" t="s">
        <v>990</v>
      </c>
      <c r="F199" s="267" t="s">
        <v>991</v>
      </c>
      <c r="G199" s="252">
        <v>12924.3</v>
      </c>
      <c r="H199" s="252">
        <v>12619.4</v>
      </c>
      <c r="I199" s="252">
        <v>13135.7</v>
      </c>
      <c r="J199" s="252">
        <v>12790.5</v>
      </c>
      <c r="K199" s="252">
        <v>13101.5</v>
      </c>
      <c r="L199" s="252">
        <v>12930.5</v>
      </c>
      <c r="O199" s="277">
        <v>65</v>
      </c>
      <c r="P199" s="278" t="s">
        <v>858</v>
      </c>
      <c r="Q199" s="262" t="s">
        <v>193</v>
      </c>
      <c r="S199">
        <v>0</v>
      </c>
    </row>
    <row r="200" spans="2:19" ht="15.75" customHeight="1" thickBot="1">
      <c r="B200" s="479"/>
      <c r="C200" s="471" t="s">
        <v>992</v>
      </c>
      <c r="D200" s="478"/>
      <c r="E200" s="472"/>
      <c r="F200" s="251" t="s">
        <v>879</v>
      </c>
      <c r="G200" s="253">
        <v>41608.199999999997</v>
      </c>
      <c r="H200" s="253">
        <v>44794.8</v>
      </c>
      <c r="I200" s="253">
        <v>43971.9</v>
      </c>
      <c r="J200" s="253">
        <v>43895.5</v>
      </c>
      <c r="K200" s="253">
        <v>45425.4</v>
      </c>
      <c r="L200" s="253">
        <v>46505.7</v>
      </c>
      <c r="O200" s="36"/>
      <c r="P200" s="36"/>
      <c r="Q200" s="280"/>
    </row>
    <row r="201" spans="2:19" ht="15.75" customHeight="1" thickBot="1">
      <c r="B201" s="479"/>
      <c r="C201" s="473" t="s">
        <v>992</v>
      </c>
      <c r="D201" s="471" t="s">
        <v>993</v>
      </c>
      <c r="E201" s="472"/>
      <c r="F201" s="267" t="s">
        <v>994</v>
      </c>
      <c r="G201" s="252">
        <v>7057.9</v>
      </c>
      <c r="H201" s="252">
        <v>6939.6</v>
      </c>
      <c r="I201" s="252">
        <v>6884.4</v>
      </c>
      <c r="J201" s="252">
        <v>6552.1</v>
      </c>
      <c r="K201" s="252">
        <v>6891.6</v>
      </c>
      <c r="L201" s="252">
        <v>6898.7</v>
      </c>
    </row>
    <row r="202" spans="2:19" ht="15.75" customHeight="1" thickBot="1">
      <c r="B202" s="479"/>
      <c r="C202" s="479"/>
      <c r="D202" s="471" t="s">
        <v>995</v>
      </c>
      <c r="E202" s="472"/>
      <c r="F202" s="267" t="s">
        <v>996</v>
      </c>
      <c r="G202" s="253">
        <v>5270.3</v>
      </c>
      <c r="H202" s="253">
        <v>6441</v>
      </c>
      <c r="I202" s="253">
        <v>6111.8</v>
      </c>
      <c r="J202" s="253">
        <v>6479.7</v>
      </c>
      <c r="K202" s="253">
        <v>7152.4</v>
      </c>
      <c r="L202" s="253">
        <v>8303.1</v>
      </c>
    </row>
    <row r="203" spans="2:19" ht="15.75" customHeight="1" thickBot="1">
      <c r="B203" s="479"/>
      <c r="C203" s="479"/>
      <c r="D203" s="471" t="s">
        <v>997</v>
      </c>
      <c r="E203" s="472"/>
      <c r="F203" s="267" t="s">
        <v>998</v>
      </c>
      <c r="G203" s="252">
        <v>1932</v>
      </c>
      <c r="H203" s="252">
        <v>1830.8</v>
      </c>
      <c r="I203" s="252">
        <v>1717.7</v>
      </c>
      <c r="J203" s="252">
        <v>1697.1</v>
      </c>
      <c r="K203" s="252">
        <v>1860.3</v>
      </c>
      <c r="L203" s="252">
        <v>1849.3</v>
      </c>
    </row>
    <row r="204" spans="2:19" ht="15.75" customHeight="1" thickBot="1">
      <c r="B204" s="479"/>
      <c r="C204" s="474"/>
      <c r="D204" s="471" t="s">
        <v>999</v>
      </c>
      <c r="E204" s="472"/>
      <c r="F204" s="267" t="s">
        <v>1000</v>
      </c>
      <c r="G204" s="253">
        <v>27348</v>
      </c>
      <c r="H204" s="253">
        <v>29583.4</v>
      </c>
      <c r="I204" s="253">
        <v>29257.9</v>
      </c>
      <c r="J204" s="253">
        <v>29166.7</v>
      </c>
      <c r="K204" s="253">
        <v>29521.1</v>
      </c>
      <c r="L204" s="253">
        <v>29454.6</v>
      </c>
    </row>
    <row r="205" spans="2:19" ht="15.75" customHeight="1" thickBot="1">
      <c r="B205" s="479"/>
      <c r="C205" s="471" t="s">
        <v>1001</v>
      </c>
      <c r="D205" s="478"/>
      <c r="E205" s="472"/>
      <c r="F205" s="268" t="s">
        <v>1002</v>
      </c>
      <c r="G205" s="252">
        <v>103467</v>
      </c>
      <c r="H205" s="252">
        <v>104993</v>
      </c>
      <c r="I205" s="252">
        <v>103069</v>
      </c>
      <c r="J205" s="252">
        <v>101925</v>
      </c>
      <c r="K205" s="252">
        <v>100709</v>
      </c>
      <c r="L205" s="252">
        <v>100182</v>
      </c>
    </row>
    <row r="206" spans="2:19" ht="15.75" customHeight="1" thickBot="1">
      <c r="B206" s="479"/>
      <c r="C206" s="471" t="s">
        <v>1003</v>
      </c>
      <c r="D206" s="478"/>
      <c r="E206" s="472"/>
      <c r="F206" s="269" t="s">
        <v>1004</v>
      </c>
      <c r="G206" s="253">
        <v>64670.9</v>
      </c>
      <c r="H206" s="253">
        <v>62865</v>
      </c>
      <c r="I206" s="253">
        <v>62357</v>
      </c>
      <c r="J206" s="253">
        <v>62467.4</v>
      </c>
      <c r="K206" s="253">
        <v>62737.2</v>
      </c>
      <c r="L206" s="253">
        <v>62281.3</v>
      </c>
    </row>
    <row r="207" spans="2:19" ht="15.75" customHeight="1" thickBot="1">
      <c r="B207" s="479"/>
      <c r="C207" s="471" t="s">
        <v>1005</v>
      </c>
      <c r="D207" s="478"/>
      <c r="E207" s="472"/>
      <c r="F207" s="251" t="s">
        <v>879</v>
      </c>
      <c r="G207" s="252">
        <v>86854.5</v>
      </c>
      <c r="H207" s="252">
        <v>87921.2</v>
      </c>
      <c r="I207" s="252">
        <v>87889.600000000006</v>
      </c>
      <c r="J207" s="252">
        <v>88030.3</v>
      </c>
      <c r="K207" s="252">
        <v>90293.8</v>
      </c>
      <c r="L207" s="252">
        <v>90695.1</v>
      </c>
    </row>
    <row r="208" spans="2:19" ht="15.75" customHeight="1" thickBot="1">
      <c r="B208" s="479"/>
      <c r="C208" s="473" t="s">
        <v>1005</v>
      </c>
      <c r="D208" s="471" t="s">
        <v>1006</v>
      </c>
      <c r="E208" s="472"/>
      <c r="F208" s="270" t="s">
        <v>1007</v>
      </c>
      <c r="G208" s="253">
        <v>75086.899999999994</v>
      </c>
      <c r="H208" s="253">
        <v>76001.899999999994</v>
      </c>
      <c r="I208" s="253">
        <v>76251.600000000006</v>
      </c>
      <c r="J208" s="253">
        <v>75795</v>
      </c>
      <c r="K208" s="253">
        <v>77548.5</v>
      </c>
      <c r="L208" s="253">
        <v>77778.5</v>
      </c>
    </row>
    <row r="209" spans="2:12" ht="15.75" customHeight="1" thickBot="1">
      <c r="B209" s="479"/>
      <c r="C209" s="474"/>
      <c r="D209" s="471" t="s">
        <v>1008</v>
      </c>
      <c r="E209" s="472"/>
      <c r="F209" s="270" t="s">
        <v>1009</v>
      </c>
      <c r="G209" s="252">
        <v>11767.6</v>
      </c>
      <c r="H209" s="252">
        <v>11919.3</v>
      </c>
      <c r="I209" s="252">
        <v>11638</v>
      </c>
      <c r="J209" s="252">
        <v>12235.3</v>
      </c>
      <c r="K209" s="252">
        <v>12745.4</v>
      </c>
      <c r="L209" s="252">
        <v>12916.5</v>
      </c>
    </row>
    <row r="210" spans="2:12" ht="15.75" customHeight="1" thickBot="1">
      <c r="B210" s="479"/>
      <c r="C210" s="471" t="s">
        <v>1010</v>
      </c>
      <c r="D210" s="478"/>
      <c r="E210" s="472"/>
      <c r="F210" s="251" t="s">
        <v>879</v>
      </c>
      <c r="G210" s="253">
        <v>16601.5</v>
      </c>
      <c r="H210" s="253">
        <v>17207.3</v>
      </c>
      <c r="I210" s="253">
        <v>16109.6</v>
      </c>
      <c r="J210" s="253">
        <v>15748.8</v>
      </c>
      <c r="K210" s="253">
        <v>16325.2</v>
      </c>
      <c r="L210" s="253">
        <v>16594.8</v>
      </c>
    </row>
    <row r="211" spans="2:12" ht="15.75" customHeight="1" thickBot="1">
      <c r="B211" s="479"/>
      <c r="C211" s="473" t="s">
        <v>1010</v>
      </c>
      <c r="D211" s="471" t="s">
        <v>1011</v>
      </c>
      <c r="E211" s="472"/>
      <c r="F211" s="270" t="s">
        <v>1012</v>
      </c>
      <c r="G211" s="252">
        <v>10152.6</v>
      </c>
      <c r="H211" s="252">
        <v>10542.6</v>
      </c>
      <c r="I211" s="252">
        <v>9766.5</v>
      </c>
      <c r="J211" s="252">
        <v>9482.7999999999993</v>
      </c>
      <c r="K211" s="252">
        <v>9833.6</v>
      </c>
      <c r="L211" s="252">
        <v>9954.7999999999993</v>
      </c>
    </row>
    <row r="212" spans="2:12" ht="15.75" customHeight="1" thickBot="1">
      <c r="B212" s="479"/>
      <c r="C212" s="474"/>
      <c r="D212" s="471" t="s">
        <v>1013</v>
      </c>
      <c r="E212" s="472"/>
      <c r="F212" s="259" t="s">
        <v>1014</v>
      </c>
      <c r="G212" s="253">
        <v>6448.9</v>
      </c>
      <c r="H212" s="253">
        <v>6664.7</v>
      </c>
      <c r="I212" s="253">
        <v>6343</v>
      </c>
      <c r="J212" s="253">
        <v>6266</v>
      </c>
      <c r="K212" s="253">
        <v>6491.5</v>
      </c>
      <c r="L212" s="253">
        <v>6640</v>
      </c>
    </row>
    <row r="213" spans="2:12" ht="15.75" customHeight="1" thickBot="1">
      <c r="B213" s="479"/>
      <c r="C213" s="471" t="s">
        <v>1015</v>
      </c>
      <c r="D213" s="478"/>
      <c r="E213" s="472"/>
      <c r="F213" s="251" t="s">
        <v>879</v>
      </c>
      <c r="G213" s="252">
        <v>25539.3</v>
      </c>
      <c r="H213" s="252">
        <v>27372.7</v>
      </c>
      <c r="I213" s="252">
        <v>26660.1</v>
      </c>
      <c r="J213" s="252">
        <v>26747.9</v>
      </c>
      <c r="K213" s="252">
        <v>26813.4</v>
      </c>
      <c r="L213" s="252">
        <v>26770.799999999999</v>
      </c>
    </row>
    <row r="214" spans="2:12" ht="15.75" customHeight="1" thickBot="1">
      <c r="B214" s="479"/>
      <c r="C214" s="473" t="s">
        <v>1015</v>
      </c>
      <c r="D214" s="471" t="s">
        <v>1016</v>
      </c>
      <c r="E214" s="472"/>
      <c r="F214" s="270" t="s">
        <v>1017</v>
      </c>
      <c r="G214" s="253">
        <v>3977.8</v>
      </c>
      <c r="H214" s="253">
        <v>4113.5</v>
      </c>
      <c r="I214" s="253">
        <v>3968.6</v>
      </c>
      <c r="J214" s="253">
        <v>4039.5</v>
      </c>
      <c r="K214" s="253">
        <v>4205.6000000000004</v>
      </c>
      <c r="L214" s="253">
        <v>4121.1000000000004</v>
      </c>
    </row>
    <row r="215" spans="2:12" ht="15.75" customHeight="1" thickBot="1">
      <c r="B215" s="479"/>
      <c r="C215" s="479"/>
      <c r="D215" s="471" t="s">
        <v>1018</v>
      </c>
      <c r="E215" s="472"/>
      <c r="F215" s="262" t="s">
        <v>1019</v>
      </c>
      <c r="G215" s="252">
        <v>1975.3</v>
      </c>
      <c r="H215" s="252">
        <v>2046.4</v>
      </c>
      <c r="I215" s="252">
        <v>1978.9</v>
      </c>
      <c r="J215" s="252">
        <v>2002.2</v>
      </c>
      <c r="K215" s="252">
        <v>1906.1</v>
      </c>
      <c r="L215" s="252">
        <v>1820.3</v>
      </c>
    </row>
    <row r="216" spans="2:12" ht="15.75" customHeight="1" thickBot="1">
      <c r="B216" s="479"/>
      <c r="C216" s="474"/>
      <c r="D216" s="471" t="s">
        <v>1020</v>
      </c>
      <c r="E216" s="472"/>
      <c r="F216" s="262" t="s">
        <v>1021</v>
      </c>
      <c r="G216" s="253">
        <v>19586.2</v>
      </c>
      <c r="H216" s="253">
        <v>21212.7</v>
      </c>
      <c r="I216" s="253">
        <v>20712.599999999999</v>
      </c>
      <c r="J216" s="253">
        <v>20706.2</v>
      </c>
      <c r="K216" s="253">
        <v>20701.8</v>
      </c>
      <c r="L216" s="253">
        <v>20829.400000000001</v>
      </c>
    </row>
    <row r="217" spans="2:12" ht="15.75" customHeight="1" thickBot="1">
      <c r="B217" s="479"/>
      <c r="C217" s="471" t="s">
        <v>1022</v>
      </c>
      <c r="D217" s="478"/>
      <c r="E217" s="472"/>
      <c r="F217" s="262" t="s">
        <v>1023</v>
      </c>
      <c r="G217" s="252">
        <v>18005</v>
      </c>
      <c r="H217" s="252">
        <v>18068.8</v>
      </c>
      <c r="I217" s="252">
        <v>18460.8</v>
      </c>
      <c r="J217" s="252">
        <v>18764.599999999999</v>
      </c>
      <c r="K217" s="252">
        <v>18956.599999999999</v>
      </c>
      <c r="L217" s="252">
        <v>18841.7</v>
      </c>
    </row>
    <row r="218" spans="2:12" ht="15.75" customHeight="1" thickBot="1">
      <c r="B218" s="474"/>
      <c r="C218" s="471" t="s">
        <v>1024</v>
      </c>
      <c r="D218" s="478"/>
      <c r="E218" s="472"/>
      <c r="F218" s="262" t="s">
        <v>193</v>
      </c>
      <c r="G218" s="253">
        <v>0</v>
      </c>
      <c r="H218" s="253">
        <v>0</v>
      </c>
      <c r="I218" s="253">
        <v>0</v>
      </c>
      <c r="J218" s="253">
        <v>0</v>
      </c>
      <c r="K218" s="253">
        <v>0</v>
      </c>
      <c r="L218" s="253">
        <v>0</v>
      </c>
    </row>
    <row r="219" spans="2:12" ht="15.75" customHeight="1">
      <c r="B219" s="271" t="s">
        <v>1029</v>
      </c>
      <c r="C219" s="36"/>
      <c r="D219" s="36"/>
      <c r="E219" s="36"/>
      <c r="F219" s="36"/>
      <c r="G219" s="36"/>
      <c r="H219" s="36"/>
      <c r="I219" s="36"/>
      <c r="J219" s="36"/>
      <c r="K219" s="36"/>
      <c r="L219" s="36"/>
    </row>
    <row r="220" spans="2:12" ht="15.75" customHeight="1"/>
    <row r="221" spans="2:12" ht="15.75" customHeight="1"/>
    <row r="222" spans="2:12" ht="15.75" customHeight="1">
      <c r="B222" s="272" t="e">
        <f ca="1">DotStatQuery(C222)</f>
        <v>#NAME?</v>
      </c>
      <c r="C222" s="272" t="s">
        <v>1027</v>
      </c>
      <c r="D222" s="36"/>
      <c r="E222" s="36"/>
      <c r="F222" s="36"/>
      <c r="G222" s="36"/>
      <c r="H222" s="36"/>
      <c r="I222" s="36"/>
      <c r="J222" s="36"/>
      <c r="K222" s="36"/>
      <c r="L222" s="36"/>
    </row>
    <row r="223" spans="2:12" ht="15.75" customHeight="1">
      <c r="B223" s="249" t="s">
        <v>863</v>
      </c>
      <c r="C223" s="480" t="s">
        <v>1037</v>
      </c>
      <c r="D223" s="481"/>
      <c r="E223" s="481"/>
      <c r="F223" s="481"/>
      <c r="G223" s="481"/>
      <c r="H223" s="481"/>
      <c r="I223" s="481"/>
      <c r="J223" s="481"/>
      <c r="K223" s="481"/>
      <c r="L223" s="481"/>
    </row>
    <row r="224" spans="2:12" ht="15.75" customHeight="1">
      <c r="B224" s="458" t="s">
        <v>864</v>
      </c>
      <c r="C224" s="459"/>
      <c r="D224" s="459"/>
      <c r="E224" s="459"/>
      <c r="F224" s="460"/>
      <c r="G224" s="468" t="s">
        <v>865</v>
      </c>
      <c r="H224" s="469"/>
      <c r="I224" s="469"/>
      <c r="J224" s="469"/>
      <c r="K224" s="469"/>
      <c r="L224" s="470"/>
    </row>
    <row r="225" spans="2:12" ht="15.75" customHeight="1">
      <c r="B225" s="458" t="s">
        <v>866</v>
      </c>
      <c r="C225" s="459"/>
      <c r="D225" s="459"/>
      <c r="E225" s="459"/>
      <c r="F225" s="460"/>
      <c r="G225" s="461" t="s">
        <v>1036</v>
      </c>
      <c r="H225" s="462"/>
      <c r="I225" s="462"/>
      <c r="J225" s="462"/>
      <c r="K225" s="462"/>
      <c r="L225" s="463"/>
    </row>
    <row r="226" spans="2:12" ht="15.75" customHeight="1">
      <c r="B226" s="458" t="s">
        <v>868</v>
      </c>
      <c r="C226" s="459"/>
      <c r="D226" s="459"/>
      <c r="E226" s="459"/>
      <c r="F226" s="460"/>
      <c r="G226" s="461" t="s">
        <v>869</v>
      </c>
      <c r="H226" s="462"/>
      <c r="I226" s="462"/>
      <c r="J226" s="462"/>
      <c r="K226" s="462"/>
      <c r="L226" s="463"/>
    </row>
    <row r="227" spans="2:12" ht="15.75" customHeight="1">
      <c r="B227" s="458" t="s">
        <v>870</v>
      </c>
      <c r="C227" s="459"/>
      <c r="D227" s="459"/>
      <c r="E227" s="459"/>
      <c r="F227" s="460"/>
      <c r="G227" s="461" t="s">
        <v>871</v>
      </c>
      <c r="H227" s="462"/>
      <c r="I227" s="462"/>
      <c r="J227" s="462"/>
      <c r="K227" s="462"/>
      <c r="L227" s="463"/>
    </row>
    <row r="228" spans="2:12" ht="15.75" customHeight="1">
      <c r="B228" s="464" t="s">
        <v>405</v>
      </c>
      <c r="C228" s="465"/>
      <c r="D228" s="465"/>
      <c r="E228" s="465"/>
      <c r="F228" s="466"/>
      <c r="G228" s="250" t="s">
        <v>872</v>
      </c>
      <c r="H228" s="250" t="s">
        <v>873</v>
      </c>
      <c r="I228" s="250" t="s">
        <v>191</v>
      </c>
      <c r="J228" s="250" t="s">
        <v>874</v>
      </c>
      <c r="K228" s="250" t="s">
        <v>875</v>
      </c>
      <c r="L228" s="250" t="s">
        <v>876</v>
      </c>
    </row>
    <row r="229" spans="2:12" ht="15.75" customHeight="1">
      <c r="B229" s="475" t="s">
        <v>877</v>
      </c>
      <c r="C229" s="476"/>
      <c r="D229" s="476"/>
      <c r="E229" s="477"/>
      <c r="F229" s="251" t="s">
        <v>878</v>
      </c>
      <c r="G229" s="251" t="s">
        <v>879</v>
      </c>
      <c r="H229" s="251" t="s">
        <v>879</v>
      </c>
      <c r="I229" s="251" t="s">
        <v>879</v>
      </c>
      <c r="J229" s="251" t="s">
        <v>879</v>
      </c>
      <c r="K229" s="251" t="s">
        <v>879</v>
      </c>
      <c r="L229" s="251" t="s">
        <v>879</v>
      </c>
    </row>
    <row r="230" spans="2:12" ht="15.75" customHeight="1">
      <c r="B230" s="471" t="s">
        <v>880</v>
      </c>
      <c r="C230" s="478"/>
      <c r="D230" s="478"/>
      <c r="E230" s="472"/>
      <c r="F230" s="251" t="s">
        <v>879</v>
      </c>
      <c r="G230" s="252">
        <v>282532.2</v>
      </c>
      <c r="H230" s="252">
        <v>291378.40000000002</v>
      </c>
      <c r="I230" s="252">
        <v>296632</v>
      </c>
      <c r="J230" s="252">
        <v>295412.90000000002</v>
      </c>
      <c r="K230" s="252">
        <v>296166.3</v>
      </c>
      <c r="L230" s="252">
        <v>299992.5</v>
      </c>
    </row>
    <row r="231" spans="2:12" ht="15.75" customHeight="1">
      <c r="B231" s="473" t="s">
        <v>880</v>
      </c>
      <c r="C231" s="471" t="s">
        <v>881</v>
      </c>
      <c r="D231" s="478"/>
      <c r="E231" s="472"/>
      <c r="F231" s="251" t="s">
        <v>879</v>
      </c>
      <c r="G231" s="253">
        <v>11595.9</v>
      </c>
      <c r="H231" s="253">
        <v>11873</v>
      </c>
      <c r="I231" s="253">
        <v>11941.8</v>
      </c>
      <c r="J231" s="253">
        <v>11675.3</v>
      </c>
      <c r="K231" s="253">
        <v>11518.1</v>
      </c>
      <c r="L231" s="253">
        <v>11397.7</v>
      </c>
    </row>
    <row r="232" spans="2:12" ht="15.75" customHeight="1">
      <c r="B232" s="479"/>
      <c r="C232" s="473" t="s">
        <v>881</v>
      </c>
      <c r="D232" s="471" t="s">
        <v>882</v>
      </c>
      <c r="E232" s="472"/>
      <c r="F232" s="251" t="s">
        <v>879</v>
      </c>
      <c r="G232" s="252">
        <v>10957</v>
      </c>
      <c r="H232" s="252">
        <v>11230</v>
      </c>
      <c r="I232" s="252">
        <v>11296</v>
      </c>
      <c r="J232" s="252">
        <v>11041</v>
      </c>
      <c r="K232" s="252">
        <v>10888</v>
      </c>
      <c r="L232" s="252">
        <v>10773</v>
      </c>
    </row>
    <row r="233" spans="2:12" ht="15.75" customHeight="1">
      <c r="B233" s="479"/>
      <c r="C233" s="479"/>
      <c r="D233" s="471" t="s">
        <v>884</v>
      </c>
      <c r="E233" s="472"/>
      <c r="F233" s="251" t="s">
        <v>879</v>
      </c>
      <c r="G233" s="253">
        <v>290.89999999999998</v>
      </c>
      <c r="H233" s="253">
        <v>298.89999999999998</v>
      </c>
      <c r="I233" s="253">
        <v>299.39999999999998</v>
      </c>
      <c r="J233" s="253">
        <v>292.10000000000002</v>
      </c>
      <c r="K233" s="253">
        <v>285.7</v>
      </c>
      <c r="L233" s="253">
        <v>280.8</v>
      </c>
    </row>
    <row r="234" spans="2:12" ht="15.75" customHeight="1">
      <c r="B234" s="479"/>
      <c r="C234" s="474"/>
      <c r="D234" s="471" t="s">
        <v>886</v>
      </c>
      <c r="E234" s="472"/>
      <c r="F234" s="251" t="s">
        <v>879</v>
      </c>
      <c r="G234" s="252">
        <v>347.9</v>
      </c>
      <c r="H234" s="252">
        <v>344.1</v>
      </c>
      <c r="I234" s="252">
        <v>346.4</v>
      </c>
      <c r="J234" s="252">
        <v>342.2</v>
      </c>
      <c r="K234" s="252">
        <v>344.4</v>
      </c>
      <c r="L234" s="252">
        <v>343.8</v>
      </c>
    </row>
    <row r="235" spans="2:12" ht="15.75" customHeight="1">
      <c r="B235" s="479"/>
      <c r="C235" s="471" t="s">
        <v>888</v>
      </c>
      <c r="D235" s="478"/>
      <c r="E235" s="472"/>
      <c r="F235" s="251" t="s">
        <v>879</v>
      </c>
      <c r="G235" s="253">
        <v>2317.6999999999998</v>
      </c>
      <c r="H235" s="253">
        <v>2405.8000000000002</v>
      </c>
      <c r="I235" s="253">
        <v>2426.1999999999998</v>
      </c>
      <c r="J235" s="253">
        <v>2415.9</v>
      </c>
      <c r="K235" s="253">
        <v>2457.8000000000002</v>
      </c>
      <c r="L235" s="253">
        <v>2479.3000000000002</v>
      </c>
    </row>
    <row r="236" spans="2:12" ht="15.75" customHeight="1">
      <c r="B236" s="479"/>
      <c r="C236" s="471" t="s">
        <v>890</v>
      </c>
      <c r="D236" s="478"/>
      <c r="E236" s="472"/>
      <c r="F236" s="251" t="s">
        <v>879</v>
      </c>
      <c r="G236" s="252">
        <v>54697.1</v>
      </c>
      <c r="H236" s="252">
        <v>56432.9</v>
      </c>
      <c r="I236" s="252">
        <v>57669.9</v>
      </c>
      <c r="J236" s="252">
        <v>57429.5</v>
      </c>
      <c r="K236" s="252">
        <v>57962.1</v>
      </c>
      <c r="L236" s="252">
        <v>58992.6</v>
      </c>
    </row>
    <row r="237" spans="2:12" ht="15.75" customHeight="1">
      <c r="B237" s="479"/>
      <c r="C237" s="473" t="s">
        <v>890</v>
      </c>
      <c r="D237" s="471" t="s">
        <v>891</v>
      </c>
      <c r="E237" s="472"/>
      <c r="F237" s="251" t="s">
        <v>879</v>
      </c>
      <c r="G237" s="253">
        <v>6367.9</v>
      </c>
      <c r="H237" s="253">
        <v>6571.5</v>
      </c>
      <c r="I237" s="253">
        <v>6743.9</v>
      </c>
      <c r="J237" s="253">
        <v>6685</v>
      </c>
      <c r="K237" s="253">
        <v>6747.5</v>
      </c>
      <c r="L237" s="253">
        <v>6822.2</v>
      </c>
    </row>
    <row r="238" spans="2:12" ht="15.75" customHeight="1">
      <c r="B238" s="479"/>
      <c r="C238" s="479"/>
      <c r="D238" s="471" t="s">
        <v>893</v>
      </c>
      <c r="E238" s="472"/>
      <c r="F238" s="251" t="s">
        <v>879</v>
      </c>
      <c r="G238" s="252">
        <v>3379.7</v>
      </c>
      <c r="H238" s="252">
        <v>3543.9</v>
      </c>
      <c r="I238" s="252">
        <v>3629.3</v>
      </c>
      <c r="J238" s="252">
        <v>3636.4</v>
      </c>
      <c r="K238" s="252">
        <v>3719.4</v>
      </c>
      <c r="L238" s="252">
        <v>3850</v>
      </c>
    </row>
    <row r="239" spans="2:12" ht="15.75" customHeight="1">
      <c r="B239" s="479"/>
      <c r="C239" s="479"/>
      <c r="D239" s="471" t="s">
        <v>895</v>
      </c>
      <c r="E239" s="472"/>
      <c r="F239" s="251" t="s">
        <v>879</v>
      </c>
      <c r="G239" s="253">
        <v>3481.2</v>
      </c>
      <c r="H239" s="253">
        <v>3517.6</v>
      </c>
      <c r="I239" s="253">
        <v>3512.4</v>
      </c>
      <c r="J239" s="253">
        <v>3430.8</v>
      </c>
      <c r="K239" s="253">
        <v>3382.2</v>
      </c>
      <c r="L239" s="253">
        <v>3394.5</v>
      </c>
    </row>
    <row r="240" spans="2:12" ht="15.75" customHeight="1">
      <c r="B240" s="479"/>
      <c r="C240" s="479"/>
      <c r="D240" s="473" t="s">
        <v>895</v>
      </c>
      <c r="E240" s="257" t="s">
        <v>896</v>
      </c>
      <c r="F240" s="251" t="s">
        <v>879</v>
      </c>
      <c r="G240" s="252">
        <v>1100.5999999999999</v>
      </c>
      <c r="H240" s="252">
        <v>1111</v>
      </c>
      <c r="I240" s="252">
        <v>1104.8</v>
      </c>
      <c r="J240" s="252">
        <v>1073.9000000000001</v>
      </c>
      <c r="K240" s="252">
        <v>1048.7</v>
      </c>
      <c r="L240" s="252">
        <v>1045.7</v>
      </c>
    </row>
    <row r="241" spans="2:12" ht="15.75" customHeight="1">
      <c r="B241" s="479"/>
      <c r="C241" s="479"/>
      <c r="D241" s="479"/>
      <c r="E241" s="257" t="s">
        <v>898</v>
      </c>
      <c r="F241" s="251" t="s">
        <v>879</v>
      </c>
      <c r="G241" s="253">
        <v>1379.1</v>
      </c>
      <c r="H241" s="253">
        <v>1394.9</v>
      </c>
      <c r="I241" s="253">
        <v>1397.6</v>
      </c>
      <c r="J241" s="253">
        <v>1367.4</v>
      </c>
      <c r="K241" s="253">
        <v>1355.5</v>
      </c>
      <c r="L241" s="253">
        <v>1364.8</v>
      </c>
    </row>
    <row r="242" spans="2:12" ht="15.75" customHeight="1">
      <c r="B242" s="479"/>
      <c r="C242" s="479"/>
      <c r="D242" s="474"/>
      <c r="E242" s="257" t="s">
        <v>900</v>
      </c>
      <c r="F242" s="251" t="s">
        <v>879</v>
      </c>
      <c r="G242" s="252">
        <v>1001.5</v>
      </c>
      <c r="H242" s="252">
        <v>1011.7</v>
      </c>
      <c r="I242" s="252">
        <v>1010</v>
      </c>
      <c r="J242" s="252">
        <v>989.5</v>
      </c>
      <c r="K242" s="252">
        <v>978</v>
      </c>
      <c r="L242" s="252">
        <v>984</v>
      </c>
    </row>
    <row r="243" spans="2:12" ht="15.75" customHeight="1">
      <c r="B243" s="479"/>
      <c r="C243" s="479"/>
      <c r="D243" s="471" t="s">
        <v>902</v>
      </c>
      <c r="E243" s="472"/>
      <c r="F243" s="251" t="s">
        <v>879</v>
      </c>
      <c r="G243" s="253">
        <v>2088.3000000000002</v>
      </c>
      <c r="H243" s="253">
        <v>2208.3000000000002</v>
      </c>
      <c r="I243" s="253">
        <v>2287.6999999999998</v>
      </c>
      <c r="J243" s="253">
        <v>2282.8000000000002</v>
      </c>
      <c r="K243" s="253">
        <v>2292.3000000000002</v>
      </c>
      <c r="L243" s="253">
        <v>2279.9</v>
      </c>
    </row>
    <row r="244" spans="2:12" ht="15.75" customHeight="1">
      <c r="B244" s="479"/>
      <c r="C244" s="479"/>
      <c r="D244" s="471" t="s">
        <v>904</v>
      </c>
      <c r="E244" s="472"/>
      <c r="F244" s="251" t="s">
        <v>879</v>
      </c>
      <c r="G244" s="252">
        <v>3752.3</v>
      </c>
      <c r="H244" s="252">
        <v>3889</v>
      </c>
      <c r="I244" s="252">
        <v>3957</v>
      </c>
      <c r="J244" s="252">
        <v>3935.7</v>
      </c>
      <c r="K244" s="252">
        <v>3977.8</v>
      </c>
      <c r="L244" s="252">
        <v>4011.5</v>
      </c>
    </row>
    <row r="245" spans="2:12" ht="15.75" customHeight="1">
      <c r="B245" s="479"/>
      <c r="C245" s="479"/>
      <c r="D245" s="471" t="s">
        <v>906</v>
      </c>
      <c r="E245" s="472"/>
      <c r="F245" s="251" t="s">
        <v>879</v>
      </c>
      <c r="G245" s="253">
        <v>1880.6</v>
      </c>
      <c r="H245" s="253">
        <v>1951.4</v>
      </c>
      <c r="I245" s="253">
        <v>2011.7</v>
      </c>
      <c r="J245" s="253">
        <v>1988.9</v>
      </c>
      <c r="K245" s="253">
        <v>2035.2</v>
      </c>
      <c r="L245" s="253">
        <v>2067.6</v>
      </c>
    </row>
    <row r="246" spans="2:12" ht="15.75" customHeight="1">
      <c r="B246" s="479"/>
      <c r="C246" s="479"/>
      <c r="D246" s="471" t="s">
        <v>908</v>
      </c>
      <c r="E246" s="472"/>
      <c r="F246" s="251" t="s">
        <v>879</v>
      </c>
      <c r="G246" s="252">
        <v>5323.5</v>
      </c>
      <c r="H246" s="252">
        <v>5465.9</v>
      </c>
      <c r="I246" s="252">
        <v>5555.9</v>
      </c>
      <c r="J246" s="252">
        <v>5499.8</v>
      </c>
      <c r="K246" s="252">
        <v>5512.9</v>
      </c>
      <c r="L246" s="252">
        <v>5587.2</v>
      </c>
    </row>
    <row r="247" spans="2:12" ht="15.75" customHeight="1">
      <c r="B247" s="479"/>
      <c r="C247" s="479"/>
      <c r="D247" s="473" t="s">
        <v>908</v>
      </c>
      <c r="E247" s="257" t="s">
        <v>909</v>
      </c>
      <c r="F247" s="251" t="s">
        <v>879</v>
      </c>
      <c r="G247" s="253">
        <v>2412.1</v>
      </c>
      <c r="H247" s="253">
        <v>2476.9</v>
      </c>
      <c r="I247" s="253">
        <v>2519.6999999999998</v>
      </c>
      <c r="J247" s="253">
        <v>2498.6999999999998</v>
      </c>
      <c r="K247" s="253">
        <v>2510.6999999999998</v>
      </c>
      <c r="L247" s="253">
        <v>2552.9</v>
      </c>
    </row>
    <row r="248" spans="2:12" ht="15.75" customHeight="1">
      <c r="B248" s="479"/>
      <c r="C248" s="479"/>
      <c r="D248" s="474"/>
      <c r="E248" s="257" t="s">
        <v>911</v>
      </c>
      <c r="F248" s="251" t="s">
        <v>879</v>
      </c>
      <c r="G248" s="252">
        <v>2911.4</v>
      </c>
      <c r="H248" s="252">
        <v>2989</v>
      </c>
      <c r="I248" s="252">
        <v>3036.2</v>
      </c>
      <c r="J248" s="252">
        <v>3001.1</v>
      </c>
      <c r="K248" s="252">
        <v>3002.2</v>
      </c>
      <c r="L248" s="252">
        <v>3034.3</v>
      </c>
    </row>
    <row r="249" spans="2:12" ht="15.75" customHeight="1">
      <c r="B249" s="479"/>
      <c r="C249" s="479"/>
      <c r="D249" s="471" t="s">
        <v>913</v>
      </c>
      <c r="E249" s="472"/>
      <c r="F249" s="251" t="s">
        <v>879</v>
      </c>
      <c r="G249" s="253">
        <v>7918.2</v>
      </c>
      <c r="H249" s="253">
        <v>8164.3</v>
      </c>
      <c r="I249" s="253">
        <v>8327.2000000000007</v>
      </c>
      <c r="J249" s="253">
        <v>8199.2000000000007</v>
      </c>
      <c r="K249" s="253">
        <v>8189.2</v>
      </c>
      <c r="L249" s="253">
        <v>8280.4</v>
      </c>
    </row>
    <row r="250" spans="2:12" ht="15.75" customHeight="1">
      <c r="B250" s="479"/>
      <c r="C250" s="479"/>
      <c r="D250" s="473" t="s">
        <v>913</v>
      </c>
      <c r="E250" s="257" t="s">
        <v>914</v>
      </c>
      <c r="F250" s="251" t="s">
        <v>879</v>
      </c>
      <c r="G250" s="252">
        <v>2696.7</v>
      </c>
      <c r="H250" s="252">
        <v>2790.5</v>
      </c>
      <c r="I250" s="252">
        <v>2861.9</v>
      </c>
      <c r="J250" s="252">
        <v>2825</v>
      </c>
      <c r="K250" s="252">
        <v>2830</v>
      </c>
      <c r="L250" s="252">
        <v>2867.4</v>
      </c>
    </row>
    <row r="251" spans="2:12" ht="15.75" customHeight="1">
      <c r="B251" s="479"/>
      <c r="C251" s="479"/>
      <c r="D251" s="474"/>
      <c r="E251" s="257" t="s">
        <v>916</v>
      </c>
      <c r="F251" s="251" t="s">
        <v>879</v>
      </c>
      <c r="G251" s="253">
        <v>5221.5</v>
      </c>
      <c r="H251" s="253">
        <v>5373.8</v>
      </c>
      <c r="I251" s="253">
        <v>5465.3</v>
      </c>
      <c r="J251" s="253">
        <v>5374.2</v>
      </c>
      <c r="K251" s="253">
        <v>5359.2</v>
      </c>
      <c r="L251" s="253">
        <v>5413</v>
      </c>
    </row>
    <row r="252" spans="2:12" ht="15.75" customHeight="1">
      <c r="B252" s="479"/>
      <c r="C252" s="479"/>
      <c r="D252" s="471" t="s">
        <v>918</v>
      </c>
      <c r="E252" s="472"/>
      <c r="F252" s="251" t="s">
        <v>879</v>
      </c>
      <c r="G252" s="252">
        <v>2655.5</v>
      </c>
      <c r="H252" s="252">
        <v>2749.4</v>
      </c>
      <c r="I252" s="252">
        <v>2825.9</v>
      </c>
      <c r="J252" s="252">
        <v>2830.8</v>
      </c>
      <c r="K252" s="252">
        <v>2828.7</v>
      </c>
      <c r="L252" s="252">
        <v>2903</v>
      </c>
    </row>
    <row r="253" spans="2:12" ht="15.75" customHeight="1">
      <c r="B253" s="479"/>
      <c r="C253" s="479"/>
      <c r="D253" s="471" t="s">
        <v>920</v>
      </c>
      <c r="E253" s="472"/>
      <c r="F253" s="251" t="s">
        <v>879</v>
      </c>
      <c r="G253" s="253">
        <v>2509.8000000000002</v>
      </c>
      <c r="H253" s="253">
        <v>2615.5</v>
      </c>
      <c r="I253" s="253">
        <v>2672.6</v>
      </c>
      <c r="J253" s="253">
        <v>2649.8</v>
      </c>
      <c r="K253" s="253">
        <v>2635.8</v>
      </c>
      <c r="L253" s="253">
        <v>2622.6</v>
      </c>
    </row>
    <row r="254" spans="2:12" ht="15.75" customHeight="1">
      <c r="B254" s="479"/>
      <c r="C254" s="479"/>
      <c r="D254" s="471" t="s">
        <v>922</v>
      </c>
      <c r="E254" s="472"/>
      <c r="F254" s="251" t="s">
        <v>879</v>
      </c>
      <c r="G254" s="252">
        <v>5411.5</v>
      </c>
      <c r="H254" s="252">
        <v>5574.8</v>
      </c>
      <c r="I254" s="252">
        <v>5717.6</v>
      </c>
      <c r="J254" s="252">
        <v>5767.4</v>
      </c>
      <c r="K254" s="252">
        <v>5916.3</v>
      </c>
      <c r="L254" s="252">
        <v>6112.5</v>
      </c>
    </row>
    <row r="255" spans="2:12" ht="15.75" customHeight="1">
      <c r="B255" s="479"/>
      <c r="C255" s="479"/>
      <c r="D255" s="471" t="s">
        <v>924</v>
      </c>
      <c r="E255" s="472"/>
      <c r="F255" s="251" t="s">
        <v>879</v>
      </c>
      <c r="G255" s="253">
        <v>6406.5</v>
      </c>
      <c r="H255" s="253">
        <v>6588.5</v>
      </c>
      <c r="I255" s="253">
        <v>6867.7</v>
      </c>
      <c r="J255" s="253">
        <v>7071.9</v>
      </c>
      <c r="K255" s="253">
        <v>7329.3</v>
      </c>
      <c r="L255" s="253">
        <v>7675.6</v>
      </c>
    </row>
    <row r="256" spans="2:12" ht="15.75" customHeight="1">
      <c r="B256" s="479"/>
      <c r="C256" s="479"/>
      <c r="D256" s="473" t="s">
        <v>924</v>
      </c>
      <c r="E256" s="257" t="s">
        <v>925</v>
      </c>
      <c r="F256" s="251" t="s">
        <v>879</v>
      </c>
      <c r="G256" s="252">
        <v>4440.8</v>
      </c>
      <c r="H256" s="252">
        <v>4570.5</v>
      </c>
      <c r="I256" s="252">
        <v>4787.3</v>
      </c>
      <c r="J256" s="252">
        <v>4921.7</v>
      </c>
      <c r="K256" s="252">
        <v>5098.3999999999996</v>
      </c>
      <c r="L256" s="252">
        <v>5338.3</v>
      </c>
    </row>
    <row r="257" spans="2:12" ht="15.75" customHeight="1">
      <c r="B257" s="479"/>
      <c r="C257" s="479"/>
      <c r="D257" s="474"/>
      <c r="E257" s="257" t="s">
        <v>927</v>
      </c>
      <c r="F257" s="251" t="s">
        <v>879</v>
      </c>
      <c r="G257" s="253">
        <v>1965.7</v>
      </c>
      <c r="H257" s="253">
        <v>2018</v>
      </c>
      <c r="I257" s="253">
        <v>2080.4</v>
      </c>
      <c r="J257" s="253">
        <v>2150.1999999999998</v>
      </c>
      <c r="K257" s="253">
        <v>2230.9</v>
      </c>
      <c r="L257" s="253">
        <v>2337.3000000000002</v>
      </c>
    </row>
    <row r="258" spans="2:12" ht="15.75" customHeight="1">
      <c r="B258" s="479"/>
      <c r="C258" s="479"/>
      <c r="D258" s="471" t="s">
        <v>929</v>
      </c>
      <c r="E258" s="472"/>
      <c r="F258" s="251" t="s">
        <v>879</v>
      </c>
      <c r="G258" s="252">
        <v>3522.1</v>
      </c>
      <c r="H258" s="252">
        <v>3592.8</v>
      </c>
      <c r="I258" s="252">
        <v>3561</v>
      </c>
      <c r="J258" s="252">
        <v>3451</v>
      </c>
      <c r="K258" s="252">
        <v>3395.5</v>
      </c>
      <c r="L258" s="252">
        <v>3385.6</v>
      </c>
    </row>
    <row r="259" spans="2:12" ht="15.75" customHeight="1">
      <c r="B259" s="479"/>
      <c r="C259" s="479"/>
      <c r="D259" s="473" t="s">
        <v>929</v>
      </c>
      <c r="E259" s="257" t="s">
        <v>930</v>
      </c>
      <c r="F259" s="251" t="s">
        <v>879</v>
      </c>
      <c r="G259" s="253">
        <v>2144.3000000000002</v>
      </c>
      <c r="H259" s="253">
        <v>2192.1999999999998</v>
      </c>
      <c r="I259" s="253">
        <v>2182.4</v>
      </c>
      <c r="J259" s="253">
        <v>2123.1999999999998</v>
      </c>
      <c r="K259" s="253">
        <v>2101.9</v>
      </c>
      <c r="L259" s="253">
        <v>2102.3000000000002</v>
      </c>
    </row>
    <row r="260" spans="2:12" ht="15.75" customHeight="1">
      <c r="B260" s="479"/>
      <c r="C260" s="474"/>
      <c r="D260" s="474"/>
      <c r="E260" s="257" t="s">
        <v>932</v>
      </c>
      <c r="F260" s="251" t="s">
        <v>879</v>
      </c>
      <c r="G260" s="252">
        <v>1377.8</v>
      </c>
      <c r="H260" s="252">
        <v>1400.6</v>
      </c>
      <c r="I260" s="252">
        <v>1378.6</v>
      </c>
      <c r="J260" s="252">
        <v>1327.8</v>
      </c>
      <c r="K260" s="252">
        <v>1293.5999999999999</v>
      </c>
      <c r="L260" s="252">
        <v>1283.3</v>
      </c>
    </row>
    <row r="261" spans="2:12" ht="15.75" customHeight="1">
      <c r="B261" s="479"/>
      <c r="C261" s="471" t="s">
        <v>934</v>
      </c>
      <c r="D261" s="478"/>
      <c r="E261" s="472"/>
      <c r="F261" s="251" t="s">
        <v>879</v>
      </c>
      <c r="G261" s="253">
        <v>13543</v>
      </c>
      <c r="H261" s="253">
        <v>14270</v>
      </c>
      <c r="I261" s="253">
        <v>14525</v>
      </c>
      <c r="J261" s="253">
        <v>14608</v>
      </c>
      <c r="K261" s="253">
        <v>14656</v>
      </c>
      <c r="L261" s="253">
        <v>14619</v>
      </c>
    </row>
    <row r="262" spans="2:12" ht="15.75" customHeight="1">
      <c r="B262" s="479"/>
      <c r="C262" s="471" t="s">
        <v>936</v>
      </c>
      <c r="D262" s="478"/>
      <c r="E262" s="472"/>
      <c r="F262" s="251" t="s">
        <v>879</v>
      </c>
      <c r="G262" s="252">
        <v>3842.6</v>
      </c>
      <c r="H262" s="252">
        <v>3968.2</v>
      </c>
      <c r="I262" s="252">
        <v>4100.7</v>
      </c>
      <c r="J262" s="252">
        <v>4053.4</v>
      </c>
      <c r="K262" s="252">
        <v>4054.3</v>
      </c>
      <c r="L262" s="252">
        <v>4118</v>
      </c>
    </row>
    <row r="263" spans="2:12" ht="15.75" customHeight="1">
      <c r="B263" s="479"/>
      <c r="C263" s="473" t="s">
        <v>936</v>
      </c>
      <c r="D263" s="471" t="s">
        <v>937</v>
      </c>
      <c r="E263" s="472"/>
      <c r="F263" s="251" t="s">
        <v>879</v>
      </c>
      <c r="G263" s="253">
        <v>1774.6</v>
      </c>
      <c r="H263" s="253">
        <v>1838.1</v>
      </c>
      <c r="I263" s="253">
        <v>1895.6</v>
      </c>
      <c r="J263" s="253">
        <v>1880.8</v>
      </c>
      <c r="K263" s="253">
        <v>1892.6</v>
      </c>
      <c r="L263" s="253">
        <v>1926.1</v>
      </c>
    </row>
    <row r="264" spans="2:12" ht="15.75" customHeight="1">
      <c r="B264" s="479"/>
      <c r="C264" s="474"/>
      <c r="D264" s="471" t="s">
        <v>939</v>
      </c>
      <c r="E264" s="472"/>
      <c r="F264" s="251" t="s">
        <v>879</v>
      </c>
      <c r="G264" s="252">
        <v>2068</v>
      </c>
      <c r="H264" s="252">
        <v>2130.1</v>
      </c>
      <c r="I264" s="252">
        <v>2205.1</v>
      </c>
      <c r="J264" s="252">
        <v>2172.6</v>
      </c>
      <c r="K264" s="252">
        <v>2161.6999999999998</v>
      </c>
      <c r="L264" s="252">
        <v>2191.9</v>
      </c>
    </row>
    <row r="265" spans="2:12" ht="15.75" customHeight="1">
      <c r="B265" s="479"/>
      <c r="C265" s="471" t="s">
        <v>941</v>
      </c>
      <c r="D265" s="478"/>
      <c r="E265" s="472"/>
      <c r="F265" s="251" t="s">
        <v>879</v>
      </c>
      <c r="G265" s="253">
        <v>8320.9</v>
      </c>
      <c r="H265" s="253">
        <v>8530.2999999999993</v>
      </c>
      <c r="I265" s="253">
        <v>8355.1</v>
      </c>
      <c r="J265" s="253">
        <v>7988.8</v>
      </c>
      <c r="K265" s="253">
        <v>7764.3</v>
      </c>
      <c r="L265" s="253">
        <v>7608.3</v>
      </c>
    </row>
    <row r="266" spans="2:12" ht="15.75" customHeight="1">
      <c r="B266" s="479"/>
      <c r="C266" s="471" t="s">
        <v>943</v>
      </c>
      <c r="D266" s="478"/>
      <c r="E266" s="472"/>
      <c r="F266" s="251" t="s">
        <v>879</v>
      </c>
      <c r="G266" s="252">
        <v>17040</v>
      </c>
      <c r="H266" s="252">
        <v>17332.900000000001</v>
      </c>
      <c r="I266" s="252">
        <v>17433.8</v>
      </c>
      <c r="J266" s="252">
        <v>16914.3</v>
      </c>
      <c r="K266" s="252">
        <v>16590.7</v>
      </c>
      <c r="L266" s="252">
        <v>16510.7</v>
      </c>
    </row>
    <row r="267" spans="2:12" ht="15.75" customHeight="1">
      <c r="B267" s="479"/>
      <c r="C267" s="257" t="s">
        <v>943</v>
      </c>
      <c r="D267" s="471" t="s">
        <v>945</v>
      </c>
      <c r="E267" s="472"/>
      <c r="F267" s="251" t="s">
        <v>879</v>
      </c>
      <c r="G267" s="253">
        <v>8286.2999999999993</v>
      </c>
      <c r="H267" s="253">
        <v>8394.7999999999993</v>
      </c>
      <c r="I267" s="253">
        <v>8395.7999999999993</v>
      </c>
      <c r="J267" s="253">
        <v>8102.5</v>
      </c>
      <c r="K267" s="253">
        <v>7917.6</v>
      </c>
      <c r="L267" s="253">
        <v>7868.4</v>
      </c>
    </row>
    <row r="268" spans="2:12" ht="15.75" customHeight="1">
      <c r="B268" s="479"/>
      <c r="C268" s="471" t="s">
        <v>946</v>
      </c>
      <c r="D268" s="478"/>
      <c r="E268" s="472"/>
      <c r="F268" s="251" t="s">
        <v>879</v>
      </c>
      <c r="G268" s="252">
        <v>20824.400000000001</v>
      </c>
      <c r="H268" s="252">
        <v>21124.6</v>
      </c>
      <c r="I268" s="252">
        <v>21694.5</v>
      </c>
      <c r="J268" s="252">
        <v>21556</v>
      </c>
      <c r="K268" s="252">
        <v>21422.9</v>
      </c>
      <c r="L268" s="252">
        <v>21508.1</v>
      </c>
    </row>
    <row r="269" spans="2:12" ht="15.75" customHeight="1">
      <c r="B269" s="479"/>
      <c r="C269" s="473" t="s">
        <v>946</v>
      </c>
      <c r="D269" s="471" t="s">
        <v>947</v>
      </c>
      <c r="E269" s="472"/>
      <c r="F269" s="251" t="s">
        <v>879</v>
      </c>
      <c r="G269" s="253">
        <v>6999.6</v>
      </c>
      <c r="H269" s="253">
        <v>7094.1</v>
      </c>
      <c r="I269" s="253">
        <v>7302.3</v>
      </c>
      <c r="J269" s="253">
        <v>7113.9</v>
      </c>
      <c r="K269" s="253">
        <v>6939.5</v>
      </c>
      <c r="L269" s="253">
        <v>6933.8</v>
      </c>
    </row>
    <row r="270" spans="2:12" ht="15.75" customHeight="1">
      <c r="B270" s="479"/>
      <c r="C270" s="479"/>
      <c r="D270" s="471" t="s">
        <v>949</v>
      </c>
      <c r="E270" s="472"/>
      <c r="F270" s="251" t="s">
        <v>879</v>
      </c>
      <c r="G270" s="252">
        <v>4264.3</v>
      </c>
      <c r="H270" s="252">
        <v>4025.4</v>
      </c>
      <c r="I270" s="252">
        <v>4231.8</v>
      </c>
      <c r="J270" s="252">
        <v>4319.6000000000004</v>
      </c>
      <c r="K270" s="252">
        <v>4347.5</v>
      </c>
      <c r="L270" s="252">
        <v>4365.3999999999996</v>
      </c>
    </row>
    <row r="271" spans="2:12" ht="15.75" customHeight="1">
      <c r="B271" s="479"/>
      <c r="C271" s="479"/>
      <c r="D271" s="471" t="s">
        <v>951</v>
      </c>
      <c r="E271" s="472"/>
      <c r="F271" s="251" t="s">
        <v>879</v>
      </c>
      <c r="G271" s="253">
        <v>309.5</v>
      </c>
      <c r="H271" s="253">
        <v>291.89999999999998</v>
      </c>
      <c r="I271" s="253">
        <v>306.3</v>
      </c>
      <c r="J271" s="253">
        <v>312.5</v>
      </c>
      <c r="K271" s="253">
        <v>314.39999999999998</v>
      </c>
      <c r="L271" s="253">
        <v>316.10000000000002</v>
      </c>
    </row>
    <row r="272" spans="2:12" ht="15.75" customHeight="1">
      <c r="B272" s="479"/>
      <c r="C272" s="479"/>
      <c r="D272" s="471" t="s">
        <v>953</v>
      </c>
      <c r="E272" s="472"/>
      <c r="F272" s="251" t="s">
        <v>879</v>
      </c>
      <c r="G272" s="252">
        <v>8700.2000000000007</v>
      </c>
      <c r="H272" s="252">
        <v>9148</v>
      </c>
      <c r="I272" s="252">
        <v>9300.2000000000007</v>
      </c>
      <c r="J272" s="252">
        <v>9270.2999999999993</v>
      </c>
      <c r="K272" s="252">
        <v>9291.1</v>
      </c>
      <c r="L272" s="252">
        <v>9356.5</v>
      </c>
    </row>
    <row r="273" spans="2:12" ht="15.75" customHeight="1">
      <c r="B273" s="479"/>
      <c r="C273" s="474"/>
      <c r="D273" s="471" t="s">
        <v>955</v>
      </c>
      <c r="E273" s="472"/>
      <c r="F273" s="251" t="s">
        <v>879</v>
      </c>
      <c r="G273" s="253">
        <v>550.79999999999995</v>
      </c>
      <c r="H273" s="253">
        <v>565.20000000000005</v>
      </c>
      <c r="I273" s="253">
        <v>553.79999999999995</v>
      </c>
      <c r="J273" s="253">
        <v>539.70000000000005</v>
      </c>
      <c r="K273" s="253">
        <v>530.4</v>
      </c>
      <c r="L273" s="253">
        <v>536.29999999999995</v>
      </c>
    </row>
    <row r="274" spans="2:12" ht="15.75" customHeight="1">
      <c r="B274" s="479"/>
      <c r="C274" s="471" t="s">
        <v>957</v>
      </c>
      <c r="D274" s="478"/>
      <c r="E274" s="472"/>
      <c r="F274" s="251" t="s">
        <v>879</v>
      </c>
      <c r="G274" s="252">
        <v>6257.7</v>
      </c>
      <c r="H274" s="252">
        <v>6387.2</v>
      </c>
      <c r="I274" s="252">
        <v>6468.6</v>
      </c>
      <c r="J274" s="252">
        <v>6303.8</v>
      </c>
      <c r="K274" s="252">
        <v>6212.5</v>
      </c>
      <c r="L274" s="252">
        <v>6146.7</v>
      </c>
    </row>
    <row r="275" spans="2:12" ht="15.75" customHeight="1">
      <c r="B275" s="479"/>
      <c r="C275" s="471" t="s">
        <v>958</v>
      </c>
      <c r="D275" s="478"/>
      <c r="E275" s="472"/>
      <c r="F275" s="251" t="s">
        <v>879</v>
      </c>
      <c r="G275" s="253">
        <v>13616.3</v>
      </c>
      <c r="H275" s="253">
        <v>13895.7</v>
      </c>
      <c r="I275" s="253">
        <v>14148.5</v>
      </c>
      <c r="J275" s="253">
        <v>14344.6</v>
      </c>
      <c r="K275" s="253">
        <v>14812.5</v>
      </c>
      <c r="L275" s="253">
        <v>16363.3</v>
      </c>
    </row>
    <row r="276" spans="2:12" ht="15.75" customHeight="1">
      <c r="B276" s="479"/>
      <c r="C276" s="473" t="s">
        <v>958</v>
      </c>
      <c r="D276" s="471" t="s">
        <v>959</v>
      </c>
      <c r="E276" s="472"/>
      <c r="F276" s="251" t="s">
        <v>879</v>
      </c>
      <c r="G276" s="252">
        <v>2696</v>
      </c>
      <c r="H276" s="252">
        <v>2799.9</v>
      </c>
      <c r="I276" s="252">
        <v>2874</v>
      </c>
      <c r="J276" s="252">
        <v>2856.4</v>
      </c>
      <c r="K276" s="252">
        <v>2837</v>
      </c>
      <c r="L276" s="252">
        <v>3311</v>
      </c>
    </row>
    <row r="277" spans="2:12" ht="15.75" customHeight="1">
      <c r="B277" s="479"/>
      <c r="C277" s="479"/>
      <c r="D277" s="473" t="s">
        <v>959</v>
      </c>
      <c r="E277" s="257" t="s">
        <v>960</v>
      </c>
      <c r="F277" s="251" t="s">
        <v>879</v>
      </c>
      <c r="G277" s="253">
        <v>363.1</v>
      </c>
      <c r="H277" s="253">
        <v>373.3</v>
      </c>
      <c r="I277" s="253">
        <v>393.6</v>
      </c>
      <c r="J277" s="253">
        <v>390.4</v>
      </c>
      <c r="K277" s="253">
        <v>387.6</v>
      </c>
      <c r="L277" s="253">
        <v>388.8</v>
      </c>
    </row>
    <row r="278" spans="2:12" ht="15.75" customHeight="1">
      <c r="B278" s="479"/>
      <c r="C278" s="479"/>
      <c r="D278" s="474"/>
      <c r="E278" s="257" t="s">
        <v>962</v>
      </c>
      <c r="F278" s="251" t="s">
        <v>879</v>
      </c>
      <c r="G278" s="252">
        <v>2332.9</v>
      </c>
      <c r="H278" s="252">
        <v>2426.6</v>
      </c>
      <c r="I278" s="252">
        <v>2480.4</v>
      </c>
      <c r="J278" s="252">
        <v>2466</v>
      </c>
      <c r="K278" s="252">
        <v>2449.4</v>
      </c>
      <c r="L278" s="252">
        <v>2922.2</v>
      </c>
    </row>
    <row r="279" spans="2:12" ht="15.75" customHeight="1">
      <c r="B279" s="479"/>
      <c r="C279" s="479"/>
      <c r="D279" s="471" t="s">
        <v>964</v>
      </c>
      <c r="E279" s="472"/>
      <c r="F279" s="251" t="s">
        <v>879</v>
      </c>
      <c r="G279" s="253">
        <v>4888.7</v>
      </c>
      <c r="H279" s="253">
        <v>5027.8</v>
      </c>
      <c r="I279" s="253">
        <v>5292.5</v>
      </c>
      <c r="J279" s="253">
        <v>5535.5</v>
      </c>
      <c r="K279" s="253">
        <v>5889.4</v>
      </c>
      <c r="L279" s="253">
        <v>6517.4</v>
      </c>
    </row>
    <row r="280" spans="2:12" ht="15.75" customHeight="1">
      <c r="B280" s="479"/>
      <c r="C280" s="474"/>
      <c r="D280" s="471" t="s">
        <v>966</v>
      </c>
      <c r="E280" s="472"/>
      <c r="F280" s="251" t="s">
        <v>879</v>
      </c>
      <c r="G280" s="252">
        <v>6031.6</v>
      </c>
      <c r="H280" s="252">
        <v>6068</v>
      </c>
      <c r="I280" s="252">
        <v>5982</v>
      </c>
      <c r="J280" s="252">
        <v>5952.7</v>
      </c>
      <c r="K280" s="252">
        <v>6086.1</v>
      </c>
      <c r="L280" s="252">
        <v>6534.9</v>
      </c>
    </row>
    <row r="281" spans="2:12" ht="15.75" customHeight="1">
      <c r="B281" s="479"/>
      <c r="C281" s="471" t="s">
        <v>968</v>
      </c>
      <c r="D281" s="478"/>
      <c r="E281" s="472"/>
      <c r="F281" s="251" t="s">
        <v>879</v>
      </c>
      <c r="G281" s="253">
        <v>5397.8</v>
      </c>
      <c r="H281" s="253">
        <v>5497.5</v>
      </c>
      <c r="I281" s="253">
        <v>5417.2</v>
      </c>
      <c r="J281" s="253">
        <v>5342.4</v>
      </c>
      <c r="K281" s="253">
        <v>5289.9</v>
      </c>
      <c r="L281" s="253">
        <v>5344.1</v>
      </c>
    </row>
    <row r="282" spans="2:12" ht="15.75" customHeight="1">
      <c r="B282" s="479"/>
      <c r="C282" s="473" t="s">
        <v>968</v>
      </c>
      <c r="D282" s="471" t="s">
        <v>969</v>
      </c>
      <c r="E282" s="472"/>
      <c r="F282" s="251" t="s">
        <v>879</v>
      </c>
      <c r="G282" s="252">
        <v>4503.3</v>
      </c>
      <c r="H282" s="252">
        <v>4597.3</v>
      </c>
      <c r="I282" s="252">
        <v>4529.6000000000004</v>
      </c>
      <c r="J282" s="252">
        <v>4470.8</v>
      </c>
      <c r="K282" s="252">
        <v>4427.8</v>
      </c>
      <c r="L282" s="252">
        <v>4464.1000000000004</v>
      </c>
    </row>
    <row r="283" spans="2:12" ht="15.75" customHeight="1">
      <c r="B283" s="479"/>
      <c r="C283" s="479"/>
      <c r="D283" s="471" t="s">
        <v>971</v>
      </c>
      <c r="E283" s="472"/>
      <c r="F283" s="251" t="s">
        <v>879</v>
      </c>
      <c r="G283" s="253">
        <v>416.5</v>
      </c>
      <c r="H283" s="253">
        <v>420.4</v>
      </c>
      <c r="I283" s="253">
        <v>413.8</v>
      </c>
      <c r="J283" s="253">
        <v>406.4</v>
      </c>
      <c r="K283" s="253">
        <v>401.5</v>
      </c>
      <c r="L283" s="253">
        <v>408.4</v>
      </c>
    </row>
    <row r="284" spans="2:12" ht="15.75" customHeight="1">
      <c r="B284" s="479"/>
      <c r="C284" s="474"/>
      <c r="D284" s="471" t="s">
        <v>973</v>
      </c>
      <c r="E284" s="472"/>
      <c r="F284" s="251" t="s">
        <v>879</v>
      </c>
      <c r="G284" s="252">
        <v>478</v>
      </c>
      <c r="H284" s="252">
        <v>479.8</v>
      </c>
      <c r="I284" s="252">
        <v>473.8</v>
      </c>
      <c r="J284" s="252">
        <v>465.3</v>
      </c>
      <c r="K284" s="252">
        <v>460.6</v>
      </c>
      <c r="L284" s="252">
        <v>471.6</v>
      </c>
    </row>
    <row r="285" spans="2:12" ht="15.75" customHeight="1">
      <c r="B285" s="479"/>
      <c r="C285" s="471" t="s">
        <v>975</v>
      </c>
      <c r="D285" s="478"/>
      <c r="E285" s="472"/>
      <c r="F285" s="251" t="s">
        <v>879</v>
      </c>
      <c r="G285" s="253">
        <v>63421</v>
      </c>
      <c r="H285" s="253">
        <v>66356</v>
      </c>
      <c r="I285" s="253">
        <v>68466</v>
      </c>
      <c r="J285" s="253">
        <v>69381</v>
      </c>
      <c r="K285" s="253">
        <v>70125</v>
      </c>
      <c r="L285" s="253">
        <v>70925</v>
      </c>
    </row>
    <row r="286" spans="2:12" ht="15.75" customHeight="1">
      <c r="B286" s="479"/>
      <c r="C286" s="257" t="s">
        <v>975</v>
      </c>
      <c r="D286" s="471" t="s">
        <v>977</v>
      </c>
      <c r="E286" s="472"/>
      <c r="F286" s="251" t="s">
        <v>879</v>
      </c>
      <c r="G286" s="252" t="s">
        <v>978</v>
      </c>
      <c r="H286" s="252" t="s">
        <v>978</v>
      </c>
      <c r="I286" s="252" t="s">
        <v>978</v>
      </c>
      <c r="J286" s="252">
        <v>0</v>
      </c>
      <c r="K286" s="252" t="s">
        <v>978</v>
      </c>
      <c r="L286" s="252" t="s">
        <v>978</v>
      </c>
    </row>
    <row r="287" spans="2:12" ht="15.75" customHeight="1">
      <c r="B287" s="479"/>
      <c r="C287" s="471" t="s">
        <v>979</v>
      </c>
      <c r="D287" s="478"/>
      <c r="E287" s="472"/>
      <c r="F287" s="251" t="s">
        <v>879</v>
      </c>
      <c r="G287" s="253">
        <v>13499</v>
      </c>
      <c r="H287" s="253">
        <v>13648.4</v>
      </c>
      <c r="I287" s="253">
        <v>13660.9</v>
      </c>
      <c r="J287" s="253">
        <v>13728.9</v>
      </c>
      <c r="K287" s="253">
        <v>14024.2</v>
      </c>
      <c r="L287" s="253">
        <v>14275.6</v>
      </c>
    </row>
    <row r="288" spans="2:12" ht="15.75" customHeight="1">
      <c r="B288" s="479"/>
      <c r="C288" s="473" t="s">
        <v>979</v>
      </c>
      <c r="D288" s="471" t="s">
        <v>980</v>
      </c>
      <c r="E288" s="472"/>
      <c r="F288" s="251" t="s">
        <v>879</v>
      </c>
      <c r="G288" s="252">
        <v>3545.6</v>
      </c>
      <c r="H288" s="252">
        <v>3627.7</v>
      </c>
      <c r="I288" s="252">
        <v>3694.8</v>
      </c>
      <c r="J288" s="252">
        <v>3621.1</v>
      </c>
      <c r="K288" s="252">
        <v>3714</v>
      </c>
      <c r="L288" s="252">
        <v>3852.2</v>
      </c>
    </row>
    <row r="289" spans="2:12" ht="15.75" customHeight="1">
      <c r="B289" s="479"/>
      <c r="C289" s="479"/>
      <c r="D289" s="473" t="s">
        <v>980</v>
      </c>
      <c r="E289" s="257" t="s">
        <v>981</v>
      </c>
      <c r="F289" s="251" t="s">
        <v>879</v>
      </c>
      <c r="G289" s="253">
        <v>2435.4</v>
      </c>
      <c r="H289" s="253">
        <v>2483.4</v>
      </c>
      <c r="I289" s="253">
        <v>2527</v>
      </c>
      <c r="J289" s="253">
        <v>2475.6</v>
      </c>
      <c r="K289" s="253">
        <v>2547.4</v>
      </c>
      <c r="L289" s="253">
        <v>2654.6</v>
      </c>
    </row>
    <row r="290" spans="2:12" ht="15.75" customHeight="1">
      <c r="B290" s="479"/>
      <c r="C290" s="479"/>
      <c r="D290" s="474"/>
      <c r="E290" s="257" t="s">
        <v>983</v>
      </c>
      <c r="F290" s="251" t="s">
        <v>879</v>
      </c>
      <c r="G290" s="252">
        <v>1110.2</v>
      </c>
      <c r="H290" s="252">
        <v>1144.3</v>
      </c>
      <c r="I290" s="252">
        <v>1167.8</v>
      </c>
      <c r="J290" s="252">
        <v>1145.5</v>
      </c>
      <c r="K290" s="252">
        <v>1166.5999999999999</v>
      </c>
      <c r="L290" s="252">
        <v>1197.5999999999999</v>
      </c>
    </row>
    <row r="291" spans="2:12" ht="15.75" customHeight="1">
      <c r="B291" s="479"/>
      <c r="C291" s="479"/>
      <c r="D291" s="471" t="s">
        <v>985</v>
      </c>
      <c r="E291" s="472"/>
      <c r="F291" s="251" t="s">
        <v>879</v>
      </c>
      <c r="G291" s="253">
        <v>8906.1</v>
      </c>
      <c r="H291" s="253">
        <v>8951.7999999999993</v>
      </c>
      <c r="I291" s="253">
        <v>8846.4</v>
      </c>
      <c r="J291" s="253">
        <v>8990.4</v>
      </c>
      <c r="K291" s="253">
        <v>9175.7999999999993</v>
      </c>
      <c r="L291" s="253">
        <v>9257.5</v>
      </c>
    </row>
    <row r="292" spans="2:12" ht="15.75" customHeight="1">
      <c r="B292" s="479"/>
      <c r="C292" s="479"/>
      <c r="D292" s="471" t="s">
        <v>987</v>
      </c>
      <c r="E292" s="472"/>
      <c r="F292" s="251" t="s">
        <v>879</v>
      </c>
      <c r="G292" s="252">
        <v>1047.3</v>
      </c>
      <c r="H292" s="252">
        <v>1068.9000000000001</v>
      </c>
      <c r="I292" s="252">
        <v>1119.7</v>
      </c>
      <c r="J292" s="252">
        <v>1117.4000000000001</v>
      </c>
      <c r="K292" s="252">
        <v>1134.4000000000001</v>
      </c>
      <c r="L292" s="252">
        <v>1165.9000000000001</v>
      </c>
    </row>
    <row r="293" spans="2:12" ht="15.75" customHeight="1">
      <c r="B293" s="479"/>
      <c r="C293" s="479"/>
      <c r="D293" s="473" t="s">
        <v>987</v>
      </c>
      <c r="E293" s="257" t="s">
        <v>988</v>
      </c>
      <c r="F293" s="251" t="s">
        <v>879</v>
      </c>
      <c r="G293" s="253">
        <v>257.39999999999998</v>
      </c>
      <c r="H293" s="253">
        <v>259.5</v>
      </c>
      <c r="I293" s="253">
        <v>271.10000000000002</v>
      </c>
      <c r="J293" s="253">
        <v>268.8</v>
      </c>
      <c r="K293" s="253">
        <v>270.60000000000002</v>
      </c>
      <c r="L293" s="253">
        <v>275.2</v>
      </c>
    </row>
    <row r="294" spans="2:12" ht="15.75" customHeight="1">
      <c r="B294" s="479"/>
      <c r="C294" s="474"/>
      <c r="D294" s="474"/>
      <c r="E294" s="257" t="s">
        <v>990</v>
      </c>
      <c r="F294" s="251" t="s">
        <v>879</v>
      </c>
      <c r="G294" s="252">
        <v>790</v>
      </c>
      <c r="H294" s="252">
        <v>809.4</v>
      </c>
      <c r="I294" s="252">
        <v>848.7</v>
      </c>
      <c r="J294" s="252">
        <v>848.7</v>
      </c>
      <c r="K294" s="252">
        <v>863.8</v>
      </c>
      <c r="L294" s="252">
        <v>890.8</v>
      </c>
    </row>
    <row r="295" spans="2:12" ht="15.75" customHeight="1">
      <c r="B295" s="479"/>
      <c r="C295" s="471" t="s">
        <v>992</v>
      </c>
      <c r="D295" s="478"/>
      <c r="E295" s="472"/>
      <c r="F295" s="251" t="s">
        <v>879</v>
      </c>
      <c r="G295" s="253">
        <v>7667.5</v>
      </c>
      <c r="H295" s="253">
        <v>7563.7</v>
      </c>
      <c r="I295" s="253">
        <v>7765.5</v>
      </c>
      <c r="J295" s="253">
        <v>7563.9</v>
      </c>
      <c r="K295" s="253">
        <v>7380.9</v>
      </c>
      <c r="L295" s="253">
        <v>7495.5</v>
      </c>
    </row>
    <row r="296" spans="2:12" ht="15.75" customHeight="1">
      <c r="B296" s="479"/>
      <c r="C296" s="473" t="s">
        <v>992</v>
      </c>
      <c r="D296" s="471" t="s">
        <v>993</v>
      </c>
      <c r="E296" s="472"/>
      <c r="F296" s="251" t="s">
        <v>879</v>
      </c>
      <c r="G296" s="252">
        <v>5618</v>
      </c>
      <c r="H296" s="252">
        <v>5467.3</v>
      </c>
      <c r="I296" s="252">
        <v>5583</v>
      </c>
      <c r="J296" s="252">
        <v>5402.1</v>
      </c>
      <c r="K296" s="252">
        <v>5179.2</v>
      </c>
      <c r="L296" s="252">
        <v>5204</v>
      </c>
    </row>
    <row r="297" spans="2:12" ht="15.75" customHeight="1">
      <c r="B297" s="479"/>
      <c r="C297" s="479"/>
      <c r="D297" s="471" t="s">
        <v>995</v>
      </c>
      <c r="E297" s="472"/>
      <c r="F297" s="251" t="s">
        <v>879</v>
      </c>
      <c r="G297" s="253">
        <v>151.9</v>
      </c>
      <c r="H297" s="253">
        <v>152.5</v>
      </c>
      <c r="I297" s="253">
        <v>155.80000000000001</v>
      </c>
      <c r="J297" s="253">
        <v>157.5</v>
      </c>
      <c r="K297" s="253">
        <v>165.4</v>
      </c>
      <c r="L297" s="253">
        <v>179.1</v>
      </c>
    </row>
    <row r="298" spans="2:12" ht="15.75" customHeight="1">
      <c r="B298" s="479"/>
      <c r="C298" s="479"/>
      <c r="D298" s="471" t="s">
        <v>997</v>
      </c>
      <c r="E298" s="472"/>
      <c r="F298" s="251" t="s">
        <v>879</v>
      </c>
      <c r="G298" s="252">
        <v>133.19999999999999</v>
      </c>
      <c r="H298" s="252">
        <v>136.1</v>
      </c>
      <c r="I298" s="252">
        <v>141.9</v>
      </c>
      <c r="J298" s="252">
        <v>141.30000000000001</v>
      </c>
      <c r="K298" s="252">
        <v>144.4</v>
      </c>
      <c r="L298" s="252">
        <v>151.5</v>
      </c>
    </row>
    <row r="299" spans="2:12" ht="15.75" customHeight="1">
      <c r="B299" s="479"/>
      <c r="C299" s="474"/>
      <c r="D299" s="471" t="s">
        <v>999</v>
      </c>
      <c r="E299" s="472"/>
      <c r="F299" s="251" t="s">
        <v>879</v>
      </c>
      <c r="G299" s="253">
        <v>1764.5</v>
      </c>
      <c r="H299" s="253">
        <v>1807.8</v>
      </c>
      <c r="I299" s="253">
        <v>1884.8</v>
      </c>
      <c r="J299" s="253">
        <v>1863</v>
      </c>
      <c r="K299" s="253">
        <v>1891.9</v>
      </c>
      <c r="L299" s="253">
        <v>1960.9</v>
      </c>
    </row>
    <row r="300" spans="2:12" ht="15.75" customHeight="1">
      <c r="B300" s="479"/>
      <c r="C300" s="471" t="s">
        <v>1001</v>
      </c>
      <c r="D300" s="478"/>
      <c r="E300" s="472"/>
      <c r="F300" s="251" t="s">
        <v>879</v>
      </c>
      <c r="G300" s="252">
        <v>26093</v>
      </c>
      <c r="H300" s="252">
        <v>27347</v>
      </c>
      <c r="I300" s="252">
        <v>27545</v>
      </c>
      <c r="J300" s="252">
        <v>27337</v>
      </c>
      <c r="K300" s="252">
        <v>27121</v>
      </c>
      <c r="L300" s="252">
        <v>27107</v>
      </c>
    </row>
    <row r="301" spans="2:12" ht="15.75" customHeight="1">
      <c r="B301" s="479"/>
      <c r="C301" s="471" t="s">
        <v>1003</v>
      </c>
      <c r="D301" s="478"/>
      <c r="E301" s="472"/>
      <c r="F301" s="251" t="s">
        <v>879</v>
      </c>
      <c r="G301" s="253">
        <v>2257.6</v>
      </c>
      <c r="H301" s="253">
        <v>2312.9</v>
      </c>
      <c r="I301" s="253">
        <v>2345.4</v>
      </c>
      <c r="J301" s="253">
        <v>2302.1999999999998</v>
      </c>
      <c r="K301" s="253">
        <v>2291.4</v>
      </c>
      <c r="L301" s="253">
        <v>2248.6</v>
      </c>
    </row>
    <row r="302" spans="2:12" ht="15.75" customHeight="1">
      <c r="B302" s="479"/>
      <c r="C302" s="471" t="s">
        <v>1005</v>
      </c>
      <c r="D302" s="478"/>
      <c r="E302" s="472"/>
      <c r="F302" s="251" t="s">
        <v>879</v>
      </c>
      <c r="G302" s="252">
        <v>7472</v>
      </c>
      <c r="H302" s="252">
        <v>7770.5</v>
      </c>
      <c r="I302" s="252">
        <v>7918.8</v>
      </c>
      <c r="J302" s="252">
        <v>7772.2</v>
      </c>
      <c r="K302" s="252">
        <v>7762.8</v>
      </c>
      <c r="L302" s="252">
        <v>7825.3</v>
      </c>
    </row>
    <row r="303" spans="2:12" ht="15.75" customHeight="1">
      <c r="B303" s="479"/>
      <c r="C303" s="473" t="s">
        <v>1005</v>
      </c>
      <c r="D303" s="471" t="s">
        <v>1006</v>
      </c>
      <c r="E303" s="472"/>
      <c r="F303" s="251" t="s">
        <v>879</v>
      </c>
      <c r="G303" s="253">
        <v>6897.3</v>
      </c>
      <c r="H303" s="253">
        <v>7178.4</v>
      </c>
      <c r="I303" s="253">
        <v>7297.4</v>
      </c>
      <c r="J303" s="253">
        <v>7141</v>
      </c>
      <c r="K303" s="253">
        <v>7122</v>
      </c>
      <c r="L303" s="253">
        <v>7177.1</v>
      </c>
    </row>
    <row r="304" spans="2:12" ht="15.75" customHeight="1">
      <c r="B304" s="479"/>
      <c r="C304" s="474"/>
      <c r="D304" s="471" t="s">
        <v>1008</v>
      </c>
      <c r="E304" s="472"/>
      <c r="F304" s="251" t="s">
        <v>879</v>
      </c>
      <c r="G304" s="252">
        <v>574.70000000000005</v>
      </c>
      <c r="H304" s="252">
        <v>592.1</v>
      </c>
      <c r="I304" s="252">
        <v>621.4</v>
      </c>
      <c r="J304" s="252">
        <v>631.20000000000005</v>
      </c>
      <c r="K304" s="252">
        <v>640.79999999999995</v>
      </c>
      <c r="L304" s="252">
        <v>648.20000000000005</v>
      </c>
    </row>
    <row r="305" spans="2:12" ht="15.75" customHeight="1">
      <c r="B305" s="479"/>
      <c r="C305" s="471" t="s">
        <v>1010</v>
      </c>
      <c r="D305" s="478"/>
      <c r="E305" s="472"/>
      <c r="F305" s="251" t="s">
        <v>879</v>
      </c>
      <c r="G305" s="253">
        <v>3128.6</v>
      </c>
      <c r="H305" s="253">
        <v>3067</v>
      </c>
      <c r="I305" s="253">
        <v>3112.1</v>
      </c>
      <c r="J305" s="253">
        <v>3068.7</v>
      </c>
      <c r="K305" s="253">
        <v>3075.4</v>
      </c>
      <c r="L305" s="253">
        <v>3361.7</v>
      </c>
    </row>
    <row r="306" spans="2:12" ht="15.75" customHeight="1">
      <c r="B306" s="479"/>
      <c r="C306" s="473" t="s">
        <v>1010</v>
      </c>
      <c r="D306" s="471" t="s">
        <v>1011</v>
      </c>
      <c r="E306" s="472"/>
      <c r="F306" s="251" t="s">
        <v>879</v>
      </c>
      <c r="G306" s="252">
        <v>1889.8</v>
      </c>
      <c r="H306" s="252">
        <v>1877.4</v>
      </c>
      <c r="I306" s="252">
        <v>1893.6</v>
      </c>
      <c r="J306" s="252">
        <v>1874.3</v>
      </c>
      <c r="K306" s="252">
        <v>1888.3</v>
      </c>
      <c r="L306" s="252">
        <v>2168.8000000000002</v>
      </c>
    </row>
    <row r="307" spans="2:12" ht="15.75" customHeight="1">
      <c r="B307" s="479"/>
      <c r="C307" s="474"/>
      <c r="D307" s="471" t="s">
        <v>1013</v>
      </c>
      <c r="E307" s="472"/>
      <c r="F307" s="251" t="s">
        <v>879</v>
      </c>
      <c r="G307" s="253">
        <v>1238.8</v>
      </c>
      <c r="H307" s="253">
        <v>1189.5999999999999</v>
      </c>
      <c r="I307" s="253">
        <v>1218.5</v>
      </c>
      <c r="J307" s="253">
        <v>1194.4000000000001</v>
      </c>
      <c r="K307" s="253">
        <v>1187.0999999999999</v>
      </c>
      <c r="L307" s="253">
        <v>1192.9000000000001</v>
      </c>
    </row>
    <row r="308" spans="2:12" ht="15.75" customHeight="1">
      <c r="B308" s="479"/>
      <c r="C308" s="471" t="s">
        <v>1015</v>
      </c>
      <c r="D308" s="478"/>
      <c r="E308" s="472"/>
      <c r="F308" s="251" t="s">
        <v>879</v>
      </c>
      <c r="G308" s="252">
        <v>1540.1</v>
      </c>
      <c r="H308" s="252">
        <v>1594.8</v>
      </c>
      <c r="I308" s="252">
        <v>1637.1</v>
      </c>
      <c r="J308" s="252">
        <v>1626.9</v>
      </c>
      <c r="K308" s="252">
        <v>1644.5</v>
      </c>
      <c r="L308" s="252">
        <v>1666</v>
      </c>
    </row>
    <row r="309" spans="2:12" ht="15.75" customHeight="1">
      <c r="B309" s="479"/>
      <c r="C309" s="473" t="s">
        <v>1015</v>
      </c>
      <c r="D309" s="471" t="s">
        <v>1016</v>
      </c>
      <c r="E309" s="472"/>
      <c r="F309" s="251" t="s">
        <v>879</v>
      </c>
      <c r="G309" s="253">
        <v>316.60000000000002</v>
      </c>
      <c r="H309" s="253">
        <v>328.2</v>
      </c>
      <c r="I309" s="253">
        <v>337.3</v>
      </c>
      <c r="J309" s="253">
        <v>337</v>
      </c>
      <c r="K309" s="253">
        <v>343.5</v>
      </c>
      <c r="L309" s="253">
        <v>348.8</v>
      </c>
    </row>
    <row r="310" spans="2:12" ht="15.75" customHeight="1">
      <c r="B310" s="479"/>
      <c r="C310" s="479"/>
      <c r="D310" s="471" t="s">
        <v>1018</v>
      </c>
      <c r="E310" s="472"/>
      <c r="F310" s="251" t="s">
        <v>879</v>
      </c>
      <c r="G310" s="252">
        <v>105.7</v>
      </c>
      <c r="H310" s="252">
        <v>106.8</v>
      </c>
      <c r="I310" s="252">
        <v>105.8</v>
      </c>
      <c r="J310" s="252">
        <v>105.6</v>
      </c>
      <c r="K310" s="252">
        <v>106.8</v>
      </c>
      <c r="L310" s="252">
        <v>110</v>
      </c>
    </row>
    <row r="311" spans="2:12" ht="15.75" customHeight="1">
      <c r="B311" s="479"/>
      <c r="C311" s="474"/>
      <c r="D311" s="471" t="s">
        <v>1020</v>
      </c>
      <c r="E311" s="472"/>
      <c r="F311" s="251" t="s">
        <v>879</v>
      </c>
      <c r="G311" s="253">
        <v>1117.8</v>
      </c>
      <c r="H311" s="253">
        <v>1159.8</v>
      </c>
      <c r="I311" s="253">
        <v>1194</v>
      </c>
      <c r="J311" s="253">
        <v>1184.3</v>
      </c>
      <c r="K311" s="253">
        <v>1194.2</v>
      </c>
      <c r="L311" s="253">
        <v>1207.2</v>
      </c>
    </row>
    <row r="312" spans="2:12" ht="15.75" customHeight="1">
      <c r="B312" s="479"/>
      <c r="C312" s="471" t="s">
        <v>1022</v>
      </c>
      <c r="D312" s="478"/>
      <c r="E312" s="472"/>
      <c r="F312" s="251" t="s">
        <v>879</v>
      </c>
      <c r="G312" s="252">
        <v>0</v>
      </c>
      <c r="H312" s="252">
        <v>0</v>
      </c>
      <c r="I312" s="252">
        <v>0</v>
      </c>
      <c r="J312" s="252">
        <v>0</v>
      </c>
      <c r="K312" s="252">
        <v>0</v>
      </c>
      <c r="L312" s="252">
        <v>0</v>
      </c>
    </row>
    <row r="313" spans="2:12" ht="15.75" customHeight="1">
      <c r="B313" s="474"/>
      <c r="C313" s="471" t="s">
        <v>1024</v>
      </c>
      <c r="D313" s="478"/>
      <c r="E313" s="472"/>
      <c r="F313" s="251" t="s">
        <v>879</v>
      </c>
      <c r="G313" s="253">
        <v>0</v>
      </c>
      <c r="H313" s="253">
        <v>0</v>
      </c>
      <c r="I313" s="253">
        <v>0</v>
      </c>
      <c r="J313" s="253">
        <v>0</v>
      </c>
      <c r="K313" s="253">
        <v>0</v>
      </c>
      <c r="L313" s="253">
        <v>0</v>
      </c>
    </row>
    <row r="314" spans="2:12" ht="15.75" customHeight="1">
      <c r="B314" s="271" t="s">
        <v>1029</v>
      </c>
      <c r="C314" s="36"/>
      <c r="D314" s="36"/>
      <c r="E314" s="36"/>
      <c r="F314" s="36"/>
      <c r="G314" s="36"/>
      <c r="H314" s="36"/>
      <c r="I314" s="36"/>
      <c r="J314" s="36"/>
      <c r="K314" s="36"/>
      <c r="L314" s="36"/>
    </row>
    <row r="315" spans="2:12" ht="15.75" customHeight="1"/>
    <row r="316" spans="2:12" ht="15.75" customHeight="1"/>
    <row r="317" spans="2:12" ht="15.75" customHeight="1"/>
    <row r="318" spans="2:12" ht="15.75" customHeight="1"/>
    <row r="319" spans="2:12" ht="15.75" customHeight="1"/>
    <row r="320" spans="2:12"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0">
    <mergeCell ref="O91:O93"/>
    <mergeCell ref="R92:R93"/>
    <mergeCell ref="R94:R98"/>
    <mergeCell ref="O95:O100"/>
    <mergeCell ref="O33:S33"/>
    <mergeCell ref="O76:O78"/>
    <mergeCell ref="R76:R78"/>
    <mergeCell ref="R79:R80"/>
    <mergeCell ref="O80:O88"/>
    <mergeCell ref="R81:R88"/>
    <mergeCell ref="R63:R65"/>
    <mergeCell ref="O66:O70"/>
    <mergeCell ref="R66:R68"/>
    <mergeCell ref="R69:R70"/>
    <mergeCell ref="O72:O75"/>
    <mergeCell ref="R72:R75"/>
    <mergeCell ref="X6:AV6"/>
    <mergeCell ref="C313:E313"/>
    <mergeCell ref="C223:L223"/>
    <mergeCell ref="O34:Q34"/>
    <mergeCell ref="R34:S34"/>
    <mergeCell ref="O35:Q35"/>
    <mergeCell ref="O36:O38"/>
    <mergeCell ref="R36:R38"/>
    <mergeCell ref="O40:O44"/>
    <mergeCell ref="R40:R44"/>
    <mergeCell ref="O46:O58"/>
    <mergeCell ref="R46:R54"/>
    <mergeCell ref="R55:R56"/>
    <mergeCell ref="R57:R58"/>
    <mergeCell ref="O60:O61"/>
    <mergeCell ref="R60:R61"/>
    <mergeCell ref="O63:O65"/>
    <mergeCell ref="C309:C311"/>
    <mergeCell ref="D309:E309"/>
    <mergeCell ref="D310:E310"/>
    <mergeCell ref="D311:E311"/>
    <mergeCell ref="C312:E312"/>
    <mergeCell ref="C305:E305"/>
    <mergeCell ref="C306:C307"/>
    <mergeCell ref="D306:E306"/>
    <mergeCell ref="D307:E307"/>
    <mergeCell ref="C308:E308"/>
    <mergeCell ref="C300:E300"/>
    <mergeCell ref="C301:E301"/>
    <mergeCell ref="C302:E302"/>
    <mergeCell ref="C303:C304"/>
    <mergeCell ref="D303:E303"/>
    <mergeCell ref="D304:E304"/>
    <mergeCell ref="C295:E295"/>
    <mergeCell ref="C296:C299"/>
    <mergeCell ref="D296:E296"/>
    <mergeCell ref="D297:E297"/>
    <mergeCell ref="D298:E298"/>
    <mergeCell ref="D299:E299"/>
    <mergeCell ref="C285:E285"/>
    <mergeCell ref="D286:E286"/>
    <mergeCell ref="C287:E287"/>
    <mergeCell ref="C288:C294"/>
    <mergeCell ref="D288:E288"/>
    <mergeCell ref="D289:D290"/>
    <mergeCell ref="D291:E291"/>
    <mergeCell ref="D292:E292"/>
    <mergeCell ref="D293:D294"/>
    <mergeCell ref="C281:E281"/>
    <mergeCell ref="C282:C284"/>
    <mergeCell ref="D282:E282"/>
    <mergeCell ref="D283:E283"/>
    <mergeCell ref="D284:E284"/>
    <mergeCell ref="C274:E274"/>
    <mergeCell ref="C275:E275"/>
    <mergeCell ref="C276:C280"/>
    <mergeCell ref="D276:E276"/>
    <mergeCell ref="D277:D278"/>
    <mergeCell ref="D279:E279"/>
    <mergeCell ref="D280:E280"/>
    <mergeCell ref="C266:E266"/>
    <mergeCell ref="D267:E267"/>
    <mergeCell ref="C268:E268"/>
    <mergeCell ref="C269:C273"/>
    <mergeCell ref="D269:E269"/>
    <mergeCell ref="D270:E270"/>
    <mergeCell ref="D271:E271"/>
    <mergeCell ref="D272:E272"/>
    <mergeCell ref="D273:E273"/>
    <mergeCell ref="C263:C264"/>
    <mergeCell ref="D263:E263"/>
    <mergeCell ref="D264:E264"/>
    <mergeCell ref="D253:E253"/>
    <mergeCell ref="D254:E254"/>
    <mergeCell ref="D255:E255"/>
    <mergeCell ref="D256:D257"/>
    <mergeCell ref="D258:E258"/>
    <mergeCell ref="C265:E265"/>
    <mergeCell ref="D246:E246"/>
    <mergeCell ref="D247:D248"/>
    <mergeCell ref="D249:E249"/>
    <mergeCell ref="D250:D251"/>
    <mergeCell ref="D252:E252"/>
    <mergeCell ref="B231:B313"/>
    <mergeCell ref="C231:E231"/>
    <mergeCell ref="C232:C234"/>
    <mergeCell ref="D232:E232"/>
    <mergeCell ref="D233:E233"/>
    <mergeCell ref="D234:E234"/>
    <mergeCell ref="C235:E235"/>
    <mergeCell ref="C236:E236"/>
    <mergeCell ref="C237:C260"/>
    <mergeCell ref="D237:E237"/>
    <mergeCell ref="D238:E238"/>
    <mergeCell ref="D239:E239"/>
    <mergeCell ref="D240:D242"/>
    <mergeCell ref="D243:E243"/>
    <mergeCell ref="D244:E244"/>
    <mergeCell ref="D245:E245"/>
    <mergeCell ref="D259:D260"/>
    <mergeCell ref="C261:E261"/>
    <mergeCell ref="C262:E262"/>
    <mergeCell ref="B227:F227"/>
    <mergeCell ref="G227:L227"/>
    <mergeCell ref="B228:F228"/>
    <mergeCell ref="B229:E229"/>
    <mergeCell ref="B230:E230"/>
    <mergeCell ref="B224:F224"/>
    <mergeCell ref="G224:L224"/>
    <mergeCell ref="B225:F225"/>
    <mergeCell ref="G225:L225"/>
    <mergeCell ref="B226:F226"/>
    <mergeCell ref="G226:L226"/>
    <mergeCell ref="C218:E218"/>
    <mergeCell ref="C128:L128"/>
    <mergeCell ref="P139:P143"/>
    <mergeCell ref="P145:P153"/>
    <mergeCell ref="P154:P155"/>
    <mergeCell ref="P156:P157"/>
    <mergeCell ref="P159:P160"/>
    <mergeCell ref="P162:P164"/>
    <mergeCell ref="P165:P167"/>
    <mergeCell ref="P168:P169"/>
    <mergeCell ref="P171:P174"/>
    <mergeCell ref="P175:P177"/>
    <mergeCell ref="P178:P179"/>
    <mergeCell ref="P180:P188"/>
    <mergeCell ref="P191:P192"/>
    <mergeCell ref="P193:P197"/>
    <mergeCell ref="C214:C216"/>
    <mergeCell ref="D214:E214"/>
    <mergeCell ref="D215:E215"/>
    <mergeCell ref="D216:E216"/>
    <mergeCell ref="C217:E217"/>
    <mergeCell ref="C210:E210"/>
    <mergeCell ref="C211:C212"/>
    <mergeCell ref="D211:E211"/>
    <mergeCell ref="D212:E212"/>
    <mergeCell ref="C213:E213"/>
    <mergeCell ref="C205:E205"/>
    <mergeCell ref="C206:E206"/>
    <mergeCell ref="C207:E207"/>
    <mergeCell ref="C208:C209"/>
    <mergeCell ref="D208:E208"/>
    <mergeCell ref="D209:E209"/>
    <mergeCell ref="C200:E200"/>
    <mergeCell ref="C201:C204"/>
    <mergeCell ref="D201:E201"/>
    <mergeCell ref="D202:E202"/>
    <mergeCell ref="D203:E203"/>
    <mergeCell ref="D204:E204"/>
    <mergeCell ref="C190:E190"/>
    <mergeCell ref="D191:E191"/>
    <mergeCell ref="C192:E192"/>
    <mergeCell ref="C193:C199"/>
    <mergeCell ref="D193:E193"/>
    <mergeCell ref="D194:D195"/>
    <mergeCell ref="D196:E196"/>
    <mergeCell ref="D197:E197"/>
    <mergeCell ref="D198:D199"/>
    <mergeCell ref="C186:E186"/>
    <mergeCell ref="C187:C189"/>
    <mergeCell ref="D187:E187"/>
    <mergeCell ref="D188:E188"/>
    <mergeCell ref="D189:E189"/>
    <mergeCell ref="C179:E179"/>
    <mergeCell ref="C180:E180"/>
    <mergeCell ref="C181:C185"/>
    <mergeCell ref="D181:E181"/>
    <mergeCell ref="D182:D183"/>
    <mergeCell ref="D184:E184"/>
    <mergeCell ref="D185:E185"/>
    <mergeCell ref="C174:C178"/>
    <mergeCell ref="D174:E174"/>
    <mergeCell ref="D175:E175"/>
    <mergeCell ref="D176:E176"/>
    <mergeCell ref="D177:E177"/>
    <mergeCell ref="D178:E178"/>
    <mergeCell ref="C168:C169"/>
    <mergeCell ref="D168:E168"/>
    <mergeCell ref="D169:E169"/>
    <mergeCell ref="C170:E170"/>
    <mergeCell ref="C171:E171"/>
    <mergeCell ref="C166:E166"/>
    <mergeCell ref="C167:E167"/>
    <mergeCell ref="D155:D156"/>
    <mergeCell ref="D157:E157"/>
    <mergeCell ref="D158:E158"/>
    <mergeCell ref="D159:E159"/>
    <mergeCell ref="D160:E160"/>
    <mergeCell ref="D172:E172"/>
    <mergeCell ref="C173:E173"/>
    <mergeCell ref="D149:E149"/>
    <mergeCell ref="D150:E150"/>
    <mergeCell ref="D151:E151"/>
    <mergeCell ref="D152:D153"/>
    <mergeCell ref="D154:E154"/>
    <mergeCell ref="B134:E134"/>
    <mergeCell ref="B135:E135"/>
    <mergeCell ref="B136:B218"/>
    <mergeCell ref="C136:E136"/>
    <mergeCell ref="C137:C139"/>
    <mergeCell ref="D137:E137"/>
    <mergeCell ref="D138:E138"/>
    <mergeCell ref="D139:E139"/>
    <mergeCell ref="C140:E140"/>
    <mergeCell ref="C141:E141"/>
    <mergeCell ref="C142:C165"/>
    <mergeCell ref="D142:E142"/>
    <mergeCell ref="D143:E143"/>
    <mergeCell ref="D144:E144"/>
    <mergeCell ref="D145:D147"/>
    <mergeCell ref="D148:E148"/>
    <mergeCell ref="D161:D162"/>
    <mergeCell ref="D163:E163"/>
    <mergeCell ref="D164:D165"/>
    <mergeCell ref="B131:F131"/>
    <mergeCell ref="G131:L131"/>
    <mergeCell ref="B132:F132"/>
    <mergeCell ref="G132:L132"/>
    <mergeCell ref="B133:F133"/>
    <mergeCell ref="C123:E123"/>
    <mergeCell ref="C33:L33"/>
    <mergeCell ref="B129:F129"/>
    <mergeCell ref="G129:L129"/>
    <mergeCell ref="B130:F130"/>
    <mergeCell ref="G130:L130"/>
    <mergeCell ref="C119:C121"/>
    <mergeCell ref="D119:E119"/>
    <mergeCell ref="D120:E120"/>
    <mergeCell ref="D121:E121"/>
    <mergeCell ref="C122:E122"/>
    <mergeCell ref="C115:E115"/>
    <mergeCell ref="C116:C117"/>
    <mergeCell ref="D116:E116"/>
    <mergeCell ref="D117:E117"/>
    <mergeCell ref="C118:E118"/>
    <mergeCell ref="C110:E110"/>
    <mergeCell ref="C111:E111"/>
    <mergeCell ref="C112:E112"/>
    <mergeCell ref="C113:C114"/>
    <mergeCell ref="D113:E113"/>
    <mergeCell ref="D114:E114"/>
    <mergeCell ref="C105:E105"/>
    <mergeCell ref="C106:C109"/>
    <mergeCell ref="D106:E106"/>
    <mergeCell ref="D107:E107"/>
    <mergeCell ref="D108:E108"/>
    <mergeCell ref="D109:E109"/>
    <mergeCell ref="C95:E95"/>
    <mergeCell ref="D96:E96"/>
    <mergeCell ref="C97:E97"/>
    <mergeCell ref="C98:C104"/>
    <mergeCell ref="D98:E98"/>
    <mergeCell ref="D99:D100"/>
    <mergeCell ref="D101:E101"/>
    <mergeCell ref="D102:E102"/>
    <mergeCell ref="D103:D104"/>
    <mergeCell ref="C91:E91"/>
    <mergeCell ref="C92:C94"/>
    <mergeCell ref="D92:E92"/>
    <mergeCell ref="D93:E93"/>
    <mergeCell ref="D94:E94"/>
    <mergeCell ref="C84:E84"/>
    <mergeCell ref="C85:E85"/>
    <mergeCell ref="C86:C90"/>
    <mergeCell ref="D86:E86"/>
    <mergeCell ref="D87:D88"/>
    <mergeCell ref="D89:E89"/>
    <mergeCell ref="D90:E90"/>
    <mergeCell ref="C79:C83"/>
    <mergeCell ref="D79:E79"/>
    <mergeCell ref="D80:E80"/>
    <mergeCell ref="D81:E81"/>
    <mergeCell ref="D82:E82"/>
    <mergeCell ref="D83:E83"/>
    <mergeCell ref="C73:C74"/>
    <mergeCell ref="D73:E73"/>
    <mergeCell ref="D74:E74"/>
    <mergeCell ref="C75:E75"/>
    <mergeCell ref="C76:E76"/>
    <mergeCell ref="C71:E71"/>
    <mergeCell ref="C72:E72"/>
    <mergeCell ref="D60:D61"/>
    <mergeCell ref="D62:E62"/>
    <mergeCell ref="D63:E63"/>
    <mergeCell ref="D64:E64"/>
    <mergeCell ref="D65:E65"/>
    <mergeCell ref="D77:E77"/>
    <mergeCell ref="C78:E78"/>
    <mergeCell ref="D54:E54"/>
    <mergeCell ref="D55:E55"/>
    <mergeCell ref="D56:E56"/>
    <mergeCell ref="D57:D58"/>
    <mergeCell ref="D59:E59"/>
    <mergeCell ref="B39:E39"/>
    <mergeCell ref="B40:E40"/>
    <mergeCell ref="B41:B123"/>
    <mergeCell ref="C41:E41"/>
    <mergeCell ref="C42:C44"/>
    <mergeCell ref="D42:E42"/>
    <mergeCell ref="D43:E43"/>
    <mergeCell ref="D44:E44"/>
    <mergeCell ref="C45:E45"/>
    <mergeCell ref="C46:E46"/>
    <mergeCell ref="C47:C70"/>
    <mergeCell ref="D47:E47"/>
    <mergeCell ref="D48:E48"/>
    <mergeCell ref="D49:E49"/>
    <mergeCell ref="D50:D52"/>
    <mergeCell ref="D53:E53"/>
    <mergeCell ref="D66:D67"/>
    <mergeCell ref="D68:E68"/>
    <mergeCell ref="D69:D70"/>
    <mergeCell ref="B36:F36"/>
    <mergeCell ref="G36:L36"/>
    <mergeCell ref="B37:F37"/>
    <mergeCell ref="G37:L37"/>
    <mergeCell ref="B38:F38"/>
    <mergeCell ref="C7:F7"/>
    <mergeCell ref="B34:F34"/>
    <mergeCell ref="G34:L34"/>
    <mergeCell ref="B35:F35"/>
    <mergeCell ref="G35:L35"/>
  </mergeCells>
  <hyperlinks>
    <hyperlink ref="B33" r:id="rId1" display="http://localhost/OECDStat_Metadata/ShowMetadata.ashx?Dataset=SNA_TABLE6A&amp;ShowOnWeb=true&amp;Lang=en" xr:uid="{F3924FAE-2050-4301-8122-F609D0E07528}"/>
    <hyperlink ref="G34" r:id="rId2" display="http://localhost/OECDStat_Metadata/ShowMetadata.ashx?Dataset=SNA_TABLE6A&amp;Coords=[LOCATION].[ITA]&amp;ShowOnWeb=true&amp;Lang=en" xr:uid="{56E4A9B7-28A9-4B44-A753-8F051AC11125}"/>
    <hyperlink ref="F39" r:id="rId3" display="http://localhost/OECDStat_Metadata/ShowMetadata.ashx?Dataset=SNA_TABLE6A&amp;Coords=[LOCATION].[ITA],[TRANSACT].[B2N_B3NA],[MEASURE].[C]&amp;ShowOnWeb=true&amp;Lang=en" xr:uid="{0B6AC154-F965-47CC-9D07-75E7D7A1BB75}"/>
    <hyperlink ref="B124" r:id="rId4" display="https://stats-3.oecd.org/index.aspx?DatasetCode=SNA_TABLE6A" xr:uid="{A33A474A-CF2A-491A-BCEF-590AE15CCA2B}"/>
    <hyperlink ref="B128" r:id="rId5" display="http://stats.oecd.org/OECDStat_Metadata/ShowMetadata.ashx?Dataset=SNA_TABLE6A&amp;ShowOnWeb=true&amp;Lang=en" xr:uid="{A7607E0D-1013-4733-B5E4-C10EDAD9694D}"/>
    <hyperlink ref="G129" r:id="rId6" display="http://stats.oecd.org/OECDStat_Metadata/ShowMetadata.ashx?Dataset=SNA_TABLE6A&amp;Coords=[LOCATION].[ITA]&amp;ShowOnWeb=true&amp;Lang=en" xr:uid="{CBDF51CD-6D0E-4FB9-B653-FAADC87C1C25}"/>
    <hyperlink ref="B219" r:id="rId7" display="https://stats-1.oecd.org/index.aspx?DatasetCode=SNA_TABLE6A" xr:uid="{9B9FBEB2-C9E0-4FC7-963E-5D4DC716B889}"/>
    <hyperlink ref="F134" r:id="rId8" display="http://localhost/OECDStat_Metadata/ShowMetadata.ashx?Dataset=SNA_TABLE6A&amp;Coords=[LOCATION].[ITA],[TRANSACT].[B2N_B3NA],[MEASURE].[C]&amp;ShowOnWeb=true&amp;Lang=en" xr:uid="{5CC21F6F-F239-4550-B082-DEFFB8B828E9}"/>
    <hyperlink ref="B223" r:id="rId9" display="http://stats.oecd.org/OECDStat_Metadata/ShowMetadata.ashx?Dataset=SNA_TABLE6A&amp;ShowOnWeb=true&amp;Lang=en" xr:uid="{76DB222B-0485-4252-AD5D-6CD756D12A77}"/>
    <hyperlink ref="G224" r:id="rId10" display="http://stats.oecd.org/OECDStat_Metadata/ShowMetadata.ashx?Dataset=SNA_TABLE6A&amp;Coords=[LOCATION].[ITA]&amp;ShowOnWeb=true&amp;Lang=en" xr:uid="{77860B30-CDEF-428A-B4F8-83D1ED5D25C4}"/>
    <hyperlink ref="F229" r:id="rId11" display="http://stats.oecd.org/OECDStat_Metadata/ShowMetadata.ashx?Dataset=SNA_TABLE6A&amp;Coords=[LOCATION].[ITA],[TRANSACT].[K1A],[MEASURE].[C]&amp;ShowOnWeb=true&amp;Lang=en" xr:uid="{8D6DC3CD-6C9E-4CE4-81A0-A3203F302E44}"/>
    <hyperlink ref="B314" r:id="rId12" display="https://stats-1.oecd.org/index.aspx?DatasetCode=SNA_TABLE6A" xr:uid="{2D34A98C-9E8B-4D68-9534-88284F71B13E}"/>
  </hyperlinks>
  <pageMargins left="0.7" right="0.7" top="0.75" bottom="0.75" header="0" footer="0"/>
  <pageSetup orientation="landscape"/>
  <legacyDrawing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theme="4" tint="0.79998168889431442"/>
  </sheetPr>
  <dimension ref="A1:R1001"/>
  <sheetViews>
    <sheetView zoomScale="130" zoomScaleNormal="130" workbookViewId="0">
      <selection activeCell="L43" sqref="L43"/>
    </sheetView>
  </sheetViews>
  <sheetFormatPr defaultColWidth="10" defaultRowHeight="15" customHeight="1"/>
  <cols>
    <col min="18" max="18" width="11.75" customWidth="1"/>
  </cols>
  <sheetData>
    <row r="1" spans="1:18" ht="14.5">
      <c r="A1" s="206" t="s">
        <v>195</v>
      </c>
    </row>
    <row r="2" spans="1:18" ht="14.5">
      <c r="A2" s="334"/>
      <c r="B2" s="335" t="s">
        <v>99</v>
      </c>
      <c r="C2" s="335" t="s">
        <v>102</v>
      </c>
      <c r="D2" s="335" t="s">
        <v>105</v>
      </c>
      <c r="E2" s="335" t="s">
        <v>196</v>
      </c>
      <c r="F2" s="335" t="s">
        <v>110</v>
      </c>
      <c r="G2" s="335" t="s">
        <v>112</v>
      </c>
      <c r="H2" s="335" t="s">
        <v>114</v>
      </c>
      <c r="I2" s="335" t="s">
        <v>116</v>
      </c>
      <c r="J2" s="335" t="s">
        <v>197</v>
      </c>
      <c r="K2" s="335" t="s">
        <v>121</v>
      </c>
      <c r="L2" s="335" t="s">
        <v>123</v>
      </c>
      <c r="M2" s="335" t="s">
        <v>126</v>
      </c>
      <c r="N2" s="335" t="s">
        <v>129</v>
      </c>
      <c r="O2" s="335" t="s">
        <v>131</v>
      </c>
      <c r="P2" s="335" t="s">
        <v>134</v>
      </c>
      <c r="Q2" s="336" t="s">
        <v>198</v>
      </c>
    </row>
    <row r="3" spans="1:18" ht="14.5">
      <c r="A3" s="337" t="s">
        <v>139</v>
      </c>
      <c r="B3">
        <v>0.80856339454117898</v>
      </c>
      <c r="C3" s="176">
        <v>3.6229470983162201E-5</v>
      </c>
      <c r="D3">
        <v>0</v>
      </c>
      <c r="E3">
        <v>0</v>
      </c>
      <c r="F3" s="176">
        <v>1.9008404879480599E-8</v>
      </c>
      <c r="G3">
        <v>1.22312201183126E-2</v>
      </c>
      <c r="H3" s="176">
        <v>4.4159523738595501E-6</v>
      </c>
      <c r="I3">
        <v>4.3145903063601197E-3</v>
      </c>
      <c r="J3">
        <v>0</v>
      </c>
      <c r="K3">
        <v>0</v>
      </c>
      <c r="L3">
        <v>0</v>
      </c>
      <c r="M3">
        <v>0.11387251586753799</v>
      </c>
      <c r="N3">
        <v>0</v>
      </c>
      <c r="O3">
        <v>6.0973436331986902E-2</v>
      </c>
      <c r="P3" s="176">
        <v>0</v>
      </c>
      <c r="Q3" s="176">
        <v>4.1784028618383498E-6</v>
      </c>
      <c r="R3" s="338">
        <f>SUM(B3:Q3)</f>
        <v>1.0000000000000004</v>
      </c>
    </row>
    <row r="4" spans="1:18" ht="14.5">
      <c r="A4" s="337" t="s">
        <v>37</v>
      </c>
      <c r="B4">
        <v>0</v>
      </c>
      <c r="C4">
        <v>0</v>
      </c>
      <c r="D4">
        <v>0</v>
      </c>
      <c r="E4">
        <v>0.122877920040116</v>
      </c>
      <c r="F4">
        <v>0.24545902039235801</v>
      </c>
      <c r="G4">
        <v>0.55530243231634202</v>
      </c>
      <c r="H4">
        <v>0</v>
      </c>
      <c r="I4">
        <v>0</v>
      </c>
      <c r="J4">
        <v>0</v>
      </c>
      <c r="K4">
        <v>0</v>
      </c>
      <c r="L4">
        <v>0</v>
      </c>
      <c r="M4">
        <v>5.4342633083399899E-2</v>
      </c>
      <c r="N4">
        <v>0</v>
      </c>
      <c r="O4">
        <v>0</v>
      </c>
      <c r="P4">
        <v>0</v>
      </c>
      <c r="Q4">
        <v>2.2017994167784601E-2</v>
      </c>
      <c r="R4" s="338">
        <f t="shared" ref="R4:R23" si="0">SUM(B4:Q4)</f>
        <v>1.0000000000000004</v>
      </c>
    </row>
    <row r="5" spans="1:18" ht="14.5">
      <c r="A5" s="337" t="s">
        <v>140</v>
      </c>
      <c r="B5">
        <v>0.33127068484829603</v>
      </c>
      <c r="C5">
        <v>0.12757980177721001</v>
      </c>
      <c r="D5">
        <v>0.191762781623697</v>
      </c>
      <c r="E5">
        <v>3.7296376677295301E-3</v>
      </c>
      <c r="F5" s="176">
        <v>7.9869189356126997E-7</v>
      </c>
      <c r="G5" s="176">
        <v>6.2166609940054302E-6</v>
      </c>
      <c r="H5">
        <v>0.13913980085140401</v>
      </c>
      <c r="I5">
        <v>3.7736473405641201E-2</v>
      </c>
      <c r="J5">
        <v>3.8648036844232701E-2</v>
      </c>
      <c r="K5">
        <v>0</v>
      </c>
      <c r="L5">
        <v>1.3298408678477499E-2</v>
      </c>
      <c r="M5">
        <v>4.3769555093188903E-2</v>
      </c>
      <c r="N5">
        <v>0</v>
      </c>
      <c r="O5">
        <v>9.8082424021924599E-3</v>
      </c>
      <c r="P5">
        <v>0</v>
      </c>
      <c r="Q5">
        <v>6.3249561455042999E-2</v>
      </c>
      <c r="R5" s="338">
        <f t="shared" si="0"/>
        <v>0.99999999999999989</v>
      </c>
    </row>
    <row r="6" spans="1:18" ht="14.5">
      <c r="A6" s="337" t="s">
        <v>48</v>
      </c>
      <c r="B6">
        <v>0</v>
      </c>
      <c r="C6">
        <v>0</v>
      </c>
      <c r="D6">
        <v>0</v>
      </c>
      <c r="E6">
        <v>0</v>
      </c>
      <c r="F6" s="176">
        <v>2.0928000627674999E-7</v>
      </c>
      <c r="G6">
        <v>0.240110121142666</v>
      </c>
      <c r="H6">
        <v>1.3796073442520201E-4</v>
      </c>
      <c r="I6">
        <v>0</v>
      </c>
      <c r="J6">
        <v>0.759751708842903</v>
      </c>
      <c r="K6">
        <v>0</v>
      </c>
      <c r="L6">
        <v>0</v>
      </c>
      <c r="M6">
        <v>0</v>
      </c>
      <c r="N6">
        <v>0</v>
      </c>
      <c r="O6">
        <v>0</v>
      </c>
      <c r="P6">
        <v>0</v>
      </c>
      <c r="Q6">
        <v>0</v>
      </c>
      <c r="R6" s="338">
        <f t="shared" si="0"/>
        <v>1.0000000000000004</v>
      </c>
    </row>
    <row r="7" spans="1:18" ht="14.5">
      <c r="A7" s="337" t="s">
        <v>141</v>
      </c>
      <c r="B7">
        <v>0</v>
      </c>
      <c r="C7">
        <v>0</v>
      </c>
      <c r="D7">
        <v>0</v>
      </c>
      <c r="E7">
        <v>0</v>
      </c>
      <c r="F7">
        <v>0</v>
      </c>
      <c r="G7">
        <v>0</v>
      </c>
      <c r="H7">
        <v>8.4870699422691701E-4</v>
      </c>
      <c r="I7">
        <v>4.2678429236728499E-4</v>
      </c>
      <c r="J7">
        <v>0.97684942191728796</v>
      </c>
      <c r="K7">
        <v>0</v>
      </c>
      <c r="L7">
        <v>0</v>
      </c>
      <c r="M7">
        <v>1.5649849297931E-2</v>
      </c>
      <c r="N7">
        <v>0</v>
      </c>
      <c r="O7">
        <v>0</v>
      </c>
      <c r="P7">
        <v>0</v>
      </c>
      <c r="Q7">
        <v>6.2252374981868301E-3</v>
      </c>
      <c r="R7" s="338">
        <f t="shared" si="0"/>
        <v>1</v>
      </c>
    </row>
    <row r="8" spans="1:18" ht="14.5">
      <c r="A8" s="339" t="s">
        <v>142</v>
      </c>
      <c r="B8">
        <v>0</v>
      </c>
      <c r="C8">
        <v>0</v>
      </c>
      <c r="D8">
        <v>0</v>
      </c>
      <c r="E8">
        <v>0</v>
      </c>
      <c r="F8">
        <v>0</v>
      </c>
      <c r="G8">
        <v>1</v>
      </c>
      <c r="H8">
        <v>0</v>
      </c>
      <c r="I8">
        <v>0</v>
      </c>
      <c r="J8">
        <v>0</v>
      </c>
      <c r="K8">
        <v>0</v>
      </c>
      <c r="L8">
        <v>0</v>
      </c>
      <c r="M8">
        <v>0</v>
      </c>
      <c r="N8">
        <v>0</v>
      </c>
      <c r="O8">
        <v>0</v>
      </c>
      <c r="P8">
        <v>0</v>
      </c>
      <c r="Q8">
        <v>0</v>
      </c>
      <c r="R8" s="338">
        <f t="shared" si="0"/>
        <v>1</v>
      </c>
    </row>
    <row r="9" spans="1:18" ht="14.5">
      <c r="A9" s="339" t="s">
        <v>143</v>
      </c>
      <c r="B9">
        <v>0</v>
      </c>
      <c r="C9">
        <v>0</v>
      </c>
      <c r="D9">
        <v>0</v>
      </c>
      <c r="E9">
        <v>0</v>
      </c>
      <c r="F9">
        <v>0</v>
      </c>
      <c r="G9">
        <v>1</v>
      </c>
      <c r="H9">
        <v>0</v>
      </c>
      <c r="I9">
        <v>0</v>
      </c>
      <c r="J9">
        <v>0</v>
      </c>
      <c r="K9">
        <v>0</v>
      </c>
      <c r="L9">
        <v>0</v>
      </c>
      <c r="M9">
        <v>0</v>
      </c>
      <c r="N9">
        <v>0</v>
      </c>
      <c r="O9">
        <v>0</v>
      </c>
      <c r="P9">
        <v>0</v>
      </c>
      <c r="Q9">
        <v>0</v>
      </c>
      <c r="R9" s="338">
        <f t="shared" si="0"/>
        <v>1</v>
      </c>
    </row>
    <row r="10" spans="1:18" ht="14.5">
      <c r="A10" s="339" t="s">
        <v>144</v>
      </c>
      <c r="B10">
        <v>0</v>
      </c>
      <c r="C10">
        <v>0</v>
      </c>
      <c r="D10">
        <v>0</v>
      </c>
      <c r="E10">
        <v>0</v>
      </c>
      <c r="F10" s="176">
        <v>2.5062424069592401E-5</v>
      </c>
      <c r="G10">
        <v>0.99997493757593003</v>
      </c>
      <c r="H10">
        <v>0</v>
      </c>
      <c r="I10">
        <v>0</v>
      </c>
      <c r="J10">
        <v>0</v>
      </c>
      <c r="K10">
        <v>0</v>
      </c>
      <c r="L10">
        <v>0</v>
      </c>
      <c r="M10">
        <v>0</v>
      </c>
      <c r="N10">
        <v>0</v>
      </c>
      <c r="O10">
        <v>0</v>
      </c>
      <c r="P10">
        <v>0</v>
      </c>
      <c r="Q10">
        <v>0</v>
      </c>
      <c r="R10" s="338">
        <f t="shared" si="0"/>
        <v>0.99999999999999967</v>
      </c>
    </row>
    <row r="11" spans="1:18" ht="14.5">
      <c r="A11" s="337" t="s">
        <v>61</v>
      </c>
      <c r="B11">
        <v>0</v>
      </c>
      <c r="C11">
        <v>0</v>
      </c>
      <c r="D11">
        <v>0</v>
      </c>
      <c r="E11" s="176">
        <v>2.21399244192685E-6</v>
      </c>
      <c r="F11">
        <v>0.96973932140169405</v>
      </c>
      <c r="G11" s="176">
        <v>8.0669477540709805E-6</v>
      </c>
      <c r="H11" s="176">
        <v>1.9320089759404801E-6</v>
      </c>
      <c r="I11">
        <v>0</v>
      </c>
      <c r="J11" s="176">
        <v>6.5533942964304302E-6</v>
      </c>
      <c r="K11">
        <v>0</v>
      </c>
      <c r="L11">
        <v>0</v>
      </c>
      <c r="M11" s="176">
        <v>5.9310074258331795E-7</v>
      </c>
      <c r="N11">
        <v>0</v>
      </c>
      <c r="O11">
        <v>0</v>
      </c>
      <c r="P11">
        <v>0</v>
      </c>
      <c r="Q11">
        <v>3.0241319154095302E-2</v>
      </c>
      <c r="R11" s="338">
        <f t="shared" si="0"/>
        <v>1.0000000000000004</v>
      </c>
    </row>
    <row r="12" spans="1:18" ht="14.5">
      <c r="A12" s="337" t="s">
        <v>63</v>
      </c>
      <c r="B12">
        <v>0</v>
      </c>
      <c r="C12">
        <v>0</v>
      </c>
      <c r="D12">
        <v>0</v>
      </c>
      <c r="E12">
        <v>0.99974863801416702</v>
      </c>
      <c r="F12" s="176">
        <v>5.9143422375991197E-5</v>
      </c>
      <c r="G12">
        <v>1.33800282623156E-4</v>
      </c>
      <c r="H12" s="176">
        <v>4.2364606208268997E-5</v>
      </c>
      <c r="I12">
        <v>0</v>
      </c>
      <c r="J12">
        <v>0</v>
      </c>
      <c r="K12">
        <v>0</v>
      </c>
      <c r="L12" s="176">
        <v>1.60536746256258E-5</v>
      </c>
      <c r="M12">
        <v>0</v>
      </c>
      <c r="N12">
        <v>0</v>
      </c>
      <c r="O12">
        <v>0</v>
      </c>
      <c r="P12">
        <v>0</v>
      </c>
      <c r="Q12">
        <v>0</v>
      </c>
      <c r="R12" s="338">
        <f t="shared" si="0"/>
        <v>1</v>
      </c>
    </row>
    <row r="13" spans="1:18" ht="14.5">
      <c r="A13" s="337" t="s">
        <v>65</v>
      </c>
      <c r="B13">
        <v>0</v>
      </c>
      <c r="C13">
        <v>0</v>
      </c>
      <c r="D13">
        <v>0</v>
      </c>
      <c r="E13">
        <v>0</v>
      </c>
      <c r="F13">
        <v>0</v>
      </c>
      <c r="G13">
        <v>0</v>
      </c>
      <c r="H13">
        <v>0</v>
      </c>
      <c r="I13">
        <v>0</v>
      </c>
      <c r="J13">
        <v>0.99999978424361502</v>
      </c>
      <c r="K13">
        <v>0</v>
      </c>
      <c r="L13">
        <v>0</v>
      </c>
      <c r="M13" s="176">
        <v>2.15756384603121E-7</v>
      </c>
      <c r="N13">
        <v>0</v>
      </c>
      <c r="O13">
        <v>0</v>
      </c>
      <c r="P13">
        <v>0</v>
      </c>
      <c r="Q13">
        <v>0</v>
      </c>
      <c r="R13" s="338">
        <f t="shared" si="0"/>
        <v>0.99999999999999967</v>
      </c>
    </row>
    <row r="14" spans="1:18" ht="14.5">
      <c r="A14" s="337" t="s">
        <v>67</v>
      </c>
      <c r="B14">
        <v>0</v>
      </c>
      <c r="C14">
        <v>0</v>
      </c>
      <c r="D14">
        <v>0</v>
      </c>
      <c r="E14">
        <v>0</v>
      </c>
      <c r="F14">
        <v>0</v>
      </c>
      <c r="G14">
        <v>0</v>
      </c>
      <c r="H14">
        <v>0</v>
      </c>
      <c r="I14">
        <v>0</v>
      </c>
      <c r="J14">
        <v>3.6617984131985899E-3</v>
      </c>
      <c r="K14">
        <v>0.93395672701195698</v>
      </c>
      <c r="L14">
        <v>0</v>
      </c>
      <c r="M14" s="176">
        <v>2.0210195649870199E-4</v>
      </c>
      <c r="N14">
        <v>0</v>
      </c>
      <c r="O14">
        <v>0</v>
      </c>
      <c r="P14">
        <v>6.2179372618345601E-2</v>
      </c>
      <c r="Q14">
        <v>0</v>
      </c>
      <c r="R14" s="338">
        <f t="shared" si="0"/>
        <v>0.99999999999999989</v>
      </c>
    </row>
    <row r="15" spans="1:18" ht="14.5">
      <c r="A15" s="337" t="s">
        <v>69</v>
      </c>
      <c r="B15">
        <v>0</v>
      </c>
      <c r="C15">
        <v>0</v>
      </c>
      <c r="D15" s="176">
        <v>2.48317233114784E-11</v>
      </c>
      <c r="E15">
        <v>0</v>
      </c>
      <c r="F15">
        <v>0</v>
      </c>
      <c r="G15">
        <v>0</v>
      </c>
      <c r="H15">
        <v>0</v>
      </c>
      <c r="I15">
        <v>0</v>
      </c>
      <c r="J15">
        <v>0</v>
      </c>
      <c r="K15">
        <v>0</v>
      </c>
      <c r="L15">
        <v>0</v>
      </c>
      <c r="M15">
        <v>0</v>
      </c>
      <c r="N15" s="176">
        <v>1.8193712150886899E-11</v>
      </c>
      <c r="O15">
        <v>0.99885600123110596</v>
      </c>
      <c r="P15">
        <v>1.1439987258686001E-3</v>
      </c>
      <c r="Q15">
        <v>0</v>
      </c>
      <c r="R15" s="338">
        <f t="shared" si="0"/>
        <v>1</v>
      </c>
    </row>
    <row r="16" spans="1:18" ht="14.5">
      <c r="A16" s="337" t="s">
        <v>145</v>
      </c>
      <c r="B16" s="176">
        <v>4.2807506063354203E-8</v>
      </c>
      <c r="C16" s="176">
        <v>1.4982114201289199E-6</v>
      </c>
      <c r="D16">
        <v>3.1157603904098701E-2</v>
      </c>
      <c r="E16">
        <v>0</v>
      </c>
      <c r="F16">
        <v>0</v>
      </c>
      <c r="G16" s="176">
        <v>2.9148822194118399E-6</v>
      </c>
      <c r="H16">
        <v>5.3039723659924702E-2</v>
      </c>
      <c r="I16">
        <v>3.9514360584383002E-3</v>
      </c>
      <c r="J16" s="176">
        <v>5.6881786474837199E-7</v>
      </c>
      <c r="K16" s="176">
        <v>4.2925042431031399E-10</v>
      </c>
      <c r="L16">
        <v>0.23190295728685001</v>
      </c>
      <c r="M16">
        <v>0.41882424719234901</v>
      </c>
      <c r="N16" s="176">
        <v>6.38011845470112E-8</v>
      </c>
      <c r="O16">
        <v>1.8374856103822799E-3</v>
      </c>
      <c r="P16">
        <v>0</v>
      </c>
      <c r="Q16">
        <v>0.25928145733851299</v>
      </c>
      <c r="R16" s="338">
        <f t="shared" si="0"/>
        <v>1.0000000000000013</v>
      </c>
    </row>
    <row r="17" spans="1:18" ht="14.5">
      <c r="A17" s="337" t="s">
        <v>73</v>
      </c>
      <c r="B17">
        <v>0</v>
      </c>
      <c r="C17">
        <v>0</v>
      </c>
      <c r="D17">
        <v>0</v>
      </c>
      <c r="E17">
        <v>0</v>
      </c>
      <c r="F17">
        <v>0</v>
      </c>
      <c r="G17">
        <v>0</v>
      </c>
      <c r="H17">
        <v>0</v>
      </c>
      <c r="I17">
        <v>0</v>
      </c>
      <c r="J17">
        <v>0</v>
      </c>
      <c r="K17">
        <v>0</v>
      </c>
      <c r="L17">
        <v>0</v>
      </c>
      <c r="M17">
        <v>0</v>
      </c>
      <c r="N17">
        <v>0</v>
      </c>
      <c r="O17" s="176">
        <v>3.2748974889850798E-5</v>
      </c>
      <c r="P17" s="176">
        <v>5.3213042094377497E-5</v>
      </c>
      <c r="Q17">
        <v>0.99991403798301604</v>
      </c>
      <c r="R17" s="338">
        <f t="shared" si="0"/>
        <v>1.0000000000000002</v>
      </c>
    </row>
    <row r="18" spans="1:18" ht="14.5">
      <c r="A18" s="337" t="s">
        <v>75</v>
      </c>
      <c r="B18">
        <v>0</v>
      </c>
      <c r="C18">
        <v>0</v>
      </c>
      <c r="D18" s="176">
        <v>6.1469834815917799E-7</v>
      </c>
      <c r="E18">
        <v>0.98397835858428295</v>
      </c>
      <c r="F18" s="176">
        <v>1.64937292386374E-6</v>
      </c>
      <c r="G18">
        <v>0</v>
      </c>
      <c r="H18">
        <v>0</v>
      </c>
      <c r="I18">
        <v>0</v>
      </c>
      <c r="J18" s="176">
        <v>1.94418640309453E-6</v>
      </c>
      <c r="K18">
        <v>0</v>
      </c>
      <c r="L18">
        <v>0</v>
      </c>
      <c r="M18" s="176">
        <v>3.1508994789388098E-7</v>
      </c>
      <c r="N18">
        <v>0</v>
      </c>
      <c r="O18">
        <v>1.58345572959427E-2</v>
      </c>
      <c r="P18" s="176">
        <v>8.8539555300985398E-5</v>
      </c>
      <c r="Q18" s="176">
        <v>9.4021216850566095E-5</v>
      </c>
      <c r="R18" s="338">
        <f t="shared" si="0"/>
        <v>1.0000000000000002</v>
      </c>
    </row>
    <row r="19" spans="1:18" ht="14.5">
      <c r="A19" s="337" t="s">
        <v>146</v>
      </c>
      <c r="B19">
        <v>0</v>
      </c>
      <c r="C19" s="176">
        <v>3.02002263250379E-6</v>
      </c>
      <c r="D19" s="176">
        <v>2.5604259517995898E-7</v>
      </c>
      <c r="E19" s="176">
        <v>1.7616420690494199E-5</v>
      </c>
      <c r="F19">
        <v>6.6412247962443396E-2</v>
      </c>
      <c r="G19">
        <v>0</v>
      </c>
      <c r="H19">
        <v>1.81828349652076E-2</v>
      </c>
      <c r="I19">
        <v>4.8367728085913501E-4</v>
      </c>
      <c r="J19">
        <v>0.37130498199858503</v>
      </c>
      <c r="K19" s="176">
        <v>1.7501922443868002E-5</v>
      </c>
      <c r="L19">
        <v>1.77687284606717E-2</v>
      </c>
      <c r="M19">
        <v>0.25787639077584901</v>
      </c>
      <c r="N19" s="176">
        <v>4.4532902155331403E-5</v>
      </c>
      <c r="O19">
        <v>6.1453788085038201E-2</v>
      </c>
      <c r="P19">
        <v>0</v>
      </c>
      <c r="Q19">
        <v>0.206434423160828</v>
      </c>
      <c r="R19" s="338">
        <f t="shared" si="0"/>
        <v>0.99999999999999933</v>
      </c>
    </row>
    <row r="20" spans="1:18" ht="14.5">
      <c r="A20" s="337" t="s">
        <v>83</v>
      </c>
      <c r="B20">
        <v>0</v>
      </c>
      <c r="C20">
        <v>0</v>
      </c>
      <c r="D20">
        <v>0</v>
      </c>
      <c r="E20" s="176">
        <v>1.2581338264355901E-7</v>
      </c>
      <c r="F20">
        <v>0</v>
      </c>
      <c r="G20">
        <v>0</v>
      </c>
      <c r="H20">
        <v>0</v>
      </c>
      <c r="I20" s="176">
        <v>2.8134688075333702E-6</v>
      </c>
      <c r="J20">
        <v>9.6044618316460204E-2</v>
      </c>
      <c r="K20">
        <v>0</v>
      </c>
      <c r="L20">
        <v>0</v>
      </c>
      <c r="M20">
        <v>0</v>
      </c>
      <c r="N20">
        <v>0.64995020658052804</v>
      </c>
      <c r="O20">
        <v>0</v>
      </c>
      <c r="P20">
        <v>0</v>
      </c>
      <c r="Q20">
        <v>0.25400223582082099</v>
      </c>
      <c r="R20" s="338">
        <f t="shared" si="0"/>
        <v>0.99999999999999933</v>
      </c>
    </row>
    <row r="21" spans="1:18" ht="14.5">
      <c r="A21" s="337" t="s">
        <v>85</v>
      </c>
      <c r="B21">
        <v>0</v>
      </c>
      <c r="C21">
        <v>0</v>
      </c>
      <c r="D21">
        <v>0</v>
      </c>
      <c r="E21">
        <v>0</v>
      </c>
      <c r="F21">
        <v>0</v>
      </c>
      <c r="G21">
        <v>0</v>
      </c>
      <c r="H21">
        <v>0</v>
      </c>
      <c r="I21">
        <v>0</v>
      </c>
      <c r="J21">
        <v>0.310658455997114</v>
      </c>
      <c r="K21">
        <v>0</v>
      </c>
      <c r="L21">
        <v>0</v>
      </c>
      <c r="M21" s="176">
        <v>5.4502894048535001E-7</v>
      </c>
      <c r="N21">
        <v>0.68922936343778096</v>
      </c>
      <c r="O21">
        <v>0</v>
      </c>
      <c r="P21">
        <v>1.1163553616445401E-4</v>
      </c>
      <c r="Q21" s="176">
        <v>0</v>
      </c>
      <c r="R21" s="338">
        <f t="shared" si="0"/>
        <v>0.99999999999999989</v>
      </c>
    </row>
    <row r="22" spans="1:18" ht="14.5">
      <c r="A22" s="337" t="s">
        <v>88</v>
      </c>
      <c r="B22">
        <v>0</v>
      </c>
      <c r="C22">
        <v>0</v>
      </c>
      <c r="D22">
        <v>0</v>
      </c>
      <c r="E22">
        <v>0</v>
      </c>
      <c r="F22">
        <v>0</v>
      </c>
      <c r="G22">
        <v>0</v>
      </c>
      <c r="H22" s="176">
        <v>3.2713213524303001E-7</v>
      </c>
      <c r="I22">
        <v>0.79201774589850704</v>
      </c>
      <c r="J22">
        <v>0</v>
      </c>
      <c r="K22">
        <v>0</v>
      </c>
      <c r="L22">
        <v>0</v>
      </c>
      <c r="M22">
        <v>0</v>
      </c>
      <c r="N22">
        <v>0</v>
      </c>
      <c r="O22" s="176">
        <v>1.7196330909494401E-6</v>
      </c>
      <c r="P22">
        <v>0.20798019275173499</v>
      </c>
      <c r="Q22" s="176">
        <v>1.4584531648024E-8</v>
      </c>
      <c r="R22" s="338">
        <f t="shared" si="0"/>
        <v>0.99999999999999989</v>
      </c>
    </row>
    <row r="23" spans="1:18" ht="14.5">
      <c r="A23" s="340" t="s">
        <v>147</v>
      </c>
      <c r="B23">
        <v>0</v>
      </c>
      <c r="C23">
        <v>0</v>
      </c>
      <c r="D23">
        <v>0</v>
      </c>
      <c r="E23" s="176">
        <v>3.0896751655773599E-6</v>
      </c>
      <c r="F23">
        <v>0</v>
      </c>
      <c r="G23">
        <v>0</v>
      </c>
      <c r="H23">
        <v>0.134415563293939</v>
      </c>
      <c r="I23">
        <v>0</v>
      </c>
      <c r="J23">
        <v>0</v>
      </c>
      <c r="K23">
        <v>0</v>
      </c>
      <c r="L23">
        <v>0</v>
      </c>
      <c r="M23">
        <v>0</v>
      </c>
      <c r="N23">
        <v>0</v>
      </c>
      <c r="O23">
        <v>0</v>
      </c>
      <c r="P23">
        <v>0.86558134703089595</v>
      </c>
      <c r="Q23">
        <v>0</v>
      </c>
      <c r="R23" s="338">
        <f t="shared" si="0"/>
        <v>1.0000000000000004</v>
      </c>
    </row>
    <row r="24" spans="1:18" ht="15.75" customHeight="1"/>
    <row r="25" spans="1:18" ht="14.5">
      <c r="A25" s="341" t="s">
        <v>199</v>
      </c>
    </row>
    <row r="26" spans="1:18" ht="14.5">
      <c r="A26" s="334"/>
      <c r="B26" s="335" t="s">
        <v>99</v>
      </c>
      <c r="C26" s="335" t="s">
        <v>102</v>
      </c>
      <c r="D26" s="335" t="s">
        <v>105</v>
      </c>
      <c r="E26" s="335" t="s">
        <v>196</v>
      </c>
      <c r="F26" s="335" t="s">
        <v>110</v>
      </c>
      <c r="G26" s="335" t="s">
        <v>112</v>
      </c>
      <c r="H26" s="335" t="s">
        <v>114</v>
      </c>
      <c r="I26" s="335" t="s">
        <v>116</v>
      </c>
      <c r="J26" s="335" t="s">
        <v>197</v>
      </c>
      <c r="K26" s="335" t="s">
        <v>121</v>
      </c>
      <c r="L26" s="335" t="s">
        <v>123</v>
      </c>
      <c r="M26" s="335" t="s">
        <v>126</v>
      </c>
      <c r="N26" s="335" t="s">
        <v>129</v>
      </c>
      <c r="O26" s="335" t="s">
        <v>131</v>
      </c>
      <c r="P26" s="335" t="s">
        <v>134</v>
      </c>
      <c r="Q26" s="336" t="s">
        <v>198</v>
      </c>
    </row>
    <row r="27" spans="1:18" ht="14.5">
      <c r="A27" s="337" t="s">
        <v>139</v>
      </c>
      <c r="B27">
        <v>0.25688889546267002</v>
      </c>
      <c r="C27" s="176">
        <v>4.02180010245797E-5</v>
      </c>
      <c r="D27">
        <v>0</v>
      </c>
      <c r="E27">
        <v>0</v>
      </c>
      <c r="F27" s="176">
        <v>4.9489567990750602E-8</v>
      </c>
      <c r="G27">
        <v>1.45377027007194E-2</v>
      </c>
      <c r="H27" s="176">
        <v>3.7787023978932098E-6</v>
      </c>
      <c r="I27">
        <v>6.2472771014365196E-3</v>
      </c>
      <c r="J27">
        <v>0</v>
      </c>
      <c r="K27">
        <v>0</v>
      </c>
      <c r="L27">
        <v>0</v>
      </c>
      <c r="M27">
        <v>7.2181147976536103E-2</v>
      </c>
      <c r="N27">
        <v>0</v>
      </c>
      <c r="O27">
        <v>2.95617878734394E-2</v>
      </c>
      <c r="P27" s="176">
        <v>0</v>
      </c>
      <c r="Q27" s="176">
        <v>2.0633928229131799E-6</v>
      </c>
      <c r="R27" s="338"/>
    </row>
    <row r="28" spans="1:18" ht="14.5">
      <c r="A28" s="337" t="s">
        <v>37</v>
      </c>
      <c r="B28">
        <v>0</v>
      </c>
      <c r="C28">
        <v>0</v>
      </c>
      <c r="D28">
        <v>0</v>
      </c>
      <c r="E28">
        <v>1.1796332625843901E-2</v>
      </c>
      <c r="F28">
        <v>0.220575744297764</v>
      </c>
      <c r="G28">
        <v>0.227806622307242</v>
      </c>
      <c r="H28">
        <v>0</v>
      </c>
      <c r="I28">
        <v>0</v>
      </c>
      <c r="J28">
        <v>0</v>
      </c>
      <c r="K28">
        <v>0</v>
      </c>
      <c r="L28">
        <v>0</v>
      </c>
      <c r="M28">
        <v>1.18893007865414E-2</v>
      </c>
      <c r="N28">
        <v>0</v>
      </c>
      <c r="O28">
        <v>0</v>
      </c>
      <c r="P28">
        <v>0</v>
      </c>
      <c r="Q28">
        <v>3.7528406618209799E-3</v>
      </c>
      <c r="R28" s="338"/>
    </row>
    <row r="29" spans="1:18" ht="14.5">
      <c r="A29" s="337" t="s">
        <v>140</v>
      </c>
      <c r="B29">
        <v>0.74311107391099296</v>
      </c>
      <c r="C29">
        <v>0.999953681251875</v>
      </c>
      <c r="D29">
        <v>0.95073081006971005</v>
      </c>
      <c r="E29">
        <v>7.3243401533828502E-3</v>
      </c>
      <c r="F29" s="176">
        <v>1.46820513150069E-5</v>
      </c>
      <c r="G29" s="176">
        <v>5.21702188537426E-5</v>
      </c>
      <c r="H29">
        <v>0.84063827129216195</v>
      </c>
      <c r="I29">
        <v>0.38579090957651002</v>
      </c>
      <c r="J29">
        <v>0.11317984581229899</v>
      </c>
      <c r="K29">
        <v>0</v>
      </c>
      <c r="L29">
        <v>0.14937066390186499</v>
      </c>
      <c r="M29">
        <v>0.19589189761950601</v>
      </c>
      <c r="N29">
        <v>0</v>
      </c>
      <c r="O29">
        <v>3.3575360736224302E-2</v>
      </c>
      <c r="P29">
        <v>0</v>
      </c>
      <c r="Q29">
        <v>0.22053046653514199</v>
      </c>
      <c r="R29" s="338"/>
    </row>
    <row r="30" spans="1:18" ht="14.5">
      <c r="A30" s="337" t="s">
        <v>48</v>
      </c>
      <c r="B30">
        <v>0</v>
      </c>
      <c r="C30">
        <v>0</v>
      </c>
      <c r="D30">
        <v>0</v>
      </c>
      <c r="E30">
        <v>0</v>
      </c>
      <c r="F30" s="176">
        <v>4.5271504243438598E-7</v>
      </c>
      <c r="G30">
        <v>0.237118623205439</v>
      </c>
      <c r="H30" s="176">
        <v>9.8085091725458602E-5</v>
      </c>
      <c r="I30">
        <v>0</v>
      </c>
      <c r="J30">
        <v>0.26182015120921898</v>
      </c>
      <c r="K30">
        <v>0</v>
      </c>
      <c r="L30">
        <v>0</v>
      </c>
      <c r="M30">
        <v>0</v>
      </c>
      <c r="N30">
        <v>0</v>
      </c>
      <c r="O30">
        <v>0</v>
      </c>
      <c r="P30">
        <v>0</v>
      </c>
      <c r="Q30">
        <v>0</v>
      </c>
      <c r="R30" s="338"/>
    </row>
    <row r="31" spans="1:18" ht="14.5">
      <c r="A31" s="337" t="s">
        <v>141</v>
      </c>
      <c r="B31">
        <v>0</v>
      </c>
      <c r="C31">
        <v>0</v>
      </c>
      <c r="D31">
        <v>0</v>
      </c>
      <c r="E31">
        <v>0</v>
      </c>
      <c r="F31">
        <v>0</v>
      </c>
      <c r="G31">
        <v>0</v>
      </c>
      <c r="H31">
        <v>5.3464478243949495E-4</v>
      </c>
      <c r="I31">
        <v>4.5493450405577199E-4</v>
      </c>
      <c r="J31">
        <v>0.29827651097937402</v>
      </c>
      <c r="K31">
        <v>0</v>
      </c>
      <c r="L31">
        <v>0</v>
      </c>
      <c r="M31">
        <v>7.3030499673249396E-3</v>
      </c>
      <c r="N31">
        <v>0</v>
      </c>
      <c r="O31">
        <v>0</v>
      </c>
      <c r="P31">
        <v>0</v>
      </c>
      <c r="Q31">
        <v>2.2631678941316402E-3</v>
      </c>
      <c r="R31" s="338"/>
    </row>
    <row r="32" spans="1:18" ht="14.5">
      <c r="A32" s="339" t="s">
        <v>142</v>
      </c>
      <c r="B32">
        <v>0</v>
      </c>
      <c r="C32">
        <v>0</v>
      </c>
      <c r="D32">
        <v>0</v>
      </c>
      <c r="E32">
        <v>0</v>
      </c>
      <c r="F32">
        <v>0</v>
      </c>
      <c r="G32">
        <v>0.23825409106242601</v>
      </c>
      <c r="H32">
        <v>0</v>
      </c>
      <c r="I32">
        <v>0</v>
      </c>
      <c r="J32">
        <v>0</v>
      </c>
      <c r="K32">
        <v>0</v>
      </c>
      <c r="L32">
        <v>0</v>
      </c>
      <c r="M32">
        <v>0</v>
      </c>
      <c r="N32">
        <v>0</v>
      </c>
      <c r="O32">
        <v>0</v>
      </c>
      <c r="P32">
        <v>0</v>
      </c>
      <c r="Q32">
        <v>0</v>
      </c>
      <c r="R32" s="338"/>
    </row>
    <row r="33" spans="1:18" ht="14.5">
      <c r="A33" s="339" t="s">
        <v>143</v>
      </c>
      <c r="B33">
        <v>0</v>
      </c>
      <c r="C33">
        <v>0</v>
      </c>
      <c r="D33">
        <v>0</v>
      </c>
      <c r="E33">
        <v>0</v>
      </c>
      <c r="F33">
        <v>0</v>
      </c>
      <c r="G33">
        <v>0.28147053801955302</v>
      </c>
      <c r="H33">
        <v>0</v>
      </c>
      <c r="I33">
        <v>0</v>
      </c>
      <c r="J33">
        <v>0</v>
      </c>
      <c r="K33">
        <v>0</v>
      </c>
      <c r="L33">
        <v>0</v>
      </c>
      <c r="M33">
        <v>0</v>
      </c>
      <c r="N33">
        <v>0</v>
      </c>
      <c r="O33">
        <v>0</v>
      </c>
      <c r="P33">
        <v>0</v>
      </c>
      <c r="Q33">
        <v>0</v>
      </c>
      <c r="R33" s="338"/>
    </row>
    <row r="34" spans="1:18" ht="14.5">
      <c r="A34" s="339" t="s">
        <v>144</v>
      </c>
      <c r="B34">
        <v>0</v>
      </c>
      <c r="C34">
        <v>0</v>
      </c>
      <c r="D34">
        <v>0</v>
      </c>
      <c r="E34">
        <v>0</v>
      </c>
      <c r="F34" s="176">
        <v>3.8865645286070497E-8</v>
      </c>
      <c r="G34">
        <v>7.07929379546288E-4</v>
      </c>
      <c r="H34">
        <v>0</v>
      </c>
      <c r="I34">
        <v>0</v>
      </c>
      <c r="J34">
        <v>0</v>
      </c>
      <c r="K34">
        <v>0</v>
      </c>
      <c r="L34">
        <v>0</v>
      </c>
      <c r="M34">
        <v>0</v>
      </c>
      <c r="N34">
        <v>0</v>
      </c>
      <c r="O34">
        <v>0</v>
      </c>
      <c r="P34">
        <v>0</v>
      </c>
      <c r="Q34">
        <v>0</v>
      </c>
      <c r="R34" s="338"/>
    </row>
    <row r="35" spans="1:18" ht="14.5">
      <c r="A35" s="337" t="s">
        <v>61</v>
      </c>
      <c r="B35">
        <v>0</v>
      </c>
      <c r="C35">
        <v>0</v>
      </c>
      <c r="D35">
        <v>0</v>
      </c>
      <c r="E35" s="176">
        <v>1.60454567041049E-7</v>
      </c>
      <c r="F35">
        <v>0.65786465397055005</v>
      </c>
      <c r="G35" s="176">
        <v>2.4983242513606398E-6</v>
      </c>
      <c r="H35" s="176">
        <v>4.3076559225858898E-7</v>
      </c>
      <c r="I35">
        <v>0</v>
      </c>
      <c r="J35" s="176">
        <v>7.0824259799368102E-7</v>
      </c>
      <c r="K35">
        <v>0</v>
      </c>
      <c r="L35">
        <v>0</v>
      </c>
      <c r="M35" s="176">
        <v>9.7959575612830698E-8</v>
      </c>
      <c r="N35">
        <v>0</v>
      </c>
      <c r="O35">
        <v>0</v>
      </c>
      <c r="P35">
        <v>0</v>
      </c>
      <c r="Q35">
        <v>3.8912209831965501E-3</v>
      </c>
      <c r="R35" s="338"/>
    </row>
    <row r="36" spans="1:18" ht="14.5">
      <c r="A36" s="337" t="s">
        <v>63</v>
      </c>
      <c r="B36">
        <v>0</v>
      </c>
      <c r="C36">
        <v>0</v>
      </c>
      <c r="D36">
        <v>0</v>
      </c>
      <c r="E36">
        <v>7.3478076233063197E-2</v>
      </c>
      <c r="F36" s="176">
        <v>4.0689186392317402E-5</v>
      </c>
      <c r="G36" s="176">
        <v>4.2023052652383702E-5</v>
      </c>
      <c r="H36" s="176">
        <v>9.5791295679608908E-6</v>
      </c>
      <c r="I36">
        <v>0</v>
      </c>
      <c r="J36">
        <v>0</v>
      </c>
      <c r="K36">
        <v>0</v>
      </c>
      <c r="L36" s="176">
        <v>6.7484678873539199E-6</v>
      </c>
      <c r="M36">
        <v>0</v>
      </c>
      <c r="N36">
        <v>0</v>
      </c>
      <c r="O36">
        <v>0</v>
      </c>
      <c r="P36">
        <v>0</v>
      </c>
      <c r="Q36">
        <v>0</v>
      </c>
      <c r="R36" s="338"/>
    </row>
    <row r="37" spans="1:18" ht="14.5">
      <c r="A37" s="337" t="s">
        <v>65</v>
      </c>
      <c r="B37">
        <v>0</v>
      </c>
      <c r="C37">
        <v>0</v>
      </c>
      <c r="D37">
        <v>0</v>
      </c>
      <c r="E37">
        <v>0</v>
      </c>
      <c r="F37">
        <v>0</v>
      </c>
      <c r="G37">
        <v>0</v>
      </c>
      <c r="H37">
        <v>0</v>
      </c>
      <c r="I37">
        <v>0</v>
      </c>
      <c r="J37">
        <v>0.18168307273026599</v>
      </c>
      <c r="K37">
        <v>0</v>
      </c>
      <c r="L37">
        <v>0</v>
      </c>
      <c r="M37" s="176">
        <v>5.9907458811551997E-8</v>
      </c>
      <c r="N37">
        <v>0</v>
      </c>
      <c r="O37">
        <v>0</v>
      </c>
      <c r="P37">
        <v>0</v>
      </c>
      <c r="Q37">
        <v>0</v>
      </c>
      <c r="R37" s="338"/>
    </row>
    <row r="38" spans="1:18" ht="14.5">
      <c r="A38" s="337" t="s">
        <v>67</v>
      </c>
      <c r="B38">
        <v>0</v>
      </c>
      <c r="C38">
        <v>0</v>
      </c>
      <c r="D38">
        <v>0</v>
      </c>
      <c r="E38">
        <v>0</v>
      </c>
      <c r="F38">
        <v>0</v>
      </c>
      <c r="G38">
        <v>0</v>
      </c>
      <c r="H38">
        <v>0</v>
      </c>
      <c r="I38">
        <v>0</v>
      </c>
      <c r="J38" s="176">
        <v>5.6545289177376001E-4</v>
      </c>
      <c r="K38">
        <v>0.99996463282516401</v>
      </c>
      <c r="L38">
        <v>0</v>
      </c>
      <c r="M38" s="176">
        <v>4.7695257391197098E-5</v>
      </c>
      <c r="N38">
        <v>0</v>
      </c>
      <c r="O38">
        <v>0</v>
      </c>
      <c r="P38">
        <v>4.8594923176591698E-2</v>
      </c>
      <c r="Q38">
        <v>0</v>
      </c>
      <c r="R38" s="338"/>
    </row>
    <row r="39" spans="1:18" ht="14.5">
      <c r="A39" s="337" t="s">
        <v>69</v>
      </c>
      <c r="B39">
        <v>0</v>
      </c>
      <c r="C39">
        <v>0</v>
      </c>
      <c r="D39" s="176">
        <v>3.1989202283507898E-11</v>
      </c>
      <c r="E39">
        <v>0</v>
      </c>
      <c r="F39">
        <v>0</v>
      </c>
      <c r="G39">
        <v>0</v>
      </c>
      <c r="H39">
        <v>0</v>
      </c>
      <c r="I39">
        <v>0</v>
      </c>
      <c r="J39">
        <v>0</v>
      </c>
      <c r="K39">
        <v>0</v>
      </c>
      <c r="L39">
        <v>0</v>
      </c>
      <c r="M39">
        <v>0</v>
      </c>
      <c r="N39" s="176">
        <v>1.55932664816454E-10</v>
      </c>
      <c r="O39">
        <v>0.88845550461220302</v>
      </c>
      <c r="P39">
        <v>4.4056812143919797E-3</v>
      </c>
      <c r="Q39">
        <v>0</v>
      </c>
      <c r="R39" s="338"/>
    </row>
    <row r="40" spans="1:18" ht="14.5">
      <c r="A40" s="337" t="s">
        <v>145</v>
      </c>
      <c r="B40" s="176">
        <v>3.0626336385340699E-8</v>
      </c>
      <c r="C40" s="176">
        <v>3.7452038175519999E-6</v>
      </c>
      <c r="D40">
        <v>4.9267632488764403E-2</v>
      </c>
      <c r="E40">
        <v>0</v>
      </c>
      <c r="F40">
        <v>0</v>
      </c>
      <c r="G40" s="176">
        <v>7.8017293164477105E-6</v>
      </c>
      <c r="H40">
        <v>0.102202948941399</v>
      </c>
      <c r="I40">
        <v>1.2883979672969699E-2</v>
      </c>
      <c r="J40" s="176">
        <v>5.3127487881957101E-7</v>
      </c>
      <c r="K40" s="176">
        <v>2.77979439195902E-9</v>
      </c>
      <c r="L40">
        <v>0.83076141358282296</v>
      </c>
      <c r="M40">
        <v>0.59783391857263202</v>
      </c>
      <c r="N40" s="176">
        <v>6.71190212702979E-7</v>
      </c>
      <c r="O40">
        <v>2.0061242948714599E-3</v>
      </c>
      <c r="P40">
        <v>0</v>
      </c>
      <c r="Q40">
        <v>0.28832807361602403</v>
      </c>
      <c r="R40" s="338"/>
    </row>
    <row r="41" spans="1:18" ht="14.5">
      <c r="A41" s="337" t="s">
        <v>73</v>
      </c>
      <c r="B41">
        <v>0</v>
      </c>
      <c r="C41">
        <v>0</v>
      </c>
      <c r="D41">
        <v>0</v>
      </c>
      <c r="E41">
        <v>0</v>
      </c>
      <c r="F41">
        <v>0</v>
      </c>
      <c r="G41">
        <v>0</v>
      </c>
      <c r="H41">
        <v>0</v>
      </c>
      <c r="I41">
        <v>0</v>
      </c>
      <c r="J41">
        <v>0</v>
      </c>
      <c r="K41">
        <v>0</v>
      </c>
      <c r="L41">
        <v>0</v>
      </c>
      <c r="M41">
        <v>0</v>
      </c>
      <c r="N41">
        <v>0</v>
      </c>
      <c r="O41" s="176">
        <v>1.29809903874834E-5</v>
      </c>
      <c r="P41" s="176">
        <v>9.1323581444218598E-5</v>
      </c>
      <c r="Q41">
        <v>0.40369592381653102</v>
      </c>
      <c r="R41" s="338"/>
    </row>
    <row r="42" spans="1:18" ht="14.5">
      <c r="A42" s="337" t="s">
        <v>75</v>
      </c>
      <c r="B42">
        <v>0</v>
      </c>
      <c r="C42">
        <v>0</v>
      </c>
      <c r="D42" s="176">
        <v>1.4310848005629401E-6</v>
      </c>
      <c r="E42">
        <v>0.90739730565043797</v>
      </c>
      <c r="F42" s="176">
        <v>1.4237587221035501E-5</v>
      </c>
      <c r="G42">
        <v>0</v>
      </c>
      <c r="H42">
        <v>0</v>
      </c>
      <c r="I42">
        <v>0</v>
      </c>
      <c r="J42" s="176">
        <v>2.67355816302491E-6</v>
      </c>
      <c r="K42">
        <v>0</v>
      </c>
      <c r="L42">
        <v>0</v>
      </c>
      <c r="M42" s="176">
        <v>6.6219967789088001E-7</v>
      </c>
      <c r="N42">
        <v>0</v>
      </c>
      <c r="O42">
        <v>2.5453382176997101E-2</v>
      </c>
      <c r="P42" s="176">
        <v>6.1621410964686203E-4</v>
      </c>
      <c r="Q42" s="176">
        <v>1.5393841863067399E-4</v>
      </c>
      <c r="R42" s="338"/>
    </row>
    <row r="43" spans="1:18" ht="14.5">
      <c r="A43" s="337" t="s">
        <v>146</v>
      </c>
      <c r="B43">
        <v>0</v>
      </c>
      <c r="C43" s="176">
        <v>2.3555432830690498E-6</v>
      </c>
      <c r="D43" s="176">
        <v>1.2632473577908699E-7</v>
      </c>
      <c r="E43" s="176">
        <v>3.4427260570973898E-6</v>
      </c>
      <c r="F43">
        <v>0.121489451836503</v>
      </c>
      <c r="G43">
        <v>0</v>
      </c>
      <c r="H43">
        <v>1.09320675900686E-2</v>
      </c>
      <c r="I43">
        <v>4.9207272985928399E-4</v>
      </c>
      <c r="J43">
        <v>0.108207002486066</v>
      </c>
      <c r="K43" s="176">
        <v>3.5364395041223097E-5</v>
      </c>
      <c r="L43">
        <v>1.9861174047425201E-2</v>
      </c>
      <c r="M43">
        <v>0.11485207742093601</v>
      </c>
      <c r="N43" s="176">
        <v>1.4617611270438099E-4</v>
      </c>
      <c r="O43">
        <v>2.0934427377642301E-2</v>
      </c>
      <c r="P43">
        <v>0</v>
      </c>
      <c r="Q43">
        <v>7.1626895203403304E-2</v>
      </c>
      <c r="R43" s="338"/>
    </row>
    <row r="44" spans="1:18" ht="14.5">
      <c r="A44" s="337" t="s">
        <v>83</v>
      </c>
      <c r="B44">
        <v>0</v>
      </c>
      <c r="C44">
        <v>0</v>
      </c>
      <c r="D44">
        <v>0</v>
      </c>
      <c r="E44" s="176">
        <v>1.6056690311252801E-9</v>
      </c>
      <c r="F44">
        <v>0</v>
      </c>
      <c r="G44">
        <v>0</v>
      </c>
      <c r="H44">
        <v>0</v>
      </c>
      <c r="I44" s="176">
        <v>1.8692186789704601E-7</v>
      </c>
      <c r="J44">
        <v>1.82785618876613E-3</v>
      </c>
      <c r="K44">
        <v>0</v>
      </c>
      <c r="L44">
        <v>0</v>
      </c>
      <c r="M44">
        <v>0</v>
      </c>
      <c r="N44">
        <v>0.13932206231188801</v>
      </c>
      <c r="O44">
        <v>0</v>
      </c>
      <c r="P44">
        <v>0</v>
      </c>
      <c r="Q44">
        <v>5.7554057469992696E-3</v>
      </c>
      <c r="R44" s="338"/>
    </row>
    <row r="45" spans="1:18" ht="14.5">
      <c r="A45" s="337" t="s">
        <v>85</v>
      </c>
      <c r="B45">
        <v>0</v>
      </c>
      <c r="C45">
        <v>0</v>
      </c>
      <c r="D45">
        <v>0</v>
      </c>
      <c r="E45">
        <v>0</v>
      </c>
      <c r="F45">
        <v>0</v>
      </c>
      <c r="G45">
        <v>0</v>
      </c>
      <c r="H45">
        <v>0</v>
      </c>
      <c r="I45">
        <v>0</v>
      </c>
      <c r="J45">
        <v>3.4436194626596001E-2</v>
      </c>
      <c r="K45">
        <v>0</v>
      </c>
      <c r="L45">
        <v>0</v>
      </c>
      <c r="M45" s="176">
        <v>9.2332420224889905E-8</v>
      </c>
      <c r="N45">
        <v>0.860531090229262</v>
      </c>
      <c r="O45">
        <v>0</v>
      </c>
      <c r="P45" s="176">
        <v>6.2629220107952806E-5</v>
      </c>
      <c r="Q45" s="176">
        <v>0</v>
      </c>
      <c r="R45" s="338"/>
    </row>
    <row r="46" spans="1:18" ht="14.5">
      <c r="A46" s="337" t="s">
        <v>88</v>
      </c>
      <c r="B46">
        <v>0</v>
      </c>
      <c r="C46">
        <v>0</v>
      </c>
      <c r="D46">
        <v>0</v>
      </c>
      <c r="E46">
        <v>0</v>
      </c>
      <c r="F46">
        <v>0</v>
      </c>
      <c r="G46">
        <v>0</v>
      </c>
      <c r="H46" s="176">
        <v>1.4502315449983E-7</v>
      </c>
      <c r="I46">
        <v>0.59413063949330103</v>
      </c>
      <c r="J46">
        <v>0</v>
      </c>
      <c r="K46">
        <v>0</v>
      </c>
      <c r="L46">
        <v>0</v>
      </c>
      <c r="M46">
        <v>0</v>
      </c>
      <c r="N46">
        <v>0</v>
      </c>
      <c r="O46" s="176">
        <v>4.3193823486498898E-7</v>
      </c>
      <c r="P46">
        <v>0.22618435470294901</v>
      </c>
      <c r="Q46" s="176">
        <v>3.7312978971643697E-9</v>
      </c>
      <c r="R46" s="338"/>
    </row>
    <row r="47" spans="1:18" ht="14.5">
      <c r="A47" s="340" t="s">
        <v>147</v>
      </c>
      <c r="B47">
        <v>0</v>
      </c>
      <c r="C47">
        <v>0</v>
      </c>
      <c r="D47">
        <v>0</v>
      </c>
      <c r="E47" s="176">
        <v>3.4055097875662501E-7</v>
      </c>
      <c r="F47">
        <v>0</v>
      </c>
      <c r="G47">
        <v>0</v>
      </c>
      <c r="H47">
        <v>4.5580048681492798E-2</v>
      </c>
      <c r="I47">
        <v>0</v>
      </c>
      <c r="J47">
        <v>0</v>
      </c>
      <c r="K47">
        <v>0</v>
      </c>
      <c r="L47">
        <v>0</v>
      </c>
      <c r="M47">
        <v>0</v>
      </c>
      <c r="N47">
        <v>0</v>
      </c>
      <c r="O47">
        <v>0</v>
      </c>
      <c r="P47">
        <v>0.72004487399486805</v>
      </c>
      <c r="Q47">
        <v>0</v>
      </c>
      <c r="R47" s="338"/>
    </row>
    <row r="48" spans="1:18" ht="14.5">
      <c r="B48" s="338">
        <f>+SUM(B27:B47)</f>
        <v>0.99999999999999933</v>
      </c>
      <c r="C48" s="338">
        <f t="shared" ref="C48:Q48" si="1">+SUM(C27:C47)</f>
        <v>1.0000000000000002</v>
      </c>
      <c r="D48" s="338">
        <f t="shared" si="1"/>
        <v>1</v>
      </c>
      <c r="E48" s="338">
        <f t="shared" si="1"/>
        <v>0.99999999999999989</v>
      </c>
      <c r="F48" s="338">
        <f t="shared" si="1"/>
        <v>1.0000000000000011</v>
      </c>
      <c r="G48" s="338">
        <f t="shared" si="1"/>
        <v>0.99999999999999967</v>
      </c>
      <c r="H48" s="338">
        <f t="shared" si="1"/>
        <v>1</v>
      </c>
      <c r="I48" s="338">
        <f t="shared" si="1"/>
        <v>1.0000000000000002</v>
      </c>
      <c r="J48" s="338">
        <f t="shared" si="1"/>
        <v>0.99999999999999978</v>
      </c>
      <c r="K48" s="338">
        <f t="shared" si="1"/>
        <v>0.99999999999999967</v>
      </c>
      <c r="L48" s="338">
        <f t="shared" si="1"/>
        <v>1.0000000000000004</v>
      </c>
      <c r="M48" s="338">
        <f t="shared" si="1"/>
        <v>1.0000000000000002</v>
      </c>
      <c r="N48" s="338">
        <f t="shared" si="1"/>
        <v>0.99999999999999978</v>
      </c>
      <c r="O48" s="338">
        <f t="shared" si="1"/>
        <v>0.99999999999999989</v>
      </c>
      <c r="P48" s="338">
        <f t="shared" si="1"/>
        <v>0.99999999999999978</v>
      </c>
      <c r="Q48" s="338">
        <f t="shared" si="1"/>
        <v>1.0000000000000002</v>
      </c>
    </row>
    <row r="49" spans="1:18" ht="15.75" customHeight="1"/>
    <row r="50" spans="1:18" ht="14.5">
      <c r="A50" s="341" t="s">
        <v>200</v>
      </c>
    </row>
    <row r="51" spans="1:18" ht="14.5">
      <c r="A51" s="334"/>
      <c r="B51" s="335" t="s">
        <v>99</v>
      </c>
      <c r="C51" s="335" t="s">
        <v>102</v>
      </c>
      <c r="D51" s="335" t="s">
        <v>105</v>
      </c>
      <c r="E51" s="335" t="s">
        <v>196</v>
      </c>
      <c r="F51" s="335" t="s">
        <v>110</v>
      </c>
      <c r="G51" s="335" t="s">
        <v>112</v>
      </c>
      <c r="H51" s="335" t="s">
        <v>114</v>
      </c>
      <c r="I51" s="335" t="s">
        <v>116</v>
      </c>
      <c r="J51" s="335" t="s">
        <v>197</v>
      </c>
      <c r="K51" s="335" t="s">
        <v>121</v>
      </c>
      <c r="L51" s="335" t="s">
        <v>123</v>
      </c>
      <c r="M51" s="335" t="s">
        <v>126</v>
      </c>
      <c r="N51" s="335" t="s">
        <v>129</v>
      </c>
      <c r="O51" s="335" t="s">
        <v>131</v>
      </c>
      <c r="P51" s="335" t="s">
        <v>134</v>
      </c>
      <c r="Q51" s="335" t="s">
        <v>198</v>
      </c>
    </row>
    <row r="52" spans="1:18" ht="14.5">
      <c r="B52" s="342">
        <v>141251.6</v>
      </c>
      <c r="C52" s="342">
        <v>40426.500000000007</v>
      </c>
      <c r="D52" s="342">
        <v>63910.299999999988</v>
      </c>
      <c r="E52" s="342">
        <v>161347.50000000015</v>
      </c>
      <c r="F52" s="342">
        <v>17236.799999999988</v>
      </c>
      <c r="G52" s="342">
        <v>37757.099999999991</v>
      </c>
      <c r="H52" s="342">
        <v>52445.269689190085</v>
      </c>
      <c r="I52" s="342">
        <v>30993.7</v>
      </c>
      <c r="J52" s="342">
        <v>108198.80000000005</v>
      </c>
      <c r="K52" s="342">
        <v>15605.100000000008</v>
      </c>
      <c r="L52" s="342">
        <v>28209.7</v>
      </c>
      <c r="M52" s="342">
        <v>70797.800000000017</v>
      </c>
      <c r="N52" s="342">
        <v>9606.2000000000007</v>
      </c>
      <c r="O52" s="342">
        <v>92562.39999999998</v>
      </c>
      <c r="P52" s="342">
        <v>21378.630310809916</v>
      </c>
      <c r="Q52" s="342">
        <v>90876.800000000003</v>
      </c>
      <c r="R52" s="417">
        <f>+SUM(cons_coicop_initial)</f>
        <v>982604.20000000019</v>
      </c>
    </row>
    <row r="53" spans="1:18" ht="15.75" customHeight="1"/>
    <row r="54" spans="1:18" ht="15.75" customHeight="1"/>
    <row r="55" spans="1:18" ht="15.75" customHeight="1"/>
    <row r="56" spans="1:18" ht="15.75" customHeight="1"/>
    <row r="57" spans="1:18" ht="15.75" customHeight="1"/>
    <row r="58" spans="1:18" ht="15.75" customHeight="1"/>
    <row r="59" spans="1:18" ht="15.75" customHeight="1"/>
    <row r="60" spans="1:18" ht="15.75" customHeight="1"/>
    <row r="61" spans="1:18" ht="15.75" customHeight="1"/>
    <row r="62" spans="1:18" ht="15.75" customHeight="1"/>
    <row r="63" spans="1:18" ht="15.75" customHeight="1"/>
    <row r="64" spans="1:18"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honeticPr fontId="26" type="noConversion"/>
  <conditionalFormatting sqref="AP3:BE21">
    <cfRule type="colorScale" priority="1">
      <colorScale>
        <cfvo type="min"/>
        <cfvo type="percentile" val="50"/>
        <cfvo type="max"/>
        <color rgb="FF5A8AC6"/>
        <color rgb="FFFCFCFF"/>
        <color rgb="FFF8696B"/>
      </colorScale>
    </cfRule>
  </conditionalFormatting>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CA517-7B88-4D3D-9871-27BF322432C1}">
  <sheetPr>
    <tabColor theme="4" tint="0.79998168889431442"/>
  </sheetPr>
  <dimension ref="A1:O49"/>
  <sheetViews>
    <sheetView topLeftCell="A19" zoomScaleNormal="100" workbookViewId="0">
      <selection activeCell="C29" sqref="C29:C49"/>
    </sheetView>
  </sheetViews>
  <sheetFormatPr defaultColWidth="10" defaultRowHeight="14"/>
  <cols>
    <col min="2" max="3" width="12.5" bestFit="1" customWidth="1"/>
  </cols>
  <sheetData>
    <row r="1" spans="1:12">
      <c r="A1">
        <v>2020</v>
      </c>
      <c r="L1" s="283" t="s">
        <v>1048</v>
      </c>
    </row>
    <row r="3" spans="1:12" s="285" customFormat="1">
      <c r="A3" s="284" t="s">
        <v>1049</v>
      </c>
      <c r="B3" s="285">
        <v>2020</v>
      </c>
      <c r="E3" s="285">
        <v>2021</v>
      </c>
      <c r="H3" s="285">
        <v>2022</v>
      </c>
      <c r="L3" s="284" t="s">
        <v>1050</v>
      </c>
    </row>
    <row r="4" spans="1:12">
      <c r="B4" s="204" t="s">
        <v>345</v>
      </c>
      <c r="C4" s="204" t="s">
        <v>357</v>
      </c>
      <c r="D4" s="204" t="s">
        <v>347</v>
      </c>
      <c r="E4" s="204" t="s">
        <v>345</v>
      </c>
      <c r="F4" s="204" t="s">
        <v>357</v>
      </c>
      <c r="G4" s="204" t="s">
        <v>347</v>
      </c>
      <c r="H4" s="204" t="s">
        <v>345</v>
      </c>
      <c r="I4" s="204" t="s">
        <v>357</v>
      </c>
      <c r="J4" s="204" t="s">
        <v>347</v>
      </c>
    </row>
    <row r="5" spans="1:12">
      <c r="A5" s="204" t="s">
        <v>355</v>
      </c>
      <c r="B5" s="233">
        <v>-5.6408197837728102E-2</v>
      </c>
      <c r="C5" s="42">
        <v>-3.0690049779592443E-2</v>
      </c>
      <c r="D5" s="234">
        <v>-1.7481159548338732E-2</v>
      </c>
      <c r="E5" s="235">
        <v>1.9741291930700733E-2</v>
      </c>
      <c r="F5">
        <v>2.0376854716949389E-2</v>
      </c>
      <c r="G5" s="159">
        <v>3.7318381662813316E-2</v>
      </c>
      <c r="H5" s="235">
        <v>1.3267893342078008E-2</v>
      </c>
      <c r="I5">
        <v>1.1618343629586247E-2</v>
      </c>
      <c r="J5" s="159">
        <v>-1.0558284906947435E-4</v>
      </c>
    </row>
    <row r="6" spans="1:12">
      <c r="A6" s="204" t="s">
        <v>354</v>
      </c>
      <c r="B6" s="236">
        <v>-2.9514890586293197E-2</v>
      </c>
      <c r="C6" s="237">
        <v>-2.0805009632447136E-2</v>
      </c>
      <c r="D6" s="161">
        <v>-3.9245149261488699E-3</v>
      </c>
      <c r="E6" s="236">
        <v>2.4756791211799412E-2</v>
      </c>
      <c r="F6" s="237">
        <v>2.4677766642049237E-2</v>
      </c>
      <c r="G6" s="161">
        <v>9.2216964036524463E-3</v>
      </c>
      <c r="H6" s="236">
        <v>9.5148756756129327E-3</v>
      </c>
      <c r="I6" s="237">
        <v>8.7829323960457728E-3</v>
      </c>
      <c r="J6" s="161">
        <v>2.2176255108588006E-3</v>
      </c>
    </row>
    <row r="8" spans="1:12" s="285" customFormat="1">
      <c r="A8" s="284" t="s">
        <v>1051</v>
      </c>
      <c r="B8" s="286">
        <v>2020</v>
      </c>
      <c r="C8" s="286">
        <v>2021</v>
      </c>
      <c r="D8" s="286">
        <v>2022</v>
      </c>
      <c r="L8" s="284" t="s">
        <v>1052</v>
      </c>
    </row>
    <row r="9" spans="1:12">
      <c r="B9" s="204">
        <v>-0.10977914899390194</v>
      </c>
      <c r="C9" s="204">
        <v>7.0035317725722759E-2</v>
      </c>
      <c r="D9" s="204">
        <v>0.13739710868633509</v>
      </c>
    </row>
    <row r="11" spans="1:12" s="285" customFormat="1">
      <c r="A11" s="284" t="s">
        <v>1053</v>
      </c>
      <c r="B11" s="286">
        <v>2020</v>
      </c>
      <c r="C11" s="286">
        <v>2021</v>
      </c>
      <c r="D11" s="286">
        <v>2022</v>
      </c>
      <c r="L11" s="284" t="s">
        <v>1054</v>
      </c>
    </row>
    <row r="12" spans="1:12">
      <c r="B12" s="204">
        <v>3.3942041993586525E-3</v>
      </c>
      <c r="C12" s="204">
        <v>2.3136314610157749E-2</v>
      </c>
      <c r="D12" s="204">
        <v>6.4457643435678058E-3</v>
      </c>
    </row>
    <row r="14" spans="1:12" s="285" customFormat="1">
      <c r="A14" s="284" t="s">
        <v>1055</v>
      </c>
      <c r="B14" s="286">
        <v>2020</v>
      </c>
      <c r="C14" s="286">
        <v>2021</v>
      </c>
      <c r="D14" s="286">
        <v>2022</v>
      </c>
      <c r="L14" s="284" t="s">
        <v>1054</v>
      </c>
    </row>
    <row r="15" spans="1:12">
      <c r="B15" s="204">
        <v>-0.13709371401144155</v>
      </c>
      <c r="C15" s="204">
        <v>0.1408550508544979</v>
      </c>
      <c r="D15" s="204">
        <v>9.7877736035430374E-2</v>
      </c>
    </row>
    <row r="17" spans="1:15" s="285" customFormat="1">
      <c r="A17" s="284" t="s">
        <v>138</v>
      </c>
      <c r="B17" s="286">
        <v>2020</v>
      </c>
      <c r="C17" s="286">
        <v>2021</v>
      </c>
      <c r="D17" s="286">
        <v>2022</v>
      </c>
      <c r="E17" s="286">
        <v>2023</v>
      </c>
      <c r="L17" s="284" t="s">
        <v>1054</v>
      </c>
    </row>
    <row r="18" spans="1:15">
      <c r="B18" s="204">
        <v>-7.1064319843504142E-2</v>
      </c>
      <c r="C18" s="204">
        <v>0.21543333162327549</v>
      </c>
      <c r="D18" s="204">
        <v>7.5361560309246345E-2</v>
      </c>
      <c r="E18" s="204">
        <v>8.4799997834449137E-2</v>
      </c>
    </row>
    <row r="21" spans="1:15">
      <c r="A21" s="204" t="s">
        <v>1367</v>
      </c>
      <c r="B21" s="244">
        <v>0</v>
      </c>
      <c r="C21" s="204">
        <v>1</v>
      </c>
      <c r="D21" s="204">
        <v>2</v>
      </c>
      <c r="E21" s="204">
        <v>3</v>
      </c>
      <c r="F21" s="204">
        <v>4</v>
      </c>
      <c r="G21" s="204">
        <v>5</v>
      </c>
      <c r="H21" s="204">
        <v>6</v>
      </c>
      <c r="I21" s="204">
        <v>7</v>
      </c>
      <c r="J21" s="204">
        <v>8</v>
      </c>
      <c r="K21" s="204">
        <v>9</v>
      </c>
      <c r="L21" s="204">
        <v>10</v>
      </c>
      <c r="M21" s="204">
        <v>11</v>
      </c>
      <c r="N21" s="204">
        <v>12</v>
      </c>
      <c r="O21" s="204">
        <v>13</v>
      </c>
    </row>
    <row r="22" spans="1:15">
      <c r="A22" s="204" t="s">
        <v>784</v>
      </c>
      <c r="B22" s="233"/>
      <c r="C22" s="42">
        <v>-2.2508932946139315E-2</v>
      </c>
      <c r="D22" s="42">
        <v>-2.3324028621387716E-2</v>
      </c>
      <c r="E22" s="42">
        <v>-1.0782952439159166E-2</v>
      </c>
      <c r="F22" s="42">
        <v>-6.0011704971448809E-3</v>
      </c>
      <c r="G22" s="42">
        <v>-1.0477136164579459E-3</v>
      </c>
      <c r="H22" s="42">
        <v>1.2645008200617536E-2</v>
      </c>
      <c r="I22" s="42">
        <v>2.7871830479870852E-3</v>
      </c>
      <c r="J22" s="42">
        <v>-1.9389226805943682E-4</v>
      </c>
      <c r="K22" s="42">
        <v>-4.2874818896804223E-3</v>
      </c>
      <c r="L22" s="42">
        <v>3.3942041993586525E-3</v>
      </c>
      <c r="M22" s="42">
        <v>2.3136314610157749E-2</v>
      </c>
      <c r="N22" s="42">
        <v>6.4457643435678058E-3</v>
      </c>
      <c r="O22" s="234">
        <v>1.9079849381650416E-2</v>
      </c>
    </row>
    <row r="23" spans="1:15">
      <c r="A23" s="204" t="s">
        <v>138</v>
      </c>
      <c r="B23" s="235"/>
      <c r="C23" s="156">
        <v>-1.5305524134342274E-2</v>
      </c>
      <c r="D23" s="156">
        <v>-9.8409743746561307E-2</v>
      </c>
      <c r="E23" s="156">
        <v>-6.7291693540758368E-2</v>
      </c>
      <c r="F23" s="156">
        <v>-2.1601333307270987E-2</v>
      </c>
      <c r="G23" s="156">
        <v>1.9496155501827817E-2</v>
      </c>
      <c r="H23" s="156">
        <v>3.847182007858474E-2</v>
      </c>
      <c r="I23" s="156">
        <v>3.259141211412997E-2</v>
      </c>
      <c r="J23" s="156">
        <v>3.2805069457470415E-2</v>
      </c>
      <c r="K23" s="156">
        <v>1.5792901824271288E-2</v>
      </c>
      <c r="L23" s="156">
        <v>-7.1064319843504142E-2</v>
      </c>
      <c r="M23" s="156">
        <v>0.21543333162327549</v>
      </c>
      <c r="N23" s="156">
        <v>7.5361560309246345E-2</v>
      </c>
      <c r="O23" s="159">
        <v>8.4799997834449137E-2</v>
      </c>
    </row>
    <row r="24" spans="1:15">
      <c r="A24" s="204" t="s">
        <v>783</v>
      </c>
      <c r="B24" s="235"/>
      <c r="C24" s="156">
        <v>4.9328571074236605E-2</v>
      </c>
      <c r="D24" s="156">
        <v>1.8330119430489233E-2</v>
      </c>
      <c r="E24" s="156">
        <v>2.4781082257361309E-3</v>
      </c>
      <c r="F24" s="156">
        <v>2.5404967721365246E-2</v>
      </c>
      <c r="G24" s="156">
        <v>3.9856656399880785E-2</v>
      </c>
      <c r="H24" s="156">
        <v>2.3380541173926073E-2</v>
      </c>
      <c r="I24" s="156">
        <v>5.3675456119153919E-2</v>
      </c>
      <c r="J24" s="156">
        <v>2.1295902852597415E-2</v>
      </c>
      <c r="K24" s="156">
        <v>1.2260524612739854E-2</v>
      </c>
      <c r="L24" s="156">
        <v>-0.13709371401144155</v>
      </c>
      <c r="M24" s="156">
        <v>0.1408550508544979</v>
      </c>
      <c r="N24" s="156">
        <v>9.7877736035430374E-2</v>
      </c>
      <c r="O24" s="159">
        <v>8.210288940747601E-3</v>
      </c>
    </row>
    <row r="25" spans="1:15">
      <c r="A25" s="204" t="s">
        <v>1368</v>
      </c>
      <c r="B25" s="236"/>
      <c r="C25" s="237">
        <v>3.2229920022390335E-2</v>
      </c>
      <c r="D25" s="237">
        <v>-8.424409949414291E-3</v>
      </c>
      <c r="E25" s="237">
        <v>-1.0510836248055155E-2</v>
      </c>
      <c r="F25" s="237">
        <v>4.9145470653559897E-3</v>
      </c>
      <c r="G25" s="237">
        <v>2.1154805928865761E-2</v>
      </c>
      <c r="H25" s="237">
        <v>1.3174097092573334E-2</v>
      </c>
      <c r="I25" s="237">
        <v>2.5963167007712729E-2</v>
      </c>
      <c r="J25" s="237">
        <v>1.9680297486918796E-2</v>
      </c>
      <c r="K25" s="237">
        <v>9.6399979777974654E-3</v>
      </c>
      <c r="L25" s="237">
        <v>-0.11243409546341643</v>
      </c>
      <c r="M25" s="237">
        <v>7.5179064564914855E-2</v>
      </c>
      <c r="N25" s="237">
        <v>0.13143827699366462</v>
      </c>
      <c r="O25" s="161">
        <v>6.2277817348639797E-2</v>
      </c>
    </row>
    <row r="27" spans="1:15">
      <c r="A27" s="15" t="s">
        <v>1536</v>
      </c>
    </row>
    <row r="28" spans="1:15">
      <c r="B28" s="422" t="s">
        <v>1534</v>
      </c>
      <c r="C28" s="422" t="s">
        <v>1535</v>
      </c>
    </row>
    <row r="29" spans="1:15">
      <c r="A29" s="155" t="s">
        <v>139</v>
      </c>
      <c r="B29" s="233">
        <v>-0.113609</v>
      </c>
      <c r="C29" s="234">
        <v>0.111828</v>
      </c>
    </row>
    <row r="30" spans="1:15">
      <c r="A30" s="155" t="s">
        <v>37</v>
      </c>
      <c r="B30" s="235">
        <v>-0.106128</v>
      </c>
      <c r="C30" s="159">
        <v>0.115606</v>
      </c>
    </row>
    <row r="31" spans="1:15">
      <c r="A31" s="155" t="s">
        <v>140</v>
      </c>
      <c r="B31" s="235">
        <v>-0.117868</v>
      </c>
      <c r="C31" s="159">
        <v>0.12593299999999999</v>
      </c>
    </row>
    <row r="32" spans="1:15">
      <c r="A32" s="155" t="s">
        <v>48</v>
      </c>
      <c r="B32" s="235">
        <v>-0.124167</v>
      </c>
      <c r="C32" s="159">
        <v>9.7699400000000006E-2</v>
      </c>
    </row>
    <row r="33" spans="1:3">
      <c r="A33" s="155" t="s">
        <v>341</v>
      </c>
      <c r="B33" s="235">
        <v>-0.11972099999999999</v>
      </c>
      <c r="C33" s="159">
        <v>0.132272</v>
      </c>
    </row>
    <row r="34" spans="1:3">
      <c r="A34" s="155" t="s">
        <v>142</v>
      </c>
      <c r="B34" s="235">
        <v>-9.2716300000000001E-2</v>
      </c>
      <c r="C34" s="159">
        <v>0.110286</v>
      </c>
    </row>
    <row r="35" spans="1:3">
      <c r="A35" s="155" t="s">
        <v>143</v>
      </c>
      <c r="B35" s="235">
        <v>-0.100635</v>
      </c>
      <c r="C35" s="159">
        <v>9.6126100000000006E-2</v>
      </c>
    </row>
    <row r="36" spans="1:3">
      <c r="A36" s="155" t="s">
        <v>144</v>
      </c>
      <c r="B36" s="235">
        <v>-7.8890000000000002E-2</v>
      </c>
      <c r="C36" s="159">
        <v>0.165377</v>
      </c>
    </row>
    <row r="37" spans="1:3">
      <c r="A37" s="155" t="s">
        <v>61</v>
      </c>
      <c r="B37" s="235">
        <v>-0.101382</v>
      </c>
      <c r="C37" s="159">
        <v>0.110902</v>
      </c>
    </row>
    <row r="38" spans="1:3">
      <c r="A38" s="155" t="s">
        <v>63</v>
      </c>
      <c r="B38" s="235">
        <v>-4.5457600000000001E-2</v>
      </c>
      <c r="C38" s="159">
        <v>0.18995400000000001</v>
      </c>
    </row>
    <row r="39" spans="1:3">
      <c r="A39" s="155" t="s">
        <v>65</v>
      </c>
      <c r="B39" s="235">
        <v>-0.103204</v>
      </c>
      <c r="C39" s="159">
        <v>9.8595100000000005E-2</v>
      </c>
    </row>
    <row r="40" spans="1:3">
      <c r="A40" s="155" t="s">
        <v>342</v>
      </c>
      <c r="B40" s="235">
        <v>-0.10112400000000001</v>
      </c>
      <c r="C40" s="159">
        <v>9.5529299999999998E-2</v>
      </c>
    </row>
    <row r="41" spans="1:3">
      <c r="A41" s="155" t="s">
        <v>69</v>
      </c>
      <c r="B41" s="235">
        <v>-0.104017</v>
      </c>
      <c r="C41" s="159">
        <v>4.8024799999999999E-2</v>
      </c>
    </row>
    <row r="42" spans="1:3">
      <c r="A42" s="155" t="s">
        <v>145</v>
      </c>
      <c r="B42" s="235">
        <v>-9.28591E-2</v>
      </c>
      <c r="C42" s="159">
        <v>9.3176499999999995E-2</v>
      </c>
    </row>
    <row r="43" spans="1:3">
      <c r="A43" s="155" t="s">
        <v>73</v>
      </c>
      <c r="B43" s="235">
        <v>-9.4695000000000001E-2</v>
      </c>
      <c r="C43" s="159">
        <v>9.4013299999999994E-2</v>
      </c>
    </row>
    <row r="44" spans="1:3">
      <c r="A44" s="155" t="s">
        <v>75</v>
      </c>
      <c r="B44" s="235">
        <v>-9.7026100000000004E-2</v>
      </c>
      <c r="C44" s="159">
        <v>0.10102999999999999</v>
      </c>
    </row>
    <row r="45" spans="1:3">
      <c r="A45" s="155" t="s">
        <v>146</v>
      </c>
      <c r="B45" s="235">
        <v>-8.6575299999999994E-2</v>
      </c>
      <c r="C45" s="159">
        <v>9.9643700000000002E-2</v>
      </c>
    </row>
    <row r="46" spans="1:3">
      <c r="A46" s="155" t="s">
        <v>83</v>
      </c>
      <c r="B46" s="235">
        <v>9.0102600000000005E-2</v>
      </c>
      <c r="C46" s="159">
        <v>2.15839E-2</v>
      </c>
    </row>
    <row r="47" spans="1:3">
      <c r="A47" s="155" t="s">
        <v>85</v>
      </c>
      <c r="B47" s="235">
        <v>5.5133000000000001E-2</v>
      </c>
      <c r="C47" s="159">
        <v>2.8586899999999998E-2</v>
      </c>
    </row>
    <row r="48" spans="1:3">
      <c r="A48" s="155" t="s">
        <v>88</v>
      </c>
      <c r="B48" s="235">
        <v>5.74724E-2</v>
      </c>
      <c r="C48" s="159">
        <v>2.82122E-2</v>
      </c>
    </row>
    <row r="49" spans="1:3">
      <c r="A49" s="155" t="s">
        <v>147</v>
      </c>
      <c r="B49" s="236">
        <v>-0.113424</v>
      </c>
      <c r="C49" s="161">
        <v>4.3271799999999999E-2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4" tint="0.79998168889431442"/>
  </sheetPr>
  <dimension ref="A1:V24"/>
  <sheetViews>
    <sheetView zoomScale="70" zoomScaleNormal="70" workbookViewId="0">
      <selection activeCell="A3" sqref="A3:A23"/>
    </sheetView>
  </sheetViews>
  <sheetFormatPr defaultColWidth="12.58203125" defaultRowHeight="15" customHeight="1"/>
  <sheetData>
    <row r="1" spans="1:22" ht="15" customHeight="1">
      <c r="A1" s="508" t="s">
        <v>798</v>
      </c>
      <c r="B1" s="509"/>
      <c r="C1" s="509"/>
      <c r="D1" s="509"/>
      <c r="E1" s="509"/>
      <c r="F1" s="509"/>
      <c r="G1" s="509"/>
      <c r="H1" s="509"/>
      <c r="I1" s="509"/>
      <c r="J1" s="509"/>
      <c r="K1" s="509"/>
      <c r="L1" s="509"/>
      <c r="M1" s="509"/>
      <c r="N1" s="509"/>
      <c r="O1" s="509"/>
      <c r="P1" s="509"/>
      <c r="Q1" s="509"/>
      <c r="R1" s="509"/>
      <c r="S1" s="509"/>
      <c r="T1" s="509"/>
      <c r="U1" s="509"/>
      <c r="V1" s="509"/>
    </row>
    <row r="2" spans="1:22" ht="15" customHeight="1">
      <c r="A2" s="239"/>
      <c r="B2" s="239" t="s">
        <v>139</v>
      </c>
      <c r="C2" s="239" t="s">
        <v>37</v>
      </c>
      <c r="D2" s="239" t="s">
        <v>140</v>
      </c>
      <c r="E2" s="239" t="s">
        <v>48</v>
      </c>
      <c r="F2" s="239" t="s">
        <v>341</v>
      </c>
      <c r="G2" s="239" t="s">
        <v>142</v>
      </c>
      <c r="H2" s="239" t="s">
        <v>143</v>
      </c>
      <c r="I2" s="239" t="s">
        <v>144</v>
      </c>
      <c r="J2" s="239" t="s">
        <v>61</v>
      </c>
      <c r="K2" s="239" t="s">
        <v>63</v>
      </c>
      <c r="L2" s="239" t="s">
        <v>65</v>
      </c>
      <c r="M2" s="239" t="s">
        <v>342</v>
      </c>
      <c r="N2" s="239" t="s">
        <v>69</v>
      </c>
      <c r="O2" s="239" t="s">
        <v>145</v>
      </c>
      <c r="P2" s="239" t="s">
        <v>73</v>
      </c>
      <c r="Q2" s="239" t="s">
        <v>75</v>
      </c>
      <c r="R2" s="239" t="s">
        <v>146</v>
      </c>
      <c r="S2" s="239" t="s">
        <v>83</v>
      </c>
      <c r="T2" s="239" t="s">
        <v>85</v>
      </c>
      <c r="U2" s="239" t="s">
        <v>88</v>
      </c>
      <c r="V2" s="239" t="s">
        <v>147</v>
      </c>
    </row>
    <row r="3" spans="1:22" ht="15" customHeight="1">
      <c r="A3" s="155" t="s">
        <v>139</v>
      </c>
      <c r="B3" s="41">
        <v>4.34132985611266E-2</v>
      </c>
      <c r="C3" s="41">
        <v>6.2249142434427204E-4</v>
      </c>
      <c r="D3" s="41">
        <v>7.2598691371127198E-4</v>
      </c>
      <c r="E3" s="41">
        <v>1.0002464655414001E-5</v>
      </c>
      <c r="F3" s="41">
        <v>1.4965500199479399E-3</v>
      </c>
      <c r="G3" s="41">
        <v>1.02245426830928E-5</v>
      </c>
      <c r="H3" s="41">
        <v>1.0279191773038501E-5</v>
      </c>
      <c r="I3" s="41">
        <v>1.0289445109128199E-5</v>
      </c>
      <c r="J3" s="41">
        <v>1.5611136858897001E-5</v>
      </c>
      <c r="K3" s="41">
        <v>4.5133039249035503E-5</v>
      </c>
      <c r="L3" s="41">
        <v>3.7500113067891899E-5</v>
      </c>
      <c r="M3" s="41">
        <v>2.4700363090034398E-5</v>
      </c>
      <c r="N3" s="41">
        <v>4.3443913155932096E-6</v>
      </c>
      <c r="O3" s="41">
        <v>2.3865067489958901E-3</v>
      </c>
      <c r="P3" s="41">
        <v>4.48941531631899E-4</v>
      </c>
      <c r="Q3" s="41">
        <v>5.0275050945474797E-7</v>
      </c>
      <c r="R3" s="41">
        <v>6.9540312064256195E-4</v>
      </c>
      <c r="S3" s="41">
        <v>8.9097818966315293E-6</v>
      </c>
      <c r="T3" s="41">
        <v>7.4912579876111799E-5</v>
      </c>
      <c r="U3" s="41">
        <v>5.2952771327882198E-4</v>
      </c>
      <c r="V3" s="41">
        <v>0</v>
      </c>
    </row>
    <row r="4" spans="1:22" ht="15" customHeight="1">
      <c r="A4" s="155" t="s">
        <v>37</v>
      </c>
      <c r="B4" s="41">
        <v>6.4936896735359502E-6</v>
      </c>
      <c r="C4" s="41">
        <v>5.92897298734677E-2</v>
      </c>
      <c r="D4" s="41">
        <v>8.53669710716344E-4</v>
      </c>
      <c r="E4" s="41">
        <v>1.1761646040129099E-5</v>
      </c>
      <c r="F4" s="41">
        <v>1.7597554425197099E-3</v>
      </c>
      <c r="G4" s="41">
        <v>1.2022781994599499E-5</v>
      </c>
      <c r="H4" s="41">
        <v>1.2087042481839299E-5</v>
      </c>
      <c r="I4" s="41">
        <v>1.2099099121274901E-5</v>
      </c>
      <c r="J4" s="41">
        <v>1.83567422974073E-5</v>
      </c>
      <c r="K4" s="41">
        <v>5.3070803112019499E-5</v>
      </c>
      <c r="L4" s="41">
        <v>4.4095437631027402E-5</v>
      </c>
      <c r="M4" s="41">
        <v>2.9044534295895499E-5</v>
      </c>
      <c r="N4" s="41">
        <v>5.1084602319650201E-6</v>
      </c>
      <c r="O4" s="41">
        <v>8.3384626795502E-4</v>
      </c>
      <c r="P4" s="41">
        <v>5.2789902985658397E-4</v>
      </c>
      <c r="Q4" s="41">
        <v>5.91171650429249E-7</v>
      </c>
      <c r="R4" s="41">
        <v>8.1770699942158203E-4</v>
      </c>
      <c r="S4" s="41">
        <v>1.0476787929083999E-5</v>
      </c>
      <c r="T4" s="41">
        <v>8.8087814234746398E-5</v>
      </c>
      <c r="U4" s="41">
        <v>6.2265828939004502E-4</v>
      </c>
      <c r="V4" s="41">
        <v>0</v>
      </c>
    </row>
    <row r="5" spans="1:22" ht="15" customHeight="1">
      <c r="A5" s="155" t="s">
        <v>140</v>
      </c>
      <c r="B5" s="41">
        <v>0.52615539335308603</v>
      </c>
      <c r="C5" s="41">
        <v>0.18446280780945101</v>
      </c>
      <c r="D5" s="41">
        <v>0.59809798143663395</v>
      </c>
      <c r="E5" s="41">
        <v>0.409171842035575</v>
      </c>
      <c r="F5" s="41">
        <v>0.29967726814186502</v>
      </c>
      <c r="G5" s="41">
        <v>0.33421886846980797</v>
      </c>
      <c r="H5" s="41">
        <v>0.33600523266922899</v>
      </c>
      <c r="I5" s="41">
        <v>0.336340392733808</v>
      </c>
      <c r="J5" s="41">
        <v>0.49758744860853199</v>
      </c>
      <c r="K5" s="41">
        <v>0.49725701801970201</v>
      </c>
      <c r="L5" s="41">
        <v>0.206660065625307</v>
      </c>
      <c r="M5" s="41">
        <v>0.14593078394540701</v>
      </c>
      <c r="N5" s="41">
        <v>0.49947379683637699</v>
      </c>
      <c r="O5" s="41">
        <v>0.24339875705824701</v>
      </c>
      <c r="P5" s="41">
        <v>0.13062205368637</v>
      </c>
      <c r="Q5" s="41">
        <v>6.3392931975983198E-3</v>
      </c>
      <c r="R5" s="41">
        <v>8.3089139741530094E-2</v>
      </c>
      <c r="S5" s="41">
        <v>0.203495532484636</v>
      </c>
      <c r="T5" s="41">
        <v>0.37278368617385299</v>
      </c>
      <c r="U5" s="41">
        <v>0.247239116897747</v>
      </c>
      <c r="V5" s="41">
        <v>0</v>
      </c>
    </row>
    <row r="6" spans="1:22" ht="15" customHeight="1">
      <c r="A6" s="155" t="s">
        <v>48</v>
      </c>
      <c r="B6" s="41">
        <v>4.0823867632465698E-4</v>
      </c>
      <c r="C6" s="41">
        <v>5.8908050431854902E-4</v>
      </c>
      <c r="D6" s="41">
        <v>9.1150113726200601E-4</v>
      </c>
      <c r="E6" s="41">
        <v>8.9759151708247904E-4</v>
      </c>
      <c r="F6" s="41">
        <v>1.3057411892586201E-3</v>
      </c>
      <c r="G6" s="41">
        <v>2.64143923949689E-4</v>
      </c>
      <c r="H6" s="41">
        <v>2.6555574504584203E-4</v>
      </c>
      <c r="I6" s="41">
        <v>2.65820632827356E-4</v>
      </c>
      <c r="J6" s="41">
        <v>3.9353875133135198E-4</v>
      </c>
      <c r="K6" s="41">
        <v>4.1450057058176201E-4</v>
      </c>
      <c r="L6" s="41">
        <v>1.8573587009883499E-4</v>
      </c>
      <c r="M6" s="41">
        <v>1.29876247959884E-4</v>
      </c>
      <c r="N6" s="41">
        <v>3.8689135534181201E-4</v>
      </c>
      <c r="O6" s="41">
        <v>6.9662485607552196E-4</v>
      </c>
      <c r="P6" s="41">
        <v>4.2299171903784202E-4</v>
      </c>
      <c r="Q6" s="41">
        <v>5.2320761995224796E-6</v>
      </c>
      <c r="R6" s="41">
        <v>5.6358780176553401E-4</v>
      </c>
      <c r="S6" s="41">
        <v>1.6275817229365001E-4</v>
      </c>
      <c r="T6" s="41">
        <v>3.4026269007173898E-4</v>
      </c>
      <c r="U6" s="41">
        <v>5.70506797019523E-4</v>
      </c>
      <c r="V6" s="41">
        <v>0</v>
      </c>
    </row>
    <row r="7" spans="1:22" ht="15" customHeight="1">
      <c r="A7" s="155" t="s">
        <v>341</v>
      </c>
      <c r="B7" s="41">
        <v>4.5980634091221301E-2</v>
      </c>
      <c r="C7" s="41">
        <v>1.06103635615852E-2</v>
      </c>
      <c r="D7" s="41">
        <v>2.7794606352647799E-2</v>
      </c>
      <c r="E7" s="41">
        <v>3.10608155841916E-3</v>
      </c>
      <c r="F7" s="41">
        <v>0.248167012881472</v>
      </c>
      <c r="G7" s="41">
        <v>5.5381911688284196E-3</v>
      </c>
      <c r="H7" s="41">
        <v>5.5677922098433599E-3</v>
      </c>
      <c r="I7" s="41">
        <v>5.5733459971513402E-3</v>
      </c>
      <c r="J7" s="41">
        <v>9.2373230535187006E-2</v>
      </c>
      <c r="K7" s="41">
        <v>0.170421384383667</v>
      </c>
      <c r="L7" s="41">
        <v>6.7313585941031095E-2</v>
      </c>
      <c r="M7" s="41">
        <v>0.65512493802383898</v>
      </c>
      <c r="N7" s="41">
        <v>2.7706201631285801E-2</v>
      </c>
      <c r="O7" s="41">
        <v>1.4605156230089599E-2</v>
      </c>
      <c r="P7" s="41">
        <v>1.4674819802792E-2</v>
      </c>
      <c r="Q7" s="41">
        <v>1.71029169106498E-3</v>
      </c>
      <c r="R7" s="41">
        <v>7.1795521188401101E-2</v>
      </c>
      <c r="S7" s="41">
        <v>3.86991802280452E-2</v>
      </c>
      <c r="T7" s="41">
        <v>3.0793634989106401E-2</v>
      </c>
      <c r="U7" s="41">
        <v>2.04680518563146E-2</v>
      </c>
      <c r="V7" s="41">
        <v>0</v>
      </c>
    </row>
    <row r="8" spans="1:22" ht="15" customHeight="1">
      <c r="A8" s="155" t="s">
        <v>142</v>
      </c>
      <c r="B8" s="41">
        <v>5.4385229978561201E-5</v>
      </c>
      <c r="C8" s="41">
        <v>6.13033054109421E-3</v>
      </c>
      <c r="D8" s="41">
        <v>7.1495599385117603E-3</v>
      </c>
      <c r="E8" s="41">
        <v>9.8504834227864499E-5</v>
      </c>
      <c r="F8" s="41">
        <v>1.4738108726921301E-2</v>
      </c>
      <c r="G8" s="41">
        <v>8.1560415614365094E-3</v>
      </c>
      <c r="H8" s="41">
        <v>1.01230058438799E-4</v>
      </c>
      <c r="I8" s="41">
        <v>1.01331033869015E-4</v>
      </c>
      <c r="J8" s="41">
        <v>1.53739353386449E-4</v>
      </c>
      <c r="K8" s="41">
        <v>4.4447270773604502E-4</v>
      </c>
      <c r="L8" s="41">
        <v>3.69303221609432E-4</v>
      </c>
      <c r="M8" s="41">
        <v>2.43250564273171E-4</v>
      </c>
      <c r="N8" s="41">
        <v>4.2783809901477799E-5</v>
      </c>
      <c r="O8" s="41">
        <v>6.9835368379723203E-3</v>
      </c>
      <c r="P8" s="41">
        <v>4.4212014413334997E-3</v>
      </c>
      <c r="Q8" s="41">
        <v>4.9511152798734502E-6</v>
      </c>
      <c r="R8" s="41">
        <v>6.8483690250640498E-3</v>
      </c>
      <c r="S8" s="41">
        <v>8.7744032992815598E-5</v>
      </c>
      <c r="T8" s="41">
        <v>7.3774329792646704E-4</v>
      </c>
      <c r="U8" s="41">
        <v>5.2148186884477003E-3</v>
      </c>
      <c r="V8" s="41">
        <v>0</v>
      </c>
    </row>
    <row r="9" spans="1:22" ht="15" customHeight="1">
      <c r="A9" s="155" t="s">
        <v>143</v>
      </c>
      <c r="B9" s="41">
        <v>1.8491339219447399E-5</v>
      </c>
      <c r="C9" s="41">
        <v>2.0843530790877799E-3</v>
      </c>
      <c r="D9" s="41">
        <v>2.4308978401839502E-3</v>
      </c>
      <c r="E9" s="41">
        <v>3.34922975444051E-5</v>
      </c>
      <c r="F9" s="41">
        <v>5.0110548034830596E-3</v>
      </c>
      <c r="G9" s="41">
        <v>3.4235904608996597E-5</v>
      </c>
      <c r="H9" s="41">
        <v>2.7879302412304099E-3</v>
      </c>
      <c r="I9" s="41">
        <v>3.4453224183622997E-5</v>
      </c>
      <c r="J9" s="41">
        <v>5.2272400722916401E-5</v>
      </c>
      <c r="K9" s="41">
        <v>1.51123671183764E-4</v>
      </c>
      <c r="L9" s="41">
        <v>1.2556554690136901E-4</v>
      </c>
      <c r="M9" s="41">
        <v>8.2706806628754097E-5</v>
      </c>
      <c r="N9" s="41">
        <v>1.4546779379262401E-5</v>
      </c>
      <c r="O9" s="41">
        <v>2.3744488838855402E-3</v>
      </c>
      <c r="P9" s="41">
        <v>1.50323783941771E-3</v>
      </c>
      <c r="Q9" s="41">
        <v>1.6834120622606401E-6</v>
      </c>
      <c r="R9" s="41">
        <v>2.3284909302090902E-3</v>
      </c>
      <c r="S9" s="41">
        <v>2.9833553690811401E-5</v>
      </c>
      <c r="T9" s="41">
        <v>2.5083761867348501E-4</v>
      </c>
      <c r="U9" s="41">
        <v>1.77307297172435E-3</v>
      </c>
      <c r="V9" s="41">
        <v>0</v>
      </c>
    </row>
    <row r="10" spans="1:22" ht="15" customHeight="1">
      <c r="A10" s="155" t="s">
        <v>144</v>
      </c>
      <c r="B10" s="41">
        <v>1.17993576947015E-5</v>
      </c>
      <c r="C10" s="41">
        <v>1.3300295479055199E-3</v>
      </c>
      <c r="D10" s="41">
        <v>1.55116039975308E-3</v>
      </c>
      <c r="E10" s="41">
        <v>2.1371496896676301E-5</v>
      </c>
      <c r="F10" s="41">
        <v>3.1975633215286302E-3</v>
      </c>
      <c r="G10" s="41">
        <v>2.1845993937442E-5</v>
      </c>
      <c r="H10" s="41">
        <v>2.1962758444632501E-5</v>
      </c>
      <c r="I10" s="41">
        <v>1.7807579426974099E-3</v>
      </c>
      <c r="J10" s="41">
        <v>3.3355115406773502E-5</v>
      </c>
      <c r="K10" s="41">
        <v>9.6432293587385903E-5</v>
      </c>
      <c r="L10" s="41">
        <v>8.0123607297294706E-5</v>
      </c>
      <c r="M10" s="41">
        <v>5.2775366003390202E-5</v>
      </c>
      <c r="N10" s="41">
        <v>9.2823267782199401E-6</v>
      </c>
      <c r="O10" s="41">
        <v>1.51514021652281E-3</v>
      </c>
      <c r="P10" s="41">
        <v>9.5921884061515102E-4</v>
      </c>
      <c r="Q10" s="41">
        <v>1.0741883448494799E-6</v>
      </c>
      <c r="R10" s="41">
        <v>1.48581436143414E-3</v>
      </c>
      <c r="S10" s="41">
        <v>1.9036845688913099E-5</v>
      </c>
      <c r="T10" s="41">
        <v>1.60059947572799E-4</v>
      </c>
      <c r="U10" s="41">
        <v>1.13140113671055E-3</v>
      </c>
      <c r="V10" s="41">
        <v>0</v>
      </c>
    </row>
    <row r="11" spans="1:22" ht="15" customHeight="1">
      <c r="A11" s="155" t="s">
        <v>61</v>
      </c>
      <c r="B11" s="41">
        <v>1.6261043009994501E-5</v>
      </c>
      <c r="C11" s="41">
        <v>1.8329529659709401E-3</v>
      </c>
      <c r="D11" s="41">
        <v>2.1376999179465199E-3</v>
      </c>
      <c r="E11" s="41">
        <v>2.94526904952523E-5</v>
      </c>
      <c r="F11" s="41">
        <v>4.4066563658720602E-3</v>
      </c>
      <c r="G11" s="41">
        <v>3.0106608868408399E-5</v>
      </c>
      <c r="H11" s="41">
        <v>3.02675254812099E-5</v>
      </c>
      <c r="I11" s="41">
        <v>3.0297716873511499E-5</v>
      </c>
      <c r="J11" s="41">
        <v>3.7233811705353302E-3</v>
      </c>
      <c r="K11" s="41">
        <v>1.32896189279951E-4</v>
      </c>
      <c r="L11" s="41">
        <v>1.10420707473109E-4</v>
      </c>
      <c r="M11" s="41">
        <v>7.2731289164552904E-5</v>
      </c>
      <c r="N11" s="41">
        <v>1.27922484324072E-5</v>
      </c>
      <c r="O11" s="41">
        <v>2.0880594405671199E-3</v>
      </c>
      <c r="P11" s="41">
        <v>1.3219277885137999E-3</v>
      </c>
      <c r="Q11" s="41">
        <v>1.48037065477521E-6</v>
      </c>
      <c r="R11" s="41">
        <v>2.0476446143333298E-3</v>
      </c>
      <c r="S11" s="41">
        <v>2.62352387758404E-5</v>
      </c>
      <c r="T11" s="41">
        <v>2.2058333673768499E-4</v>
      </c>
      <c r="U11" s="41">
        <v>1.55921729145208E-3</v>
      </c>
      <c r="V11" s="41">
        <v>0</v>
      </c>
    </row>
    <row r="12" spans="1:22" ht="15" customHeight="1">
      <c r="A12" s="155" t="s">
        <v>63</v>
      </c>
      <c r="B12" s="41">
        <v>0.35396922614606602</v>
      </c>
      <c r="C12" s="41">
        <v>0.54070718417056496</v>
      </c>
      <c r="D12" s="41">
        <v>0.11357960153826301</v>
      </c>
      <c r="E12" s="41">
        <v>0.530797600847841</v>
      </c>
      <c r="F12" s="41">
        <v>3.4085978082317198E-2</v>
      </c>
      <c r="G12" s="41">
        <v>0.554731009148552</v>
      </c>
      <c r="H12" s="41">
        <v>0.55769598721693203</v>
      </c>
      <c r="I12" s="41">
        <v>0.55825228040798203</v>
      </c>
      <c r="J12" s="41">
        <v>0.33343269483878302</v>
      </c>
      <c r="K12" s="41">
        <v>0.26631723386989298</v>
      </c>
      <c r="L12" s="41">
        <v>0.113267597905509</v>
      </c>
      <c r="M12" s="41">
        <v>7.4367823951789105E-2</v>
      </c>
      <c r="N12" s="41">
        <v>0.423380740414256</v>
      </c>
      <c r="O12" s="41">
        <v>0.13272684363183501</v>
      </c>
      <c r="P12" s="41">
        <v>0.375474189597931</v>
      </c>
      <c r="Q12" s="41">
        <v>0.92296279731370501</v>
      </c>
      <c r="R12" s="41">
        <v>0.174761384387501</v>
      </c>
      <c r="S12" s="41">
        <v>0.64268913578925901</v>
      </c>
      <c r="T12" s="41">
        <v>0.39908239846604898</v>
      </c>
      <c r="U12" s="41">
        <v>0.43423526434432702</v>
      </c>
      <c r="V12" s="41">
        <v>0</v>
      </c>
    </row>
    <row r="13" spans="1:22" ht="15" customHeight="1">
      <c r="A13" s="155" t="s">
        <v>65</v>
      </c>
      <c r="B13" s="41">
        <v>1.00396650147019E-3</v>
      </c>
      <c r="C13" s="41">
        <v>0.113167610187993</v>
      </c>
      <c r="D13" s="41">
        <v>0.131982868902984</v>
      </c>
      <c r="E13" s="41">
        <v>1.81842669115557E-3</v>
      </c>
      <c r="F13" s="41">
        <v>0.27206959431241401</v>
      </c>
      <c r="G13" s="41">
        <v>1.8588000018307301E-3</v>
      </c>
      <c r="H13" s="41">
        <v>1.86873508955441E-3</v>
      </c>
      <c r="I13" s="41">
        <v>1.87059912413601E-3</v>
      </c>
      <c r="J13" s="41">
        <v>2.8380713075687402E-3</v>
      </c>
      <c r="K13" s="41">
        <v>8.2050900503803197E-3</v>
      </c>
      <c r="L13" s="41">
        <v>0.55221267144941499</v>
      </c>
      <c r="M13" s="41">
        <v>4.4904732055055102E-3</v>
      </c>
      <c r="N13" s="41">
        <v>7.8980105376560104E-4</v>
      </c>
      <c r="O13" s="41">
        <v>0.12891803619973799</v>
      </c>
      <c r="P13" s="41">
        <v>8.1616610706625806E-2</v>
      </c>
      <c r="Q13" s="41">
        <v>9.13989678423648E-5</v>
      </c>
      <c r="R13" s="41">
        <v>0.12642280070490999</v>
      </c>
      <c r="S13" s="41">
        <v>1.61977930153845E-3</v>
      </c>
      <c r="T13" s="41">
        <v>1.361894687389E-2</v>
      </c>
      <c r="U13" s="41">
        <v>9.6267006253463197E-2</v>
      </c>
      <c r="V13" s="41">
        <v>0</v>
      </c>
    </row>
    <row r="14" spans="1:22" ht="15" customHeight="1">
      <c r="A14" s="155" t="s">
        <v>342</v>
      </c>
      <c r="B14" s="41">
        <v>1.01984779131791E-4</v>
      </c>
      <c r="C14" s="41">
        <v>1.1495775718606299E-2</v>
      </c>
      <c r="D14" s="41">
        <v>1.34070645928325E-2</v>
      </c>
      <c r="E14" s="41">
        <v>1.8471915566234699E-4</v>
      </c>
      <c r="F14" s="41">
        <v>2.76373339586483E-2</v>
      </c>
      <c r="G14" s="41">
        <v>1.8882035143530899E-4</v>
      </c>
      <c r="H14" s="41">
        <v>1.8982957607146099E-4</v>
      </c>
      <c r="I14" s="41">
        <v>1.9001892816121699E-4</v>
      </c>
      <c r="J14" s="41">
        <v>2.8829654678599398E-4</v>
      </c>
      <c r="K14" s="41">
        <v>8.3348826411947495E-4</v>
      </c>
      <c r="L14" s="41">
        <v>6.9252823796724897E-4</v>
      </c>
      <c r="M14" s="41">
        <v>3.6948198280118097E-2</v>
      </c>
      <c r="N14" s="41">
        <v>8.0229455772068097E-5</v>
      </c>
      <c r="O14" s="41">
        <v>1.30957332029319E-2</v>
      </c>
      <c r="P14" s="41">
        <v>8.2907666781825793E-3</v>
      </c>
      <c r="Q14" s="41">
        <v>9.2844766579634806E-6</v>
      </c>
      <c r="R14" s="41">
        <v>1.2842262553812401E-2</v>
      </c>
      <c r="S14" s="41">
        <v>1.6454018542226201E-4</v>
      </c>
      <c r="T14" s="41">
        <v>1.38343788055413E-3</v>
      </c>
      <c r="U14" s="41">
        <v>9.7789810278143905E-3</v>
      </c>
      <c r="V14" s="41">
        <v>0</v>
      </c>
    </row>
    <row r="15" spans="1:22" ht="15" customHeight="1">
      <c r="A15" s="155" t="s">
        <v>69</v>
      </c>
      <c r="B15" s="41">
        <v>6.7699057258883001E-6</v>
      </c>
      <c r="C15" s="41">
        <v>7.6310718641994704E-4</v>
      </c>
      <c r="D15" s="41">
        <v>8.89981467107751E-4</v>
      </c>
      <c r="E15" s="41">
        <v>1.22619402644758E-5</v>
      </c>
      <c r="F15" s="41">
        <v>1.8346085269563201E-3</v>
      </c>
      <c r="G15" s="41">
        <v>1.25341839167417E-5</v>
      </c>
      <c r="H15" s="41">
        <v>1.26011777927019E-5</v>
      </c>
      <c r="I15" s="41">
        <v>1.26137472742222E-5</v>
      </c>
      <c r="J15" s="41">
        <v>1.9137566011867001E-5</v>
      </c>
      <c r="K15" s="41">
        <v>5.5328226621262699E-5</v>
      </c>
      <c r="L15" s="41">
        <v>4.5971084346765701E-5</v>
      </c>
      <c r="M15" s="41">
        <v>3.0279974701728101E-5</v>
      </c>
      <c r="N15" s="41">
        <v>4.3138607925464697E-4</v>
      </c>
      <c r="O15" s="41">
        <v>8.6931481295523996E-4</v>
      </c>
      <c r="P15" s="41">
        <v>5.5035378106865101E-4</v>
      </c>
      <c r="Q15" s="41">
        <v>6.1631777039393598E-7</v>
      </c>
      <c r="R15" s="41">
        <v>8.5248904333131499E-4</v>
      </c>
      <c r="S15" s="41">
        <v>1.09224293361407E-5</v>
      </c>
      <c r="T15" s="41">
        <v>9.1834723854931306E-5</v>
      </c>
      <c r="U15" s="41">
        <v>6.4914372730074396E-4</v>
      </c>
      <c r="V15" s="41">
        <v>0</v>
      </c>
    </row>
    <row r="16" spans="1:22" ht="15" customHeight="1">
      <c r="A16" s="155" t="s">
        <v>145</v>
      </c>
      <c r="B16" s="41">
        <v>3.3276044192735599E-3</v>
      </c>
      <c r="C16" s="41">
        <v>1.5846228361432901E-2</v>
      </c>
      <c r="D16" s="41">
        <v>7.6054049194686904E-2</v>
      </c>
      <c r="E16" s="41">
        <v>1.549612678896E-2</v>
      </c>
      <c r="F16" s="41">
        <v>5.2733035803623297E-2</v>
      </c>
      <c r="G16" s="41">
        <v>5.48894796769855E-2</v>
      </c>
      <c r="H16" s="41">
        <v>5.5182858090564398E-2</v>
      </c>
      <c r="I16" s="41">
        <v>5.5237902144891701E-2</v>
      </c>
      <c r="J16" s="41">
        <v>4.4821632139474397E-2</v>
      </c>
      <c r="K16" s="41">
        <v>3.6046081449219301E-2</v>
      </c>
      <c r="L16" s="41">
        <v>4.9984125168483197E-2</v>
      </c>
      <c r="M16" s="41">
        <v>7.6646643659992603E-2</v>
      </c>
      <c r="N16" s="41">
        <v>1.7175700051318001E-2</v>
      </c>
      <c r="O16" s="41">
        <v>0.42603130285714602</v>
      </c>
      <c r="P16" s="41">
        <v>0.21184944153893701</v>
      </c>
      <c r="Q16" s="41">
        <v>2.5133916533824898E-3</v>
      </c>
      <c r="R16" s="41">
        <v>5.3187399743654898E-2</v>
      </c>
      <c r="S16" s="41">
        <v>6.4615267116959002E-2</v>
      </c>
      <c r="T16" s="41">
        <v>0.13901146736489201</v>
      </c>
      <c r="U16" s="41">
        <v>6.5088845124719893E-2</v>
      </c>
      <c r="V16" s="41">
        <v>0</v>
      </c>
    </row>
    <row r="17" spans="1:22" ht="15" customHeight="1">
      <c r="A17" s="155" t="s">
        <v>73</v>
      </c>
      <c r="B17" s="41">
        <v>2.0223799298088501E-5</v>
      </c>
      <c r="C17" s="41">
        <v>2.2796368525591299E-3</v>
      </c>
      <c r="D17" s="41">
        <v>2.6586495142727901E-3</v>
      </c>
      <c r="E17" s="41">
        <v>3.66302026874046E-5</v>
      </c>
      <c r="F17" s="41">
        <v>5.4805422914302303E-3</v>
      </c>
      <c r="G17" s="41">
        <v>3.7443478559555801E-5</v>
      </c>
      <c r="H17" s="41">
        <v>3.7643609958201398E-5</v>
      </c>
      <c r="I17" s="41">
        <v>3.7681158881604502E-5</v>
      </c>
      <c r="J17" s="41">
        <v>5.7169820341498901E-5</v>
      </c>
      <c r="K17" s="41">
        <v>1.6528250111795401E-4</v>
      </c>
      <c r="L17" s="41">
        <v>1.3732982717754101E-4</v>
      </c>
      <c r="M17" s="41">
        <v>9.0455636446635195E-5</v>
      </c>
      <c r="N17" s="41">
        <v>1.5909672258371301E-5</v>
      </c>
      <c r="O17" s="41">
        <v>2.59691183539417E-3</v>
      </c>
      <c r="P17" s="41">
        <v>0.13317021444860699</v>
      </c>
      <c r="Q17" s="41">
        <v>1.8411315307728101E-6</v>
      </c>
      <c r="R17" s="41">
        <v>2.5466480648650099E-3</v>
      </c>
      <c r="S17" s="41">
        <v>3.26286698346422E-5</v>
      </c>
      <c r="T17" s="41">
        <v>2.74338683437695E-4</v>
      </c>
      <c r="U17" s="41">
        <v>1.93919280239619E-3</v>
      </c>
      <c r="V17" s="41">
        <v>0</v>
      </c>
    </row>
    <row r="18" spans="1:22" ht="15" customHeight="1">
      <c r="A18" s="155" t="s">
        <v>75</v>
      </c>
      <c r="B18" s="41">
        <v>2.54262599385385E-2</v>
      </c>
      <c r="C18" s="41">
        <v>3.98868736556015E-2</v>
      </c>
      <c r="D18" s="41">
        <v>9.3933214787065393E-3</v>
      </c>
      <c r="E18" s="41">
        <v>3.8131101525368402E-2</v>
      </c>
      <c r="F18" s="41">
        <v>4.9989703418636998E-3</v>
      </c>
      <c r="G18" s="41">
        <v>3.9850024244901798E-2</v>
      </c>
      <c r="H18" s="41">
        <v>4.0063018373518999E-2</v>
      </c>
      <c r="I18" s="41">
        <v>4.0102980619697803E-2</v>
      </c>
      <c r="J18" s="41">
        <v>2.3968829294253501E-2</v>
      </c>
      <c r="K18" s="41">
        <v>1.8716074753614999E-2</v>
      </c>
      <c r="L18" s="41">
        <v>8.1971396525597796E-3</v>
      </c>
      <c r="M18" s="41">
        <v>5.3821102124112299E-3</v>
      </c>
      <c r="N18" s="41">
        <v>3.0408361914347402E-2</v>
      </c>
      <c r="O18" s="41">
        <v>1.0739452339294599E-2</v>
      </c>
      <c r="P18" s="41">
        <v>2.77263995084625E-2</v>
      </c>
      <c r="Q18" s="41">
        <v>6.6348380981104793E-2</v>
      </c>
      <c r="R18" s="41">
        <v>1.37343527308856E-2</v>
      </c>
      <c r="S18" s="41">
        <v>4.6163637069062902E-2</v>
      </c>
      <c r="T18" s="41">
        <v>2.8783923026582899E-2</v>
      </c>
      <c r="U18" s="41">
        <v>3.2083141242306698E-2</v>
      </c>
      <c r="V18" s="41">
        <v>0</v>
      </c>
    </row>
    <row r="19" spans="1:22" ht="15" customHeight="1">
      <c r="A19" s="155" t="s">
        <v>146</v>
      </c>
      <c r="B19" s="41">
        <v>4.32839708546676E-5</v>
      </c>
      <c r="C19" s="41">
        <v>4.8789910160313803E-3</v>
      </c>
      <c r="D19" s="41">
        <v>5.6901725730355898E-3</v>
      </c>
      <c r="E19" s="41">
        <v>7.8397763058894894E-5</v>
      </c>
      <c r="F19" s="41">
        <v>1.17297264135953E-2</v>
      </c>
      <c r="G19" s="41">
        <v>8.0138376117210006E-5</v>
      </c>
      <c r="H19" s="41">
        <v>8.0566707188854894E-5</v>
      </c>
      <c r="I19" s="41">
        <v>8.0647071243217301E-5</v>
      </c>
      <c r="J19" s="41">
        <v>1.223576639065E-4</v>
      </c>
      <c r="K19" s="41">
        <v>3.5374574558066701E-4</v>
      </c>
      <c r="L19" s="41">
        <v>2.9392005673192502E-4</v>
      </c>
      <c r="M19" s="41">
        <v>1.9359760616130301E-4</v>
      </c>
      <c r="N19" s="41">
        <v>3.4050663784215101E-5</v>
      </c>
      <c r="O19" s="41">
        <v>5.5580385534169602E-3</v>
      </c>
      <c r="P19" s="41">
        <v>3.5187339357529799E-3</v>
      </c>
      <c r="Q19" s="41">
        <v>3.9404803391770296E-6</v>
      </c>
      <c r="R19" s="41">
        <v>0.44148738614102201</v>
      </c>
      <c r="S19" s="41">
        <v>6.9833485456054201E-5</v>
      </c>
      <c r="T19" s="41">
        <v>5.8715315570538899E-4</v>
      </c>
      <c r="U19" s="41">
        <v>4.15035590016121E-3</v>
      </c>
      <c r="V19" s="41">
        <v>0</v>
      </c>
    </row>
    <row r="20" spans="1:22" ht="15" customHeight="1">
      <c r="A20" s="155" t="s">
        <v>83</v>
      </c>
      <c r="B20" s="41">
        <v>1.5781893177159001E-5</v>
      </c>
      <c r="C20" s="41">
        <v>1.77894295525389E-3</v>
      </c>
      <c r="D20" s="41">
        <v>2.0747101971944799E-3</v>
      </c>
      <c r="E20" s="41">
        <v>2.8584834004209101E-5</v>
      </c>
      <c r="F20" s="41">
        <v>4.2768093038002501E-3</v>
      </c>
      <c r="G20" s="41">
        <v>2.9219483940587002E-5</v>
      </c>
      <c r="H20" s="41">
        <v>2.9375658965282801E-5</v>
      </c>
      <c r="I20" s="41">
        <v>2.94049607344178E-5</v>
      </c>
      <c r="J20" s="41">
        <v>4.4613179961303497E-5</v>
      </c>
      <c r="K20" s="41">
        <v>1.28980254315704E-4</v>
      </c>
      <c r="L20" s="41">
        <v>1.071670377365E-4</v>
      </c>
      <c r="M20" s="41">
        <v>7.0588180323152998E-5</v>
      </c>
      <c r="N20" s="41">
        <v>1.2415310514328401E-5</v>
      </c>
      <c r="O20" s="41">
        <v>2.0265324320423001E-3</v>
      </c>
      <c r="P20" s="41">
        <v>1.2829757066271899E-3</v>
      </c>
      <c r="Q20" s="41">
        <v>1.4367498764933899E-6</v>
      </c>
      <c r="R20" s="41">
        <v>1.9873084738987199E-3</v>
      </c>
      <c r="S20" s="41">
        <v>2.0624372361742402E-3</v>
      </c>
      <c r="T20" s="41">
        <v>2.14083601827742E-4</v>
      </c>
      <c r="U20" s="41">
        <v>1.51327320876967E-3</v>
      </c>
      <c r="V20" s="41">
        <v>0</v>
      </c>
    </row>
    <row r="21" spans="1:22" ht="15" customHeight="1">
      <c r="A21" s="155" t="s">
        <v>85</v>
      </c>
      <c r="B21" s="41">
        <v>1.0350626717924199E-5</v>
      </c>
      <c r="C21" s="41">
        <v>1.1667278618361901E-3</v>
      </c>
      <c r="D21" s="41">
        <v>1.3607081582652501E-3</v>
      </c>
      <c r="E21" s="41">
        <v>1.8747493931818401E-5</v>
      </c>
      <c r="F21" s="41">
        <v>2.8049649145674002E-3</v>
      </c>
      <c r="G21" s="41">
        <v>1.91637319911097E-5</v>
      </c>
      <c r="H21" s="41">
        <v>1.92661600943253E-5</v>
      </c>
      <c r="I21" s="41">
        <v>1.9285377793436999E-5</v>
      </c>
      <c r="J21" s="41">
        <v>2.92597578310409E-5</v>
      </c>
      <c r="K21" s="41">
        <v>8.4592288860309498E-5</v>
      </c>
      <c r="L21" s="41">
        <v>7.0285991143420899E-5</v>
      </c>
      <c r="M21" s="41">
        <v>4.6295580449113399E-5</v>
      </c>
      <c r="N21" s="41">
        <v>8.1426381029443792E-6</v>
      </c>
      <c r="O21" s="41">
        <v>1.3291105509569199E-3</v>
      </c>
      <c r="P21" s="41">
        <v>8.4144547668606098E-4</v>
      </c>
      <c r="Q21" s="41">
        <v>9.4229896829676999E-7</v>
      </c>
      <c r="R21" s="41">
        <v>1.30338533886821E-3</v>
      </c>
      <c r="S21" s="41">
        <v>1.66994923546683E-5</v>
      </c>
      <c r="T21" s="41">
        <v>1.13730243482152E-2</v>
      </c>
      <c r="U21" s="41">
        <v>9.9248714526085197E-4</v>
      </c>
      <c r="V21" s="41">
        <v>0</v>
      </c>
    </row>
    <row r="22" spans="1:22" ht="15" customHeight="1">
      <c r="A22" s="155" t="s">
        <v>88</v>
      </c>
      <c r="B22" s="41">
        <v>9.5526784116716808E-6</v>
      </c>
      <c r="C22" s="41">
        <v>1.07678272647568E-3</v>
      </c>
      <c r="D22" s="41">
        <v>1.25580873528524E-3</v>
      </c>
      <c r="E22" s="41">
        <v>1.73022161300919E-5</v>
      </c>
      <c r="F22" s="41">
        <v>2.5887251579156802E-3</v>
      </c>
      <c r="G22" s="41">
        <v>1.76863656537359E-5</v>
      </c>
      <c r="H22" s="41">
        <v>1.7780897391475199E-5</v>
      </c>
      <c r="I22" s="41">
        <v>1.7798633563827799E-5</v>
      </c>
      <c r="J22" s="41">
        <v>2.70040708239724E-5</v>
      </c>
      <c r="K22" s="41">
        <v>7.8070918178356794E-5</v>
      </c>
      <c r="L22" s="41">
        <v>6.4867518512285396E-5</v>
      </c>
      <c r="M22" s="41">
        <v>4.27265714399898E-5</v>
      </c>
      <c r="N22" s="41">
        <v>7.5149075838425698E-6</v>
      </c>
      <c r="O22" s="41">
        <v>1.2266470439770099E-3</v>
      </c>
      <c r="P22" s="41">
        <v>7.7657694155062302E-4</v>
      </c>
      <c r="Q22" s="41">
        <v>8.6965545730686797E-7</v>
      </c>
      <c r="R22" s="41">
        <v>1.2029050344492299E-3</v>
      </c>
      <c r="S22" s="41">
        <v>1.5412098653511102E-5</v>
      </c>
      <c r="T22" s="41">
        <v>1.2958342693844901E-4</v>
      </c>
      <c r="U22" s="41">
        <v>7.4193937581395794E-2</v>
      </c>
      <c r="V22" s="41">
        <v>0</v>
      </c>
    </row>
    <row r="23" spans="1:22" ht="15" customHeight="1">
      <c r="A23" s="155" t="s">
        <v>147</v>
      </c>
      <c r="B23" s="41">
        <v>0</v>
      </c>
      <c r="C23" s="41">
        <v>0</v>
      </c>
      <c r="D23" s="41">
        <v>0</v>
      </c>
      <c r="E23" s="41">
        <v>0</v>
      </c>
      <c r="F23" s="41">
        <v>0</v>
      </c>
      <c r="G23" s="41">
        <v>0</v>
      </c>
      <c r="H23" s="41">
        <v>0</v>
      </c>
      <c r="I23" s="41">
        <v>0</v>
      </c>
      <c r="J23" s="41">
        <v>0</v>
      </c>
      <c r="K23" s="41">
        <v>0</v>
      </c>
      <c r="L23" s="41">
        <v>0</v>
      </c>
      <c r="M23" s="41">
        <v>0</v>
      </c>
      <c r="N23" s="41">
        <v>0</v>
      </c>
      <c r="O23" s="41">
        <v>0</v>
      </c>
      <c r="P23" s="41">
        <v>0</v>
      </c>
      <c r="Q23" s="41">
        <v>0</v>
      </c>
      <c r="R23" s="41">
        <v>0</v>
      </c>
      <c r="S23" s="41">
        <v>0</v>
      </c>
      <c r="T23" s="41">
        <v>0</v>
      </c>
      <c r="U23" s="41">
        <v>0</v>
      </c>
      <c r="V23" s="41">
        <v>0</v>
      </c>
    </row>
    <row r="24" spans="1:22" ht="15" customHeight="1">
      <c r="B24" s="41"/>
    </row>
  </sheetData>
  <mergeCells count="1">
    <mergeCell ref="A1:V1"/>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1AB54-C655-486E-9AFF-8968E0060CBF}">
  <sheetPr codeName="Sheet8">
    <tabColor theme="4" tint="0.79998168889431442"/>
  </sheetPr>
  <dimension ref="A1:BX176"/>
  <sheetViews>
    <sheetView zoomScale="55" zoomScaleNormal="55" workbookViewId="0">
      <selection activeCell="BL165" sqref="BL165"/>
    </sheetView>
  </sheetViews>
  <sheetFormatPr defaultColWidth="10.33203125" defaultRowHeight="12.5"/>
  <cols>
    <col min="1" max="1" width="12.75" style="146" customWidth="1"/>
    <col min="2" max="22" width="10.33203125" style="146"/>
    <col min="23" max="23" width="14" style="146" bestFit="1" customWidth="1"/>
    <col min="24" max="24" width="14.25" style="146" customWidth="1"/>
    <col min="25" max="25" width="10.33203125" style="146"/>
    <col min="26" max="26" width="10.33203125" style="146" customWidth="1"/>
    <col min="27" max="16384" width="10.33203125" style="146"/>
  </cols>
  <sheetData>
    <row r="1" spans="2:76" ht="13">
      <c r="B1" s="511" t="s">
        <v>1186</v>
      </c>
      <c r="C1" s="511"/>
      <c r="D1" s="511"/>
      <c r="E1" s="511"/>
      <c r="F1" s="511"/>
      <c r="G1" s="511"/>
      <c r="H1" s="511"/>
      <c r="I1" s="511"/>
      <c r="J1" s="511"/>
      <c r="K1" s="511"/>
      <c r="L1" s="511"/>
      <c r="M1" s="511"/>
      <c r="N1" s="511"/>
      <c r="O1" s="511"/>
      <c r="P1" s="511"/>
      <c r="Q1" s="511"/>
      <c r="R1" s="511"/>
      <c r="T1" s="512" t="s">
        <v>1214</v>
      </c>
      <c r="U1" s="512"/>
      <c r="V1" s="512"/>
      <c r="W1" s="512"/>
      <c r="X1" s="512"/>
      <c r="Y1" s="512"/>
      <c r="Z1" s="512"/>
      <c r="AA1" s="512"/>
      <c r="AB1" s="512"/>
      <c r="AC1" s="512"/>
      <c r="AD1" s="512"/>
      <c r="AE1" s="512"/>
      <c r="AF1" s="512"/>
      <c r="AG1" s="512"/>
      <c r="AH1" s="512"/>
      <c r="AI1" s="512"/>
      <c r="AJ1" s="512"/>
      <c r="AK1" s="512"/>
      <c r="AL1" s="512"/>
      <c r="AM1" s="512"/>
      <c r="AN1" s="512"/>
      <c r="AO1" s="512"/>
      <c r="AP1" s="512"/>
      <c r="AQ1" s="512"/>
      <c r="AR1" s="512"/>
      <c r="AS1" s="512"/>
      <c r="AT1" s="512"/>
      <c r="AU1" s="512"/>
      <c r="AW1" s="512" t="s">
        <v>1510</v>
      </c>
      <c r="AX1" s="512"/>
      <c r="AY1" s="512"/>
      <c r="AZ1" s="512"/>
      <c r="BA1" s="512"/>
      <c r="BB1" s="512"/>
      <c r="BC1" s="512"/>
      <c r="BD1" s="512"/>
      <c r="BE1" s="512"/>
      <c r="BF1" s="512"/>
      <c r="BG1" s="512"/>
      <c r="BH1" s="512"/>
      <c r="BI1" s="512"/>
      <c r="BJ1" s="512"/>
      <c r="BK1" s="512"/>
      <c r="BL1" s="512"/>
      <c r="BM1" s="512"/>
      <c r="BN1" s="512"/>
      <c r="BO1" s="512"/>
      <c r="BP1" s="415"/>
      <c r="BQ1" s="415"/>
      <c r="BR1" s="415"/>
      <c r="BS1" s="415"/>
      <c r="BT1" s="415"/>
      <c r="BU1" s="415"/>
      <c r="BV1" s="415"/>
      <c r="BW1" s="415"/>
      <c r="BX1" s="415"/>
    </row>
    <row r="2" spans="2:76" ht="14.5">
      <c r="B2" s="204"/>
      <c r="C2" s="237" t="s">
        <v>226</v>
      </c>
      <c r="D2" s="237" t="s">
        <v>227</v>
      </c>
      <c r="E2" s="237" t="s">
        <v>228</v>
      </c>
      <c r="F2" s="237" t="s">
        <v>229</v>
      </c>
      <c r="G2" s="237" t="s">
        <v>230</v>
      </c>
      <c r="H2" s="237" t="s">
        <v>231</v>
      </c>
      <c r="I2" s="237" t="s">
        <v>232</v>
      </c>
      <c r="J2" s="237" t="s">
        <v>233</v>
      </c>
      <c r="K2" s="237" t="s">
        <v>234</v>
      </c>
      <c r="L2" s="237" t="s">
        <v>235</v>
      </c>
      <c r="M2" s="237" t="s">
        <v>236</v>
      </c>
      <c r="N2" s="237" t="s">
        <v>237</v>
      </c>
      <c r="O2" s="237" t="s">
        <v>238</v>
      </c>
      <c r="P2" s="237" t="s">
        <v>239</v>
      </c>
      <c r="Q2" s="237" t="s">
        <v>240</v>
      </c>
      <c r="R2" s="244" t="s">
        <v>241</v>
      </c>
      <c r="T2" s="323" t="s">
        <v>1204</v>
      </c>
      <c r="U2" s="324" t="s">
        <v>1205</v>
      </c>
      <c r="V2" s="324" t="s">
        <v>1125</v>
      </c>
      <c r="W2" s="323" t="s">
        <v>1126</v>
      </c>
      <c r="X2" s="323" t="s">
        <v>1127</v>
      </c>
      <c r="Y2" s="323" t="s">
        <v>1206</v>
      </c>
      <c r="Z2" s="323" t="s">
        <v>1129</v>
      </c>
      <c r="AA2" s="323" t="s">
        <v>1130</v>
      </c>
      <c r="AB2" s="323" t="s">
        <v>1131</v>
      </c>
      <c r="AC2" s="323" t="s">
        <v>1207</v>
      </c>
      <c r="AD2" s="323" t="s">
        <v>1133</v>
      </c>
      <c r="AE2" s="323" t="s">
        <v>1134</v>
      </c>
      <c r="AF2" s="323" t="s">
        <v>1135</v>
      </c>
      <c r="AG2" s="323" t="s">
        <v>1208</v>
      </c>
      <c r="AH2" s="323" t="s">
        <v>1137</v>
      </c>
      <c r="AI2" s="323" t="s">
        <v>1138</v>
      </c>
      <c r="AJ2" s="323" t="s">
        <v>1139</v>
      </c>
      <c r="AK2" s="323" t="s">
        <v>1209</v>
      </c>
      <c r="AL2" s="323" t="s">
        <v>1141</v>
      </c>
      <c r="AM2" s="323" t="s">
        <v>1142</v>
      </c>
      <c r="AN2" s="323" t="s">
        <v>1143</v>
      </c>
      <c r="AO2" s="323" t="s">
        <v>1210</v>
      </c>
      <c r="AP2" s="323" t="s">
        <v>1145</v>
      </c>
      <c r="AQ2" s="323" t="s">
        <v>1146</v>
      </c>
      <c r="AR2" s="323" t="s">
        <v>1147</v>
      </c>
      <c r="AS2" s="323" t="s">
        <v>1211</v>
      </c>
      <c r="AT2" s="325" t="s">
        <v>1212</v>
      </c>
      <c r="AU2" s="323" t="s">
        <v>1213</v>
      </c>
      <c r="AW2" s="232" t="s">
        <v>1491</v>
      </c>
      <c r="AX2" s="303" t="s">
        <v>1492</v>
      </c>
      <c r="AY2" s="244" t="s">
        <v>1493</v>
      </c>
      <c r="AZ2" s="303" t="s">
        <v>1494</v>
      </c>
      <c r="BA2" s="303" t="s">
        <v>1495</v>
      </c>
      <c r="BB2" s="303" t="s">
        <v>1496</v>
      </c>
      <c r="BC2" s="303" t="s">
        <v>1497</v>
      </c>
      <c r="BD2" s="303" t="s">
        <v>1498</v>
      </c>
      <c r="BE2" s="303" t="s">
        <v>1499</v>
      </c>
      <c r="BF2" s="303" t="s">
        <v>1500</v>
      </c>
      <c r="BG2" s="303" t="s">
        <v>1501</v>
      </c>
      <c r="BH2" s="303" t="s">
        <v>1502</v>
      </c>
      <c r="BI2" s="303" t="s">
        <v>1503</v>
      </c>
      <c r="BJ2" s="303" t="s">
        <v>1504</v>
      </c>
      <c r="BK2" s="303" t="s">
        <v>1505</v>
      </c>
      <c r="BL2" s="303" t="s">
        <v>1506</v>
      </c>
      <c r="BM2" s="303" t="s">
        <v>1507</v>
      </c>
      <c r="BN2" s="303" t="s">
        <v>1508</v>
      </c>
      <c r="BO2" s="244" t="s">
        <v>1509</v>
      </c>
      <c r="BP2"/>
    </row>
    <row r="3" spans="2:76" ht="14.5">
      <c r="B3" s="238" t="s">
        <v>242</v>
      </c>
      <c r="C3" s="42">
        <v>-1.2336800000000001</v>
      </c>
      <c r="D3" s="42">
        <v>-2.9739499999999999E-2</v>
      </c>
      <c r="E3" s="42">
        <v>5.3642799999999997E-2</v>
      </c>
      <c r="F3" s="42">
        <v>-2.268176</v>
      </c>
      <c r="G3" s="42">
        <v>-9.8084099999999994E-2</v>
      </c>
      <c r="H3" s="42">
        <v>5.1238000000000004E-3</v>
      </c>
      <c r="I3" s="42">
        <v>0.35681740000000001</v>
      </c>
      <c r="J3" s="42">
        <v>1.2668E-2</v>
      </c>
      <c r="K3" s="42">
        <v>-2.3636799999999999E-2</v>
      </c>
      <c r="L3" s="42">
        <v>8.8123000000000003E-3</v>
      </c>
      <c r="M3" s="42">
        <v>-1.68448E-2</v>
      </c>
      <c r="N3" s="42">
        <v>-2.08991E-2</v>
      </c>
      <c r="O3" s="42">
        <v>-2.9201000000000001E-2</v>
      </c>
      <c r="P3" s="42">
        <v>-0.15292529999999999</v>
      </c>
      <c r="Q3">
        <v>-9.6017099999999994E-2</v>
      </c>
      <c r="R3" s="159">
        <v>0.31329950000000001</v>
      </c>
      <c r="T3" s="305" t="s">
        <v>204</v>
      </c>
      <c r="U3" s="326">
        <v>1</v>
      </c>
      <c r="V3" s="36">
        <v>4.57898011235955E-2</v>
      </c>
      <c r="W3" s="36">
        <v>1.7785103E-2</v>
      </c>
      <c r="X3" s="36">
        <v>2.0583402999999997E-2</v>
      </c>
      <c r="Y3" s="36">
        <v>1.4577002999999995E-2</v>
      </c>
      <c r="Z3" s="36">
        <v>3.2221701098901101E-2</v>
      </c>
      <c r="AA3" s="36">
        <v>1.5514700999999997E-2</v>
      </c>
      <c r="AB3" s="36">
        <v>1.7775400000000004E-2</v>
      </c>
      <c r="AC3" s="36">
        <v>1.6807799999999998E-2</v>
      </c>
      <c r="AD3" s="36">
        <v>2.5270402040816327E-2</v>
      </c>
      <c r="AE3" s="36">
        <v>7.4727970000000024E-3</v>
      </c>
      <c r="AF3" s="36">
        <v>1.6216401999999994E-2</v>
      </c>
      <c r="AG3" s="36">
        <v>1.953204210526316E-3</v>
      </c>
      <c r="AH3" s="36">
        <v>2.1919505050505047E-2</v>
      </c>
      <c r="AI3" s="36">
        <v>7.5513004000000014E-3</v>
      </c>
      <c r="AJ3" s="36">
        <v>1.6989304040404041E-2</v>
      </c>
      <c r="AK3" s="36">
        <v>6.9048040816326534E-3</v>
      </c>
      <c r="AL3" s="36">
        <v>8.2378978260869515E-3</v>
      </c>
      <c r="AM3" s="36">
        <v>1.8891020408163266E-3</v>
      </c>
      <c r="AN3" s="36">
        <v>8.292504166666664E-3</v>
      </c>
      <c r="AO3" s="36">
        <v>1.8309962025316461E-3</v>
      </c>
      <c r="AP3" s="36">
        <v>1.4867002272727272E-2</v>
      </c>
      <c r="AQ3" s="36">
        <v>1.6047948979591852E-3</v>
      </c>
      <c r="AR3" s="36">
        <v>7.358495789473684E-3</v>
      </c>
      <c r="AS3" s="36">
        <v>1.491397560975611E-3</v>
      </c>
      <c r="AT3" s="36">
        <v>0</v>
      </c>
      <c r="AU3" s="36">
        <v>1.8406200000000005E-2</v>
      </c>
      <c r="AW3" s="235">
        <v>1</v>
      </c>
      <c r="AX3" t="s">
        <v>204</v>
      </c>
      <c r="AY3" s="159">
        <v>1</v>
      </c>
      <c r="AZ3" s="233">
        <v>0.19371434288471401</v>
      </c>
      <c r="BA3" s="42">
        <v>4.2442539927122498E-2</v>
      </c>
      <c r="BB3" s="42">
        <v>3.9964338029421599E-2</v>
      </c>
      <c r="BC3" s="42">
        <v>0.22508274352852201</v>
      </c>
      <c r="BD3" s="42">
        <v>3.4030142775248198E-2</v>
      </c>
      <c r="BE3" s="42">
        <v>6.6666924789677298E-2</v>
      </c>
      <c r="BF3" s="42">
        <v>4.7460339051028602E-2</v>
      </c>
      <c r="BG3" s="42">
        <v>2.2222382859176101E-2</v>
      </c>
      <c r="BH3" s="42">
        <v>7.1915568869012195E-2</v>
      </c>
      <c r="BI3" s="42">
        <v>2.03716559791184E-2</v>
      </c>
      <c r="BJ3" s="42">
        <v>5.1012811786486999E-2</v>
      </c>
      <c r="BK3" s="42">
        <v>4.9482193653560998E-2</v>
      </c>
      <c r="BL3" s="42">
        <v>8.8184558493962298E-3</v>
      </c>
      <c r="BM3" s="42">
        <v>5.0294771844173101E-2</v>
      </c>
      <c r="BN3" s="42">
        <v>6.4337802095736103E-3</v>
      </c>
      <c r="BO3" s="234">
        <v>7.0087007963767697E-2</v>
      </c>
      <c r="BP3" s="416">
        <f>SUM(AZ3:BO3)</f>
        <v>0.99999999999999944</v>
      </c>
    </row>
    <row r="4" spans="2:76" ht="14.5">
      <c r="B4" s="158" t="s">
        <v>243</v>
      </c>
      <c r="C4">
        <v>-1.06162</v>
      </c>
      <c r="D4">
        <v>3.38689E-2</v>
      </c>
      <c r="E4">
        <v>0.18492459999999999</v>
      </c>
      <c r="F4">
        <v>0.89509119999999998</v>
      </c>
      <c r="G4">
        <v>3.4593199999999998E-2</v>
      </c>
      <c r="H4">
        <v>-1.7573100000000001E-2</v>
      </c>
      <c r="I4">
        <v>3.1479600000000003E-2</v>
      </c>
      <c r="J4">
        <v>4.61337E-2</v>
      </c>
      <c r="K4">
        <v>6.4282699999999998E-2</v>
      </c>
      <c r="L4">
        <v>-4.9934100000000002E-2</v>
      </c>
      <c r="M4">
        <v>-1.4709E-2</v>
      </c>
      <c r="N4">
        <v>-3.9337900000000002E-2</v>
      </c>
      <c r="O4">
        <v>-2.41268E-2</v>
      </c>
      <c r="P4">
        <v>-2.3013E-3</v>
      </c>
      <c r="Q4">
        <v>0.31802469999999999</v>
      </c>
      <c r="R4" s="159">
        <v>-0.10576290000000001</v>
      </c>
      <c r="T4" s="305" t="s">
        <v>223</v>
      </c>
      <c r="U4" s="326">
        <v>1</v>
      </c>
      <c r="V4" s="36">
        <v>6.8730112359550121E-4</v>
      </c>
      <c r="W4" s="36">
        <v>9.3260299999999843E-4</v>
      </c>
      <c r="X4" s="36">
        <v>7.9340299999999505E-4</v>
      </c>
      <c r="Y4" s="36">
        <v>4.4260299999999514E-4</v>
      </c>
      <c r="Z4" s="36">
        <v>6.7070109890109955E-4</v>
      </c>
      <c r="AA4" s="36">
        <v>8.3210099999999839E-4</v>
      </c>
      <c r="AB4" s="36">
        <v>3.086000000000023E-4</v>
      </c>
      <c r="AC4" s="36">
        <v>5.9229999999999559E-4</v>
      </c>
      <c r="AD4" s="36">
        <v>2.9290204081632888E-4</v>
      </c>
      <c r="AE4" s="36">
        <v>8.3497000000002687E-5</v>
      </c>
      <c r="AF4" s="36">
        <v>1.7180199999999562E-4</v>
      </c>
      <c r="AG4" s="36">
        <v>0</v>
      </c>
      <c r="AH4" s="36">
        <v>8.5190505050504678E-4</v>
      </c>
      <c r="AI4" s="36">
        <v>5.3800400000000902E-5</v>
      </c>
      <c r="AJ4" s="36">
        <v>2.8460404040404165E-4</v>
      </c>
      <c r="AK4" s="36">
        <v>0</v>
      </c>
      <c r="AL4" s="36">
        <v>0</v>
      </c>
      <c r="AM4" s="36">
        <v>1.1610204081632659E-4</v>
      </c>
      <c r="AN4" s="36">
        <v>6.2980416666666449E-4</v>
      </c>
      <c r="AO4" s="36">
        <v>0</v>
      </c>
      <c r="AP4" s="36">
        <v>0</v>
      </c>
      <c r="AQ4" s="36">
        <v>0</v>
      </c>
      <c r="AR4" s="36">
        <v>1.0525957894736843E-3</v>
      </c>
      <c r="AS4" s="36">
        <v>0</v>
      </c>
      <c r="AT4" s="36">
        <v>0</v>
      </c>
      <c r="AU4" s="36">
        <v>7.3380000000000331E-4</v>
      </c>
      <c r="AW4" s="235">
        <v>2</v>
      </c>
      <c r="AX4" t="s">
        <v>223</v>
      </c>
      <c r="AY4" s="159">
        <v>1</v>
      </c>
      <c r="AZ4" s="235">
        <v>0.13718533757727799</v>
      </c>
      <c r="BA4" s="156">
        <v>3.2049718883319901E-2</v>
      </c>
      <c r="BB4" s="156">
        <v>2.5744301139314699E-2</v>
      </c>
      <c r="BC4" s="156">
        <v>0.279626281582873</v>
      </c>
      <c r="BD4" s="156">
        <v>3.5757958106102397E-2</v>
      </c>
      <c r="BE4" s="156">
        <v>6.4590455039563302E-2</v>
      </c>
      <c r="BF4" s="156">
        <v>4.9116267231267399E-2</v>
      </c>
      <c r="BG4" s="156">
        <v>3.52080128815319E-2</v>
      </c>
      <c r="BH4" s="156">
        <v>8.2273979404488704E-2</v>
      </c>
      <c r="BI4" s="156">
        <v>1.2604612903286801E-2</v>
      </c>
      <c r="BJ4" s="156">
        <v>3.1352612714813897E-2</v>
      </c>
      <c r="BK4" s="156">
        <v>3.7811344547223298E-2</v>
      </c>
      <c r="BL4" s="156">
        <v>5.49403957705952E-3</v>
      </c>
      <c r="BM4" s="156">
        <v>9.8037051773171596E-2</v>
      </c>
      <c r="BN4" s="156">
        <v>9.3533086227463799E-3</v>
      </c>
      <c r="BO4" s="159">
        <v>6.3794718015959401E-2</v>
      </c>
      <c r="BP4" s="416">
        <f t="shared" ref="BP4:BP67" si="0">SUM(AZ4:BO4)</f>
        <v>1.0000000000000002</v>
      </c>
    </row>
    <row r="5" spans="2:76" ht="14.5">
      <c r="B5" s="158" t="s">
        <v>244</v>
      </c>
      <c r="C5">
        <v>-0.78281160000000005</v>
      </c>
      <c r="D5">
        <v>-0.1476169</v>
      </c>
      <c r="E5">
        <v>0.36865429999999999</v>
      </c>
      <c r="F5">
        <v>-4.5356269999999999</v>
      </c>
      <c r="G5">
        <v>1.0787E-2</v>
      </c>
      <c r="H5">
        <v>0.1011566</v>
      </c>
      <c r="I5">
        <v>0.47173599999999999</v>
      </c>
      <c r="J5">
        <v>0.18107670000000001</v>
      </c>
      <c r="K5">
        <v>-5.83756E-2</v>
      </c>
      <c r="L5">
        <v>-2.4964900000000002E-2</v>
      </c>
      <c r="M5">
        <v>-2.25425E-2</v>
      </c>
      <c r="N5">
        <v>0.18787699999999999</v>
      </c>
      <c r="O5">
        <v>-5.6087600000000001E-2</v>
      </c>
      <c r="P5">
        <v>0.1150722</v>
      </c>
      <c r="Q5">
        <v>1.46158E-2</v>
      </c>
      <c r="R5" s="159">
        <v>-0.50107089999999999</v>
      </c>
      <c r="T5" s="305" t="s">
        <v>205</v>
      </c>
      <c r="U5" s="326">
        <v>1</v>
      </c>
      <c r="V5" s="36">
        <v>7.0460901123595501E-2</v>
      </c>
      <c r="W5" s="36">
        <v>3.4788902999999996E-2</v>
      </c>
      <c r="X5" s="36">
        <v>3.6518302999999995E-2</v>
      </c>
      <c r="Y5" s="36">
        <v>3.1421203000000002E-2</v>
      </c>
      <c r="Z5" s="36">
        <v>5.4701101098901105E-2</v>
      </c>
      <c r="AA5" s="36">
        <v>3.3402801000000003E-2</v>
      </c>
      <c r="AB5" s="36">
        <v>4.9031400000000003E-2</v>
      </c>
      <c r="AC5" s="36">
        <v>2.3343199999999998E-2</v>
      </c>
      <c r="AD5" s="36">
        <v>5.1360402040816329E-2</v>
      </c>
      <c r="AE5" s="36">
        <v>1.8718897000000002E-2</v>
      </c>
      <c r="AF5" s="36">
        <v>4.3815201999999998E-2</v>
      </c>
      <c r="AG5" s="36">
        <v>8.8071042105263165E-3</v>
      </c>
      <c r="AH5" s="36">
        <v>4.4093605050505046E-2</v>
      </c>
      <c r="AI5" s="36">
        <v>2.5342900400000003E-2</v>
      </c>
      <c r="AJ5" s="36">
        <v>2.9912904040404042E-2</v>
      </c>
      <c r="AK5" s="36">
        <v>1.1041604081632654E-2</v>
      </c>
      <c r="AL5" s="36">
        <v>2.4600497826086955E-2</v>
      </c>
      <c r="AM5" s="36">
        <v>7.7531020408163264E-3</v>
      </c>
      <c r="AN5" s="36">
        <v>4.5087004166666667E-2</v>
      </c>
      <c r="AO5" s="36">
        <v>3.8209620253164619E-4</v>
      </c>
      <c r="AP5" s="36">
        <v>4.1417102272727269E-2</v>
      </c>
      <c r="AQ5" s="36">
        <v>1.2702994897959187E-2</v>
      </c>
      <c r="AR5" s="36">
        <v>3.2135295789473682E-2</v>
      </c>
      <c r="AS5" s="36">
        <v>3.6940975609756109E-3</v>
      </c>
      <c r="AT5" s="36">
        <v>0</v>
      </c>
      <c r="AU5" s="36">
        <v>5.3292100000000002E-2</v>
      </c>
      <c r="AW5" s="235">
        <v>3</v>
      </c>
      <c r="AX5" t="s">
        <v>205</v>
      </c>
      <c r="AY5" s="159">
        <v>1</v>
      </c>
      <c r="AZ5" s="235">
        <v>0.19239522381927099</v>
      </c>
      <c r="BA5" s="156">
        <v>4.5767689812140099E-2</v>
      </c>
      <c r="BB5" s="156">
        <v>4.3164694623125201E-2</v>
      </c>
      <c r="BC5" s="156">
        <v>0.244528965667443</v>
      </c>
      <c r="BD5" s="156">
        <v>2.8893180253625701E-2</v>
      </c>
      <c r="BE5" s="156">
        <v>7.4987067859357007E-2</v>
      </c>
      <c r="BF5" s="156">
        <v>3.9610421344685801E-2</v>
      </c>
      <c r="BG5" s="156">
        <v>1.9472254905156802E-2</v>
      </c>
      <c r="BH5" s="156">
        <v>7.0511020294439397E-2</v>
      </c>
      <c r="BI5" s="156">
        <v>1.74242183986477E-2</v>
      </c>
      <c r="BJ5" s="156">
        <v>4.9843815166786001E-2</v>
      </c>
      <c r="BK5" s="156">
        <v>4.0091829156004503E-2</v>
      </c>
      <c r="BL5" s="156">
        <v>8.7119419784126503E-3</v>
      </c>
      <c r="BM5" s="156">
        <v>4.5043701060693303E-2</v>
      </c>
      <c r="BN5" s="156">
        <v>3.82709506913887E-3</v>
      </c>
      <c r="BO5" s="159">
        <v>7.5726880591073201E-2</v>
      </c>
      <c r="BP5" s="416">
        <f t="shared" si="0"/>
        <v>1.0000000000000004</v>
      </c>
    </row>
    <row r="6" spans="2:76" ht="14.5">
      <c r="B6" s="158" t="s">
        <v>245</v>
      </c>
      <c r="C6">
        <v>-1.617181</v>
      </c>
      <c r="D6">
        <v>-3.0556900000000001E-2</v>
      </c>
      <c r="E6">
        <v>0.1133866</v>
      </c>
      <c r="F6">
        <v>0.86041060000000003</v>
      </c>
      <c r="G6">
        <v>-0.34331279999999997</v>
      </c>
      <c r="H6">
        <v>7.0450299999999993E-2</v>
      </c>
      <c r="I6">
        <v>-0.35539150000000003</v>
      </c>
      <c r="J6">
        <v>4.3200299999999997E-2</v>
      </c>
      <c r="K6">
        <v>-6.0503399999999999E-2</v>
      </c>
      <c r="L6">
        <v>3.4297500000000002E-2</v>
      </c>
      <c r="M6">
        <v>1.65E-4</v>
      </c>
      <c r="N6">
        <v>-4.40568E-2</v>
      </c>
      <c r="O6">
        <v>-8.7156999999999998E-3</v>
      </c>
      <c r="P6">
        <v>0.93752729999999995</v>
      </c>
      <c r="Q6">
        <v>0.1026725</v>
      </c>
      <c r="R6" s="159">
        <v>-0.4790951</v>
      </c>
      <c r="T6" s="305" t="s">
        <v>206</v>
      </c>
      <c r="U6" s="326">
        <v>1</v>
      </c>
      <c r="V6" s="36">
        <v>2.7293011235955014E-3</v>
      </c>
      <c r="W6" s="36">
        <v>4.8637029999999987E-3</v>
      </c>
      <c r="X6" s="36">
        <v>3.3180029999999952E-3</v>
      </c>
      <c r="Y6" s="36">
        <v>3.6136029999999947E-3</v>
      </c>
      <c r="Z6" s="36">
        <v>2.8864010989010994E-3</v>
      </c>
      <c r="AA6" s="36">
        <v>2.993400999999998E-3</v>
      </c>
      <c r="AB6" s="36">
        <v>6.2528000000000028E-3</v>
      </c>
      <c r="AC6" s="36">
        <v>2.6171999999999957E-3</v>
      </c>
      <c r="AD6" s="36">
        <v>3.4003020408163291E-3</v>
      </c>
      <c r="AE6" s="36">
        <v>2.7791970000000028E-3</v>
      </c>
      <c r="AF6" s="36">
        <v>4.1842019999999954E-3</v>
      </c>
      <c r="AG6" s="36">
        <v>7.7660421052631596E-4</v>
      </c>
      <c r="AH6" s="36">
        <v>2.4205050505050466E-3</v>
      </c>
      <c r="AI6" s="36">
        <v>2.842200400000001E-3</v>
      </c>
      <c r="AJ6" s="36">
        <v>3.5637040404040417E-3</v>
      </c>
      <c r="AK6" s="36">
        <v>2.3034040816326535E-3</v>
      </c>
      <c r="AL6" s="36">
        <v>3.8274978260869532E-3</v>
      </c>
      <c r="AM6" s="36">
        <v>7.4000204081632658E-4</v>
      </c>
      <c r="AN6" s="36">
        <v>6.3479041666666645E-3</v>
      </c>
      <c r="AO6" s="36">
        <v>0</v>
      </c>
      <c r="AP6" s="36">
        <v>1.8810022727272729E-3</v>
      </c>
      <c r="AQ6" s="36">
        <v>1.2067948979591853E-3</v>
      </c>
      <c r="AR6" s="36">
        <v>0</v>
      </c>
      <c r="AS6" s="36">
        <v>1.2599756097561105E-4</v>
      </c>
      <c r="AT6" s="36">
        <v>0</v>
      </c>
      <c r="AU6" s="36">
        <v>7.4654000000000031E-3</v>
      </c>
      <c r="AW6" s="235">
        <v>4</v>
      </c>
      <c r="AX6" t="s">
        <v>206</v>
      </c>
      <c r="AY6" s="159">
        <v>1</v>
      </c>
      <c r="AZ6" s="235">
        <v>0.13177823759909199</v>
      </c>
      <c r="BA6" s="156">
        <v>3.07466096628707E-2</v>
      </c>
      <c r="BB6" s="156">
        <v>4.6591649780042599E-2</v>
      </c>
      <c r="BC6" s="156">
        <v>0.23063031960194599</v>
      </c>
      <c r="BD6" s="156">
        <v>2.5452741024287299E-2</v>
      </c>
      <c r="BE6" s="156">
        <v>4.9141632007672E-2</v>
      </c>
      <c r="BF6" s="156">
        <v>5.2287106345350602E-2</v>
      </c>
      <c r="BG6" s="156">
        <v>1.9583743223296701E-2</v>
      </c>
      <c r="BH6" s="156">
        <v>4.8236129474718399E-2</v>
      </c>
      <c r="BI6" s="156">
        <v>1.3096071854386699E-2</v>
      </c>
      <c r="BJ6" s="156">
        <v>3.4884717427571599E-2</v>
      </c>
      <c r="BK6" s="156">
        <v>4.30318450775697E-2</v>
      </c>
      <c r="BL6" s="156">
        <v>5.0779994651912897E-3</v>
      </c>
      <c r="BM6" s="156">
        <v>0.20113898939557501</v>
      </c>
      <c r="BN6" s="156">
        <v>3.6584587488248002E-3</v>
      </c>
      <c r="BO6" s="159">
        <v>6.4663749311604901E-2</v>
      </c>
      <c r="BP6" s="416">
        <f t="shared" si="0"/>
        <v>1.0000000000000004</v>
      </c>
    </row>
    <row r="7" spans="2:76" ht="14.5">
      <c r="B7" s="158" t="s">
        <v>246</v>
      </c>
      <c r="C7">
        <v>6.5457399999999999E-2</v>
      </c>
      <c r="D7">
        <v>4.9439000000000002E-3</v>
      </c>
      <c r="E7">
        <v>8.3134899999999998E-2</v>
      </c>
      <c r="F7">
        <v>0.79507939999999999</v>
      </c>
      <c r="G7">
        <v>-2.4523E-2</v>
      </c>
      <c r="H7">
        <v>-3.3563E-3</v>
      </c>
      <c r="I7">
        <v>-0.23675979999999999</v>
      </c>
      <c r="J7">
        <v>-9.4649E-3</v>
      </c>
      <c r="K7">
        <v>5.8955800000000003E-2</v>
      </c>
      <c r="L7">
        <v>-7.5931000000000002E-3</v>
      </c>
      <c r="M7">
        <v>-3.2525999999999999E-2</v>
      </c>
      <c r="N7">
        <v>-3.14416E-2</v>
      </c>
      <c r="O7">
        <v>-5.4672000000000002E-3</v>
      </c>
      <c r="P7">
        <v>0.27605879999999999</v>
      </c>
      <c r="Q7">
        <v>-8.9009099999999994E-2</v>
      </c>
      <c r="R7" s="159">
        <v>-5.3479199999999998E-2</v>
      </c>
      <c r="T7" s="305" t="s">
        <v>207</v>
      </c>
      <c r="U7" s="326">
        <v>1</v>
      </c>
      <c r="V7" s="36">
        <v>2.8210301123595502E-2</v>
      </c>
      <c r="W7" s="36">
        <v>1.7991403E-2</v>
      </c>
      <c r="X7" s="36">
        <v>2.4567802999999996E-2</v>
      </c>
      <c r="Y7" s="36">
        <v>1.1989102999999996E-2</v>
      </c>
      <c r="Z7" s="36">
        <v>1.90482010989011E-2</v>
      </c>
      <c r="AA7" s="36">
        <v>2.4257900999999998E-2</v>
      </c>
      <c r="AB7" s="36">
        <v>2.4618000000000004E-2</v>
      </c>
      <c r="AC7" s="36">
        <v>1.3232899999999995E-2</v>
      </c>
      <c r="AD7" s="36">
        <v>1.3163202040816328E-2</v>
      </c>
      <c r="AE7" s="36">
        <v>8.9872970000000035E-3</v>
      </c>
      <c r="AF7" s="36">
        <v>1.5413601999999995E-2</v>
      </c>
      <c r="AG7" s="36">
        <v>1.6516042105263159E-3</v>
      </c>
      <c r="AH7" s="36">
        <v>1.8932705050505046E-2</v>
      </c>
      <c r="AI7" s="36">
        <v>1.08138004E-2</v>
      </c>
      <c r="AJ7" s="36">
        <v>1.8543904040404041E-2</v>
      </c>
      <c r="AK7" s="36">
        <v>2.7208040816326536E-3</v>
      </c>
      <c r="AL7" s="36">
        <v>2.7643697826086954E-2</v>
      </c>
      <c r="AM7" s="36">
        <v>1.6236020408163267E-3</v>
      </c>
      <c r="AN7" s="36">
        <v>2.6449604166666665E-2</v>
      </c>
      <c r="AO7" s="36">
        <v>4.5319620253164619E-4</v>
      </c>
      <c r="AP7" s="36">
        <v>9.0270227272727275E-4</v>
      </c>
      <c r="AQ7" s="36">
        <v>3.3590948979591853E-3</v>
      </c>
      <c r="AR7" s="36">
        <v>9.3878957894736829E-3</v>
      </c>
      <c r="AS7" s="36">
        <v>1.2533975609756111E-3</v>
      </c>
      <c r="AT7" s="36">
        <v>0</v>
      </c>
      <c r="AU7" s="36">
        <v>2.8752100000000003E-2</v>
      </c>
      <c r="AW7" s="235">
        <v>5</v>
      </c>
      <c r="AX7" t="s">
        <v>207</v>
      </c>
      <c r="AY7" s="159">
        <v>1</v>
      </c>
      <c r="AZ7" s="235">
        <v>0.17372701997581</v>
      </c>
      <c r="BA7" s="156">
        <v>3.1551887782820198E-2</v>
      </c>
      <c r="BB7" s="156">
        <v>5.8316252618917E-2</v>
      </c>
      <c r="BC7" s="156">
        <v>0.24638885304720901</v>
      </c>
      <c r="BD7" s="156">
        <v>2.1808479543323898E-2</v>
      </c>
      <c r="BE7" s="156">
        <v>7.2483666280684395E-2</v>
      </c>
      <c r="BF7" s="156">
        <v>4.1398946323446303E-2</v>
      </c>
      <c r="BG7" s="156">
        <v>3.2212520532726399E-2</v>
      </c>
      <c r="BH7" s="156">
        <v>6.6920070284959804E-2</v>
      </c>
      <c r="BI7" s="156">
        <v>1.1420091797554099E-2</v>
      </c>
      <c r="BJ7" s="156">
        <v>4.0772161386213798E-2</v>
      </c>
      <c r="BK7" s="156">
        <v>4.7490613226638202E-2</v>
      </c>
      <c r="BL7" s="156">
        <v>1.08552914398326E-2</v>
      </c>
      <c r="BM7" s="156">
        <v>5.2080982826138399E-2</v>
      </c>
      <c r="BN7" s="156">
        <v>4.3411430677920797E-3</v>
      </c>
      <c r="BO7" s="159">
        <v>8.8232019865934194E-2</v>
      </c>
      <c r="BP7" s="416">
        <f t="shared" si="0"/>
        <v>1.0000000000000002</v>
      </c>
    </row>
    <row r="8" spans="2:76" ht="14.5">
      <c r="B8" s="158" t="s">
        <v>247</v>
      </c>
      <c r="C8">
        <v>-0.76981509999999997</v>
      </c>
      <c r="D8">
        <v>-2.0877E-2</v>
      </c>
      <c r="E8">
        <v>4.1732400000000003E-2</v>
      </c>
      <c r="F8">
        <v>-0.96961319999999995</v>
      </c>
      <c r="G8">
        <v>1.3295899999999999E-2</v>
      </c>
      <c r="H8">
        <v>8.1357299999999994E-2</v>
      </c>
      <c r="I8">
        <v>-4.2511100000000003E-2</v>
      </c>
      <c r="J8">
        <v>5.6296100000000002E-2</v>
      </c>
      <c r="K8">
        <v>3.11962E-2</v>
      </c>
      <c r="L8">
        <v>-3.4001000000000001E-3</v>
      </c>
      <c r="M8">
        <v>9.7736000000000003E-3</v>
      </c>
      <c r="N8">
        <v>1.6191500000000001E-2</v>
      </c>
      <c r="O8">
        <v>-3.1340199999999999E-2</v>
      </c>
      <c r="P8">
        <v>0.27133170000000001</v>
      </c>
      <c r="Q8">
        <v>0.18787760000000001</v>
      </c>
      <c r="R8" s="159">
        <v>-0.19880339999999999</v>
      </c>
      <c r="T8" s="305" t="s">
        <v>208</v>
      </c>
      <c r="U8" s="326">
        <v>1</v>
      </c>
      <c r="V8" s="36">
        <v>5.5346011235955011E-3</v>
      </c>
      <c r="W8" s="36">
        <v>5.1257029999999988E-3</v>
      </c>
      <c r="X8" s="36">
        <v>4.743702999999995E-3</v>
      </c>
      <c r="Y8" s="36">
        <v>4.1019029999999953E-3</v>
      </c>
      <c r="Z8" s="36">
        <v>4.2304010989010991E-3</v>
      </c>
      <c r="AA8" s="36">
        <v>4.2171009999999983E-3</v>
      </c>
      <c r="AB8" s="36">
        <v>9.3362000000000011E-3</v>
      </c>
      <c r="AC8" s="36">
        <v>3.0001999999999958E-3</v>
      </c>
      <c r="AD8" s="36">
        <v>4.6380020408163282E-3</v>
      </c>
      <c r="AE8" s="36">
        <v>4.1981970000000025E-3</v>
      </c>
      <c r="AF8" s="36">
        <v>5.6114019999999954E-3</v>
      </c>
      <c r="AG8" s="36">
        <v>1.7844042105263158E-3</v>
      </c>
      <c r="AH8" s="36">
        <v>4.8139050505050466E-3</v>
      </c>
      <c r="AI8" s="36">
        <v>4.1232004000000006E-3</v>
      </c>
      <c r="AJ8" s="36">
        <v>5.1150040404040415E-3</v>
      </c>
      <c r="AK8" s="36">
        <v>1.6322040816326533E-3</v>
      </c>
      <c r="AL8" s="36">
        <v>2.119997826086953E-3</v>
      </c>
      <c r="AM8" s="36">
        <v>4.1730204081632659E-4</v>
      </c>
      <c r="AN8" s="36">
        <v>8.1928041666666646E-3</v>
      </c>
      <c r="AO8" s="36">
        <v>1.6765962025316462E-3</v>
      </c>
      <c r="AP8" s="36">
        <v>6.1659022727272731E-3</v>
      </c>
      <c r="AQ8" s="36">
        <v>8.6599489795918523E-4</v>
      </c>
      <c r="AR8" s="36">
        <v>6.4379957894736845E-3</v>
      </c>
      <c r="AS8" s="36">
        <v>3.9929756097561102E-4</v>
      </c>
      <c r="AT8" s="36">
        <v>0</v>
      </c>
      <c r="AU8" s="36">
        <v>7.1427000000000036E-3</v>
      </c>
      <c r="AW8" s="235">
        <v>6</v>
      </c>
      <c r="AX8" t="s">
        <v>208</v>
      </c>
      <c r="AY8" s="159">
        <v>1</v>
      </c>
      <c r="AZ8" s="235">
        <v>0.19501205753624901</v>
      </c>
      <c r="BA8" s="156">
        <v>4.5944545581844701E-2</v>
      </c>
      <c r="BB8" s="156">
        <v>4.9644876073166401E-2</v>
      </c>
      <c r="BC8" s="156">
        <v>0.23098009587155</v>
      </c>
      <c r="BD8" s="156">
        <v>2.1557569304800499E-2</v>
      </c>
      <c r="BE8" s="156">
        <v>7.2119024883562796E-2</v>
      </c>
      <c r="BF8" s="156">
        <v>4.4962016414270597E-2</v>
      </c>
      <c r="BG8" s="156">
        <v>3.8342582981054897E-2</v>
      </c>
      <c r="BH8" s="156">
        <v>6.4736674929394403E-2</v>
      </c>
      <c r="BI8" s="156">
        <v>2.08474115750596E-2</v>
      </c>
      <c r="BJ8" s="156">
        <v>3.1812237269176799E-2</v>
      </c>
      <c r="BK8" s="156">
        <v>4.4590188405752101E-2</v>
      </c>
      <c r="BL8" s="156">
        <v>1.2331605991594699E-2</v>
      </c>
      <c r="BM8" s="156">
        <v>5.1177741119979303E-2</v>
      </c>
      <c r="BN8" s="156">
        <v>3.3270656760826202E-3</v>
      </c>
      <c r="BO8" s="159">
        <v>7.2614306386461699E-2</v>
      </c>
      <c r="BP8" s="416">
        <f t="shared" si="0"/>
        <v>1</v>
      </c>
    </row>
    <row r="9" spans="2:76" ht="14.5">
      <c r="B9" s="158" t="s">
        <v>248</v>
      </c>
      <c r="C9">
        <v>-1.6178870000000001</v>
      </c>
      <c r="D9">
        <v>-7.2748499999999994E-2</v>
      </c>
      <c r="E9">
        <v>9.3035000000000007E-2</v>
      </c>
      <c r="F9">
        <v>5.1258169999999996</v>
      </c>
      <c r="G9">
        <v>-5.0838000000000001E-2</v>
      </c>
      <c r="H9">
        <v>3.27946E-2</v>
      </c>
      <c r="I9">
        <v>0.37898169999999998</v>
      </c>
      <c r="J9">
        <v>0.1018763</v>
      </c>
      <c r="K9">
        <v>-3.6794199999999999E-2</v>
      </c>
      <c r="L9">
        <v>-5.2709000000000002E-3</v>
      </c>
      <c r="M9">
        <v>7.5627000000000003E-3</v>
      </c>
      <c r="N9">
        <v>2.3089700000000001E-2</v>
      </c>
      <c r="O9">
        <v>-1.9131700000000001E-2</v>
      </c>
      <c r="P9">
        <v>-0.50158309999999995</v>
      </c>
      <c r="Q9">
        <v>2.4508800000000001E-2</v>
      </c>
      <c r="R9" s="159">
        <v>-1.0186300000000001E-2</v>
      </c>
      <c r="T9" s="305" t="s">
        <v>209</v>
      </c>
      <c r="U9" s="326">
        <v>1</v>
      </c>
      <c r="V9" s="36">
        <v>7.129201123595501E-3</v>
      </c>
      <c r="W9" s="36">
        <v>6.0549029999999986E-3</v>
      </c>
      <c r="X9" s="36">
        <v>7.9289029999999941E-3</v>
      </c>
      <c r="Y9" s="36">
        <v>5.7873029999999954E-3</v>
      </c>
      <c r="Z9" s="36">
        <v>9.7461010989011009E-3</v>
      </c>
      <c r="AA9" s="36">
        <v>6.0040009999999984E-3</v>
      </c>
      <c r="AB9" s="36">
        <v>1.2000200000000003E-2</v>
      </c>
      <c r="AC9" s="36">
        <v>7.028299999999996E-3</v>
      </c>
      <c r="AD9" s="36">
        <v>7.0087020408163281E-3</v>
      </c>
      <c r="AE9" s="36">
        <v>3.267697000000003E-3</v>
      </c>
      <c r="AF9" s="36">
        <v>5.2398019999999957E-3</v>
      </c>
      <c r="AG9" s="36">
        <v>3.8928042105263161E-3</v>
      </c>
      <c r="AH9" s="36">
        <v>7.5915050505050465E-3</v>
      </c>
      <c r="AI9" s="36">
        <v>3.0123004000000009E-3</v>
      </c>
      <c r="AJ9" s="36">
        <v>6.0544040404040414E-3</v>
      </c>
      <c r="AK9" s="36">
        <v>2.2696040816326535E-3</v>
      </c>
      <c r="AL9" s="36">
        <v>4.7863978260869527E-3</v>
      </c>
      <c r="AM9" s="36">
        <v>2.2516020408163266E-3</v>
      </c>
      <c r="AN9" s="36">
        <v>6.2445041666666645E-3</v>
      </c>
      <c r="AO9" s="36">
        <v>1.4291962025316462E-3</v>
      </c>
      <c r="AP9" s="36">
        <v>4.230602272727273E-3</v>
      </c>
      <c r="AQ9" s="36">
        <v>5.0171948979591853E-3</v>
      </c>
      <c r="AR9" s="36">
        <v>2.8876957894736839E-3</v>
      </c>
      <c r="AS9" s="36">
        <v>1.8637975609756112E-3</v>
      </c>
      <c r="AT9" s="36">
        <v>0</v>
      </c>
      <c r="AU9" s="36">
        <v>6.443500000000003E-3</v>
      </c>
      <c r="AW9" s="235">
        <v>7</v>
      </c>
      <c r="AX9" t="s">
        <v>209</v>
      </c>
      <c r="AY9" s="159">
        <v>1</v>
      </c>
      <c r="AZ9" s="235">
        <v>0.185845429526978</v>
      </c>
      <c r="BA9" s="156">
        <v>4.3056488918751898E-2</v>
      </c>
      <c r="BB9" s="156">
        <v>3.8615679900524898E-2</v>
      </c>
      <c r="BC9" s="156">
        <v>0.300502630179379</v>
      </c>
      <c r="BD9" s="156">
        <v>4.1247969162168101E-2</v>
      </c>
      <c r="BE9" s="156">
        <v>6.7714791677594505E-2</v>
      </c>
      <c r="BF9" s="156">
        <v>3.1556743694519503E-2</v>
      </c>
      <c r="BG9" s="156">
        <v>2.0884288080043799E-2</v>
      </c>
      <c r="BH9" s="156">
        <v>4.6038277576793303E-2</v>
      </c>
      <c r="BI9" s="156">
        <v>2.98170735231548E-2</v>
      </c>
      <c r="BJ9" s="156">
        <v>2.9642573633471E-2</v>
      </c>
      <c r="BK9" s="156">
        <v>3.34541938083548E-2</v>
      </c>
      <c r="BL9" s="156">
        <v>1.28495010249761E-2</v>
      </c>
      <c r="BM9" s="156">
        <v>4.7838502201461297E-2</v>
      </c>
      <c r="BN9" s="156">
        <v>1.9706510841842398E-3</v>
      </c>
      <c r="BO9" s="159">
        <v>6.8965206007645594E-2</v>
      </c>
      <c r="BP9" s="416">
        <f t="shared" si="0"/>
        <v>1.0000000000000009</v>
      </c>
    </row>
    <row r="10" spans="2:76" ht="14.5">
      <c r="B10" s="158" t="s">
        <v>249</v>
      </c>
      <c r="C10">
        <v>-0.1862164</v>
      </c>
      <c r="D10">
        <v>-2.665E-2</v>
      </c>
      <c r="E10">
        <v>9.5394400000000004E-2</v>
      </c>
      <c r="F10">
        <v>-0.79102890000000003</v>
      </c>
      <c r="G10">
        <v>-8.2677200000000006E-2</v>
      </c>
      <c r="H10">
        <v>9.4660000000000005E-3</v>
      </c>
      <c r="I10">
        <v>5.7599600000000001E-2</v>
      </c>
      <c r="J10">
        <v>7.1157E-3</v>
      </c>
      <c r="K10">
        <v>-1.6959E-3</v>
      </c>
      <c r="L10">
        <v>1.3932E-3</v>
      </c>
      <c r="M10">
        <v>2.9149000000000002E-3</v>
      </c>
      <c r="N10">
        <v>-4.2340000000000003E-2</v>
      </c>
      <c r="O10">
        <v>-1.6530300000000001E-2</v>
      </c>
      <c r="P10">
        <v>0.15224799999999999</v>
      </c>
      <c r="Q10">
        <v>-3.1359999999999999E-3</v>
      </c>
      <c r="R10" s="159">
        <v>0.29052899999999998</v>
      </c>
      <c r="T10" s="305" t="s">
        <v>224</v>
      </c>
      <c r="U10" s="326">
        <v>1</v>
      </c>
      <c r="V10" s="36">
        <v>2.14719011235955E-2</v>
      </c>
      <c r="W10" s="36">
        <v>2.1364702999999999E-2</v>
      </c>
      <c r="X10" s="36">
        <v>1.6006502999999995E-2</v>
      </c>
      <c r="Y10" s="36">
        <v>1.4558602999999995E-2</v>
      </c>
      <c r="Z10" s="36">
        <v>1.69117010989011E-2</v>
      </c>
      <c r="AA10" s="36">
        <v>2.0755201000000001E-2</v>
      </c>
      <c r="AB10" s="36">
        <v>1.3084500000000002E-2</v>
      </c>
      <c r="AC10" s="36">
        <v>1.1865499999999994E-2</v>
      </c>
      <c r="AD10" s="36">
        <v>1.2858202040816329E-2</v>
      </c>
      <c r="AE10" s="36">
        <v>9.1281970000000028E-3</v>
      </c>
      <c r="AF10" s="36">
        <v>1.5811701999999997E-2</v>
      </c>
      <c r="AG10" s="36">
        <v>5.9247042105263154E-3</v>
      </c>
      <c r="AH10" s="36">
        <v>1.1561405050505047E-2</v>
      </c>
      <c r="AI10" s="36">
        <v>8.838800400000001E-3</v>
      </c>
      <c r="AJ10" s="36">
        <v>9.9415040404040415E-3</v>
      </c>
      <c r="AK10" s="36">
        <v>4.7155040816326535E-3</v>
      </c>
      <c r="AL10" s="36">
        <v>2.1264497826086953E-2</v>
      </c>
      <c r="AM10" s="36">
        <v>4.9967020408163264E-3</v>
      </c>
      <c r="AN10" s="36">
        <v>1.4239204166666665E-2</v>
      </c>
      <c r="AO10" s="36">
        <v>6.2309620253164614E-4</v>
      </c>
      <c r="AP10" s="36">
        <v>2.2075602272727275E-2</v>
      </c>
      <c r="AQ10" s="36">
        <v>6.0133948979591853E-3</v>
      </c>
      <c r="AR10" s="36">
        <v>1.4364395789473683E-2</v>
      </c>
      <c r="AS10" s="36">
        <v>4.2449756097561104E-4</v>
      </c>
      <c r="AT10" s="36">
        <v>0</v>
      </c>
      <c r="AU10" s="36">
        <v>2.2049600000000003E-2</v>
      </c>
      <c r="AW10" s="235">
        <v>8</v>
      </c>
      <c r="AX10" t="s">
        <v>224</v>
      </c>
      <c r="AY10" s="159">
        <v>1</v>
      </c>
      <c r="AZ10" s="235">
        <v>0.17249914257142099</v>
      </c>
      <c r="BA10" s="156">
        <v>4.2756112912231303E-2</v>
      </c>
      <c r="BB10" s="156">
        <v>4.9325349080526402E-2</v>
      </c>
      <c r="BC10" s="156">
        <v>0.23601144592835499</v>
      </c>
      <c r="BD10" s="156">
        <v>2.7059792942934702E-2</v>
      </c>
      <c r="BE10" s="156">
        <v>6.4398668373387105E-2</v>
      </c>
      <c r="BF10" s="156">
        <v>4.3755101984634497E-2</v>
      </c>
      <c r="BG10" s="156">
        <v>2.62083733205704E-2</v>
      </c>
      <c r="BH10" s="156">
        <v>7.64825674804408E-2</v>
      </c>
      <c r="BI10" s="156">
        <v>1.4833188206230001E-2</v>
      </c>
      <c r="BJ10" s="156">
        <v>4.3993941623132603E-2</v>
      </c>
      <c r="BK10" s="156">
        <v>4.8689568577465002E-2</v>
      </c>
      <c r="BL10" s="156">
        <v>1.0019879913962901E-2</v>
      </c>
      <c r="BM10" s="156">
        <v>5.4721610637548199E-2</v>
      </c>
      <c r="BN10" s="156">
        <v>9.2257249966848694E-3</v>
      </c>
      <c r="BO10" s="159">
        <v>8.0019531450475495E-2</v>
      </c>
      <c r="BP10" s="416">
        <f t="shared" si="0"/>
        <v>1.0000000000000002</v>
      </c>
    </row>
    <row r="11" spans="2:76" ht="14.5">
      <c r="B11" s="158" t="s">
        <v>250</v>
      </c>
      <c r="C11">
        <v>0.2487433</v>
      </c>
      <c r="D11">
        <v>1.82924E-2</v>
      </c>
      <c r="E11">
        <v>-6.6216800000000006E-2</v>
      </c>
      <c r="F11">
        <v>-0.55184619999999995</v>
      </c>
      <c r="G11">
        <v>-2.8537400000000001E-2</v>
      </c>
      <c r="H11">
        <v>3.1895600000000003E-2</v>
      </c>
      <c r="I11">
        <v>0.19072910000000001</v>
      </c>
      <c r="J11">
        <v>7.5440099999999996E-2</v>
      </c>
      <c r="K11">
        <v>-6.8441600000000005E-2</v>
      </c>
      <c r="L11">
        <v>1.02828E-2</v>
      </c>
      <c r="M11">
        <v>4.5376000000000001E-3</v>
      </c>
      <c r="N11">
        <v>8.1861299999999998E-2</v>
      </c>
      <c r="O11">
        <v>1.7313000000000001E-3</v>
      </c>
      <c r="P11">
        <v>-0.33920329999999999</v>
      </c>
      <c r="Q11">
        <v>4.7143699999999997E-2</v>
      </c>
      <c r="R11" s="159">
        <v>2.0687199999999999E-2</v>
      </c>
      <c r="T11" s="305" t="s">
        <v>210</v>
      </c>
      <c r="U11" s="326">
        <v>1</v>
      </c>
      <c r="V11" s="36">
        <v>2.6069901123595501E-2</v>
      </c>
      <c r="W11" s="36">
        <v>1.2307402999999998E-2</v>
      </c>
      <c r="X11" s="36">
        <v>1.7473002999999994E-2</v>
      </c>
      <c r="Y11" s="36">
        <v>1.5991202999999996E-2</v>
      </c>
      <c r="Z11" s="36">
        <v>2.5303501098901098E-2</v>
      </c>
      <c r="AA11" s="36">
        <v>1.5438900999999998E-2</v>
      </c>
      <c r="AB11" s="36">
        <v>1.3913800000000002E-2</v>
      </c>
      <c r="AC11" s="36">
        <v>1.4556699999999995E-2</v>
      </c>
      <c r="AD11" s="36">
        <v>1.5824102040816329E-2</v>
      </c>
      <c r="AE11" s="36">
        <v>8.2601970000000038E-3</v>
      </c>
      <c r="AF11" s="36">
        <v>1.1186301999999995E-2</v>
      </c>
      <c r="AG11" s="36">
        <v>4.6718042105263159E-3</v>
      </c>
      <c r="AH11" s="36">
        <v>1.4070805050505047E-2</v>
      </c>
      <c r="AI11" s="36">
        <v>6.9151004000000014E-3</v>
      </c>
      <c r="AJ11" s="36">
        <v>1.1148304040404041E-2</v>
      </c>
      <c r="AK11" s="36">
        <v>3.1607040816326532E-3</v>
      </c>
      <c r="AL11" s="36">
        <v>1.9100197826086955E-2</v>
      </c>
      <c r="AM11" s="36">
        <v>5.4164020408163267E-3</v>
      </c>
      <c r="AN11" s="36">
        <v>8.1127041666666649E-3</v>
      </c>
      <c r="AO11" s="36">
        <v>1.3317962025316461E-3</v>
      </c>
      <c r="AP11" s="36">
        <v>1.0474402272727272E-2</v>
      </c>
      <c r="AQ11" s="36">
        <v>3.3304948979591856E-3</v>
      </c>
      <c r="AR11" s="36">
        <v>1.3277395789473683E-2</v>
      </c>
      <c r="AS11" s="36">
        <v>3.5979756097561104E-4</v>
      </c>
      <c r="AT11" s="36">
        <v>0</v>
      </c>
      <c r="AU11" s="36">
        <v>1.4910900000000003E-2</v>
      </c>
      <c r="AW11" s="235">
        <v>9</v>
      </c>
      <c r="AX11" t="s">
        <v>210</v>
      </c>
      <c r="AY11" s="159">
        <v>1</v>
      </c>
      <c r="AZ11" s="235">
        <v>0.18727964172410999</v>
      </c>
      <c r="BA11" s="156">
        <v>4.5590897756821798E-2</v>
      </c>
      <c r="BB11" s="156">
        <v>4.4929148239180199E-2</v>
      </c>
      <c r="BC11" s="156">
        <v>0.25147914180379299</v>
      </c>
      <c r="BD11" s="156">
        <v>2.1558820376262701E-2</v>
      </c>
      <c r="BE11" s="156">
        <v>6.3066766887778E-2</v>
      </c>
      <c r="BF11" s="156">
        <v>3.4060624321409799E-2</v>
      </c>
      <c r="BG11" s="156">
        <v>2.21676667450076E-2</v>
      </c>
      <c r="BH11" s="156">
        <v>7.6682630590332604E-2</v>
      </c>
      <c r="BI11" s="156">
        <v>1.5877250909952598E-2</v>
      </c>
      <c r="BJ11" s="156">
        <v>4.5503493623843497E-2</v>
      </c>
      <c r="BK11" s="156">
        <v>4.23208051633032E-2</v>
      </c>
      <c r="BL11" s="156">
        <v>8.4074794615884001E-3</v>
      </c>
      <c r="BM11" s="156">
        <v>5.8205873490579201E-2</v>
      </c>
      <c r="BN11" s="156">
        <v>9.0016612659332609E-3</v>
      </c>
      <c r="BO11" s="159">
        <v>7.3868097640103797E-2</v>
      </c>
      <c r="BP11" s="416">
        <f t="shared" si="0"/>
        <v>0.99999999999999967</v>
      </c>
    </row>
    <row r="12" spans="2:76" ht="14.5">
      <c r="B12" s="158" t="s">
        <v>251</v>
      </c>
      <c r="C12">
        <v>-1.435818</v>
      </c>
      <c r="D12">
        <v>0.1359631</v>
      </c>
      <c r="E12">
        <v>-0.25629020000000002</v>
      </c>
      <c r="F12">
        <v>-1.6807479999999999</v>
      </c>
      <c r="G12">
        <v>-0.1249434</v>
      </c>
      <c r="H12">
        <v>-2.3132900000000001E-2</v>
      </c>
      <c r="I12">
        <v>0.50597360000000002</v>
      </c>
      <c r="J12">
        <v>1.6534E-2</v>
      </c>
      <c r="K12">
        <v>0.12419810000000001</v>
      </c>
      <c r="L12">
        <v>-2.8895000000000001E-3</v>
      </c>
      <c r="M12">
        <v>4.3751199999999997E-2</v>
      </c>
      <c r="N12">
        <v>5.6132700000000001E-2</v>
      </c>
      <c r="O12">
        <v>-8.1294000000000002E-3</v>
      </c>
      <c r="P12">
        <v>5.7851999999999999E-3</v>
      </c>
      <c r="Q12">
        <v>0.28388600000000003</v>
      </c>
      <c r="R12" s="159">
        <v>-0.1034683</v>
      </c>
      <c r="T12" s="305" t="s">
        <v>211</v>
      </c>
      <c r="U12" s="326">
        <v>1</v>
      </c>
      <c r="V12" s="36">
        <v>7.0817011235955012E-3</v>
      </c>
      <c r="W12" s="36">
        <v>2.8453029999999982E-3</v>
      </c>
      <c r="X12" s="36">
        <v>3.6807029999999948E-3</v>
      </c>
      <c r="Y12" s="36">
        <v>3.3074029999999948E-3</v>
      </c>
      <c r="Z12" s="36">
        <v>3.9086010989010994E-3</v>
      </c>
      <c r="AA12" s="36">
        <v>2.199900999999998E-3</v>
      </c>
      <c r="AB12" s="36">
        <v>4.4710000000000027E-3</v>
      </c>
      <c r="AC12" s="36">
        <v>3.3605999999999957E-3</v>
      </c>
      <c r="AD12" s="36">
        <v>6.6316020408163281E-3</v>
      </c>
      <c r="AE12" s="36">
        <v>1.8381970000000026E-3</v>
      </c>
      <c r="AF12" s="36">
        <v>4.4434019999999956E-3</v>
      </c>
      <c r="AG12" s="36">
        <v>2.1171042105263159E-3</v>
      </c>
      <c r="AH12" s="36">
        <v>1.0837605050505046E-2</v>
      </c>
      <c r="AI12" s="36">
        <v>2.4833004000000009E-3</v>
      </c>
      <c r="AJ12" s="36">
        <v>6.4136040404040419E-3</v>
      </c>
      <c r="AK12" s="36">
        <v>1.6975040816326532E-3</v>
      </c>
      <c r="AL12" s="36">
        <v>5.7314978260869526E-3</v>
      </c>
      <c r="AM12" s="36">
        <v>3.4040204081632657E-4</v>
      </c>
      <c r="AN12" s="36">
        <v>3.2763041666666643E-3</v>
      </c>
      <c r="AO12" s="36">
        <v>1.1569620253164616E-4</v>
      </c>
      <c r="AP12" s="36">
        <v>4.3109022727272732E-3</v>
      </c>
      <c r="AQ12" s="36">
        <v>8.559489795918522E-5</v>
      </c>
      <c r="AR12" s="36">
        <v>3.0501957894736838E-3</v>
      </c>
      <c r="AS12" s="36">
        <v>0</v>
      </c>
      <c r="AT12" s="36">
        <v>0</v>
      </c>
      <c r="AU12" s="36">
        <v>3.9639000000000037E-3</v>
      </c>
      <c r="AW12" s="235">
        <v>10</v>
      </c>
      <c r="AX12" t="s">
        <v>211</v>
      </c>
      <c r="AY12" s="159">
        <v>1</v>
      </c>
      <c r="AZ12" s="235">
        <v>0.21682992569686799</v>
      </c>
      <c r="BA12" s="156">
        <v>3.6080230718923301E-2</v>
      </c>
      <c r="BB12" s="156">
        <v>5.1588886990111701E-2</v>
      </c>
      <c r="BC12" s="156">
        <v>0.22883840832107999</v>
      </c>
      <c r="BD12" s="156">
        <v>2.3888958322640701E-2</v>
      </c>
      <c r="BE12" s="156">
        <v>6.4633825808181097E-2</v>
      </c>
      <c r="BF12" s="156">
        <v>5.1771490833270602E-2</v>
      </c>
      <c r="BG12" s="156">
        <v>2.8999079640069401E-2</v>
      </c>
      <c r="BH12" s="156">
        <v>7.0584363028832101E-2</v>
      </c>
      <c r="BI12" s="156">
        <v>1.6517518975382801E-2</v>
      </c>
      <c r="BJ12" s="156">
        <v>3.4474735989846003E-2</v>
      </c>
      <c r="BK12" s="156">
        <v>3.8451334134783299E-2</v>
      </c>
      <c r="BL12" s="156">
        <v>6.3755742712384303E-3</v>
      </c>
      <c r="BM12" s="156">
        <v>3.8422907853480903E-2</v>
      </c>
      <c r="BN12" s="156">
        <v>1.0926437866933701E-2</v>
      </c>
      <c r="BO12" s="159">
        <v>8.1616321548357698E-2</v>
      </c>
      <c r="BP12" s="416">
        <f t="shared" si="0"/>
        <v>0.99999999999999978</v>
      </c>
    </row>
    <row r="13" spans="2:76" ht="14.5">
      <c r="B13" s="158" t="s">
        <v>252</v>
      </c>
      <c r="C13">
        <v>1.4730840000000001</v>
      </c>
      <c r="D13">
        <v>-6.001E-4</v>
      </c>
      <c r="E13">
        <v>-0.10137409999999999</v>
      </c>
      <c r="F13">
        <v>1.58134</v>
      </c>
      <c r="G13">
        <v>-3.99505E-2</v>
      </c>
      <c r="H13">
        <v>2.856E-4</v>
      </c>
      <c r="I13">
        <v>-0.14315320000000001</v>
      </c>
      <c r="J13">
        <v>-0.27455790000000002</v>
      </c>
      <c r="K13">
        <v>-9.0043799999999993E-2</v>
      </c>
      <c r="L13">
        <v>3.3608000000000002E-3</v>
      </c>
      <c r="M13">
        <v>-4.4179499999999997E-2</v>
      </c>
      <c r="N13">
        <v>-0.20788980000000001</v>
      </c>
      <c r="O13">
        <v>-2.55838E-2</v>
      </c>
      <c r="P13">
        <v>-0.39487749999999999</v>
      </c>
      <c r="Q13">
        <v>-0.14146639999999999</v>
      </c>
      <c r="R13" s="159">
        <v>-0.115415</v>
      </c>
      <c r="T13" s="305" t="s">
        <v>212</v>
      </c>
      <c r="U13" s="326">
        <v>1</v>
      </c>
      <c r="V13" s="36">
        <v>8.0425011235955007E-3</v>
      </c>
      <c r="W13" s="36">
        <v>5.7011029999999982E-3</v>
      </c>
      <c r="X13" s="36">
        <v>6.2016029999999948E-3</v>
      </c>
      <c r="Y13" s="36">
        <v>9.1914029999999956E-3</v>
      </c>
      <c r="Z13" s="36">
        <v>8.3134010989011006E-3</v>
      </c>
      <c r="AA13" s="36">
        <v>5.4756009999999983E-3</v>
      </c>
      <c r="AB13" s="36">
        <v>7.0384000000000028E-3</v>
      </c>
      <c r="AC13" s="36">
        <v>6.3834999999999959E-3</v>
      </c>
      <c r="AD13" s="36">
        <v>6.6917020408163285E-3</v>
      </c>
      <c r="AE13" s="36">
        <v>2.648597000000003E-3</v>
      </c>
      <c r="AF13" s="36">
        <v>5.4146019999999958E-3</v>
      </c>
      <c r="AG13" s="36">
        <v>1.1247042105263158E-3</v>
      </c>
      <c r="AH13" s="36">
        <v>7.2040050505050466E-3</v>
      </c>
      <c r="AI13" s="36">
        <v>2.4852004000000009E-3</v>
      </c>
      <c r="AJ13" s="36">
        <v>5.1899040404040416E-3</v>
      </c>
      <c r="AK13" s="36">
        <v>2.3402040816326536E-3</v>
      </c>
      <c r="AL13" s="36">
        <v>5.7177978260869533E-3</v>
      </c>
      <c r="AM13" s="36">
        <v>2.7465020408163265E-3</v>
      </c>
      <c r="AN13" s="36">
        <v>2.1426041666666646E-3</v>
      </c>
      <c r="AO13" s="36">
        <v>3.667962025316462E-4</v>
      </c>
      <c r="AP13" s="36">
        <v>5.6918022727272732E-3</v>
      </c>
      <c r="AQ13" s="36">
        <v>2.2203948979591854E-3</v>
      </c>
      <c r="AR13" s="36">
        <v>3.9124957894736846E-3</v>
      </c>
      <c r="AS13" s="36">
        <v>0</v>
      </c>
      <c r="AT13" s="36">
        <v>0</v>
      </c>
      <c r="AU13" s="36">
        <v>4.9076000000000033E-3</v>
      </c>
      <c r="AW13" s="235">
        <v>11</v>
      </c>
      <c r="AX13" t="s">
        <v>212</v>
      </c>
      <c r="AY13" s="159">
        <v>1</v>
      </c>
      <c r="AZ13" s="235">
        <v>0.21418091135568301</v>
      </c>
      <c r="BA13" s="156">
        <v>4.2390648816709599E-2</v>
      </c>
      <c r="BB13" s="156">
        <v>4.4143535349609998E-2</v>
      </c>
      <c r="BC13" s="156">
        <v>0.242385885023051</v>
      </c>
      <c r="BD13" s="156">
        <v>2.2000549804686399E-2</v>
      </c>
      <c r="BE13" s="156">
        <v>7.2907057381971396E-2</v>
      </c>
      <c r="BF13" s="156">
        <v>4.4248344537618597E-2</v>
      </c>
      <c r="BG13" s="156">
        <v>2.2556640392199501E-2</v>
      </c>
      <c r="BH13" s="156">
        <v>9.5900076393846206E-2</v>
      </c>
      <c r="BI13" s="156">
        <v>7.6481352279416598E-3</v>
      </c>
      <c r="BJ13" s="156">
        <v>3.7382672246459497E-2</v>
      </c>
      <c r="BK13" s="156">
        <v>3.8250885768109102E-2</v>
      </c>
      <c r="BL13" s="156">
        <v>6.1058220042449702E-3</v>
      </c>
      <c r="BM13" s="156">
        <v>2.8743388523341799E-2</v>
      </c>
      <c r="BN13" s="156">
        <v>3.2914321592726601E-3</v>
      </c>
      <c r="BO13" s="159">
        <v>7.7864015015254098E-2</v>
      </c>
      <c r="BP13" s="416">
        <f t="shared" si="0"/>
        <v>0.99999999999999944</v>
      </c>
    </row>
    <row r="14" spans="2:76" ht="14.5">
      <c r="B14" s="158" t="s">
        <v>253</v>
      </c>
      <c r="C14">
        <v>-0.11515930000000001</v>
      </c>
      <c r="D14">
        <v>-4.9908099999999997E-2</v>
      </c>
      <c r="E14">
        <v>-0.98403169999999995</v>
      </c>
      <c r="F14">
        <v>0.4297861</v>
      </c>
      <c r="G14">
        <v>-1.2431599999999999E-2</v>
      </c>
      <c r="H14">
        <v>-3.3278099999999998E-2</v>
      </c>
      <c r="I14">
        <v>0.38253530000000002</v>
      </c>
      <c r="J14">
        <v>3.4646900000000001E-2</v>
      </c>
      <c r="K14">
        <v>8.5769100000000001E-2</v>
      </c>
      <c r="L14">
        <v>2.00672E-2</v>
      </c>
      <c r="M14">
        <v>-2.1848200000000002E-2</v>
      </c>
      <c r="N14">
        <v>2.0200900000000001E-2</v>
      </c>
      <c r="O14">
        <v>-3.5983999999999999E-3</v>
      </c>
      <c r="P14">
        <v>-0.24558959999999999</v>
      </c>
      <c r="Q14">
        <v>-8.6443599999999995E-2</v>
      </c>
      <c r="R14" s="159">
        <v>-4.265E-2</v>
      </c>
      <c r="T14" s="305" t="s">
        <v>213</v>
      </c>
      <c r="U14" s="326">
        <v>1</v>
      </c>
      <c r="V14" s="36">
        <v>5.57644011235955E-2</v>
      </c>
      <c r="W14" s="36">
        <v>1.7534902999999998E-2</v>
      </c>
      <c r="X14" s="36">
        <v>2.6956302999999994E-2</v>
      </c>
      <c r="Y14" s="36">
        <v>1.4371402999999994E-2</v>
      </c>
      <c r="Z14" s="36">
        <v>5.7826301098901099E-2</v>
      </c>
      <c r="AA14" s="36">
        <v>1.6080601E-2</v>
      </c>
      <c r="AB14" s="36">
        <v>2.6642600000000002E-2</v>
      </c>
      <c r="AC14" s="36">
        <v>1.4120999999999995E-2</v>
      </c>
      <c r="AD14" s="36">
        <v>4.4372202040816329E-2</v>
      </c>
      <c r="AE14" s="36">
        <v>7.6793970000000027E-3</v>
      </c>
      <c r="AF14" s="36">
        <v>2.8682701999999994E-2</v>
      </c>
      <c r="AG14" s="36">
        <v>8.2319042105263168E-3</v>
      </c>
      <c r="AH14" s="36">
        <v>6.8317405050505042E-2</v>
      </c>
      <c r="AI14" s="36">
        <v>1.17398004E-2</v>
      </c>
      <c r="AJ14" s="36">
        <v>1.281830404040404E-2</v>
      </c>
      <c r="AK14" s="36">
        <v>4.5427040816326536E-3</v>
      </c>
      <c r="AL14" s="36">
        <v>3.6411797826086952E-2</v>
      </c>
      <c r="AM14" s="36">
        <v>4.9483020408163268E-3</v>
      </c>
      <c r="AN14" s="36">
        <v>3.9915804166666666E-2</v>
      </c>
      <c r="AO14" s="36">
        <v>3.0019620253164615E-4</v>
      </c>
      <c r="AP14" s="36">
        <v>1.7343102272727274E-2</v>
      </c>
      <c r="AQ14" s="36">
        <v>8.7507948979591854E-3</v>
      </c>
      <c r="AR14" s="36">
        <v>1.0030595789473684E-2</v>
      </c>
      <c r="AS14" s="36">
        <v>2.699697560975611E-3</v>
      </c>
      <c r="AT14" s="36">
        <v>0</v>
      </c>
      <c r="AU14" s="36">
        <v>2.2656800000000005E-2</v>
      </c>
      <c r="AW14" s="235">
        <v>12</v>
      </c>
      <c r="AX14" t="s">
        <v>213</v>
      </c>
      <c r="AY14" s="159">
        <v>1</v>
      </c>
      <c r="AZ14" s="235">
        <v>0.209448769312155</v>
      </c>
      <c r="BA14" s="156">
        <v>5.2276067434355797E-2</v>
      </c>
      <c r="BB14" s="156">
        <v>4.85017328873249E-2</v>
      </c>
      <c r="BC14" s="156">
        <v>0.22280529213280001</v>
      </c>
      <c r="BD14" s="156">
        <v>1.9013788052101101E-2</v>
      </c>
      <c r="BE14" s="156">
        <v>5.5107253139595497E-2</v>
      </c>
      <c r="BF14" s="156">
        <v>4.1408426721020401E-2</v>
      </c>
      <c r="BG14" s="156">
        <v>3.4468404123210797E-2</v>
      </c>
      <c r="BH14" s="156">
        <v>8.53857755161819E-2</v>
      </c>
      <c r="BI14" s="156">
        <v>1.76175647807774E-2</v>
      </c>
      <c r="BJ14" s="156">
        <v>3.9685792982215001E-2</v>
      </c>
      <c r="BK14" s="156">
        <v>3.6633478331295301E-2</v>
      </c>
      <c r="BL14" s="156">
        <v>3.7945933534262802E-3</v>
      </c>
      <c r="BM14" s="156">
        <v>4.5405649782754402E-2</v>
      </c>
      <c r="BN14" s="156">
        <v>4.2812868661839601E-3</v>
      </c>
      <c r="BO14" s="159">
        <v>8.4166124584602903E-2</v>
      </c>
      <c r="BP14" s="416">
        <f t="shared" si="0"/>
        <v>1.0000000000000007</v>
      </c>
    </row>
    <row r="15" spans="2:76" ht="14.5">
      <c r="B15" s="158" t="s">
        <v>254</v>
      </c>
      <c r="C15">
        <v>0.64977450000000003</v>
      </c>
      <c r="D15">
        <v>4.8996499999999998E-2</v>
      </c>
      <c r="E15">
        <v>-0.2154906</v>
      </c>
      <c r="F15">
        <v>-0.6470728</v>
      </c>
      <c r="G15">
        <v>3.7101000000000002E-2</v>
      </c>
      <c r="H15">
        <v>-4.5091100000000002E-2</v>
      </c>
      <c r="I15">
        <v>-4.2447400000000003E-2</v>
      </c>
      <c r="J15">
        <v>4.6266300000000003E-2</v>
      </c>
      <c r="K15">
        <v>-5.4912099999999998E-2</v>
      </c>
      <c r="L15">
        <v>1.73881E-2</v>
      </c>
      <c r="M15">
        <v>-2.8449800000000001E-2</v>
      </c>
      <c r="N15">
        <v>-8.4169999999999995E-2</v>
      </c>
      <c r="O15">
        <v>-2.9437999999999999E-3</v>
      </c>
      <c r="P15">
        <v>0.25428289999999998</v>
      </c>
      <c r="Q15">
        <v>-0.1594177</v>
      </c>
      <c r="R15" s="159">
        <v>0.42126000000000002</v>
      </c>
      <c r="T15" s="305" t="s">
        <v>214</v>
      </c>
      <c r="U15" s="326">
        <v>1</v>
      </c>
      <c r="V15" s="36">
        <v>7.7253011235955014E-3</v>
      </c>
      <c r="W15" s="36">
        <v>4.6253029999999981E-3</v>
      </c>
      <c r="X15" s="36">
        <v>5.6950029999999954E-3</v>
      </c>
      <c r="Y15" s="36">
        <v>5.0677029999999946E-3</v>
      </c>
      <c r="Z15" s="36">
        <v>4.2335010989010997E-3</v>
      </c>
      <c r="AA15" s="36">
        <v>3.3616009999999984E-3</v>
      </c>
      <c r="AB15" s="36">
        <v>6.1761000000000029E-3</v>
      </c>
      <c r="AC15" s="36">
        <v>5.3499999999999954E-3</v>
      </c>
      <c r="AD15" s="36">
        <v>7.2363020408163286E-3</v>
      </c>
      <c r="AE15" s="36">
        <v>2.3305970000000028E-3</v>
      </c>
      <c r="AF15" s="36">
        <v>9.5181019999999953E-3</v>
      </c>
      <c r="AG15" s="36">
        <v>6.4550421052631598E-4</v>
      </c>
      <c r="AH15" s="36">
        <v>1.3881205050505047E-2</v>
      </c>
      <c r="AI15" s="36">
        <v>3.810300400000001E-3</v>
      </c>
      <c r="AJ15" s="36">
        <v>8.4505040404040405E-3</v>
      </c>
      <c r="AK15" s="36">
        <v>9.3480408163265313E-4</v>
      </c>
      <c r="AL15" s="36">
        <v>8.4878978260869518E-3</v>
      </c>
      <c r="AM15" s="36">
        <v>9.3610204081632663E-4</v>
      </c>
      <c r="AN15" s="36">
        <v>9.5378041666666653E-3</v>
      </c>
      <c r="AO15" s="36">
        <v>2.4349620253164619E-4</v>
      </c>
      <c r="AP15" s="36">
        <v>5.2855022727272731E-3</v>
      </c>
      <c r="AQ15" s="36">
        <v>3.3109489795918524E-4</v>
      </c>
      <c r="AR15" s="36">
        <v>9.7490957894736836E-3</v>
      </c>
      <c r="AS15" s="36">
        <v>0</v>
      </c>
      <c r="AT15" s="36">
        <v>0</v>
      </c>
      <c r="AU15" s="36">
        <v>4.7494000000000034E-3</v>
      </c>
      <c r="AW15" s="235">
        <v>13</v>
      </c>
      <c r="AX15" t="s">
        <v>214</v>
      </c>
      <c r="AY15" s="159">
        <v>1</v>
      </c>
      <c r="AZ15" s="235">
        <v>0.207795035668594</v>
      </c>
      <c r="BA15" s="156">
        <v>6.5317708678774095E-2</v>
      </c>
      <c r="BB15" s="156">
        <v>5.1664191419590902E-2</v>
      </c>
      <c r="BC15" s="156">
        <v>0.19576600594538199</v>
      </c>
      <c r="BD15" s="156">
        <v>1.6433140448358498E-2</v>
      </c>
      <c r="BE15" s="156">
        <v>6.7471696582570503E-2</v>
      </c>
      <c r="BF15" s="156">
        <v>5.5878111996915503E-2</v>
      </c>
      <c r="BG15" s="156">
        <v>3.5686775700552002E-2</v>
      </c>
      <c r="BH15" s="156">
        <v>0.105417295836278</v>
      </c>
      <c r="BI15" s="156">
        <v>7.7246177783936599E-3</v>
      </c>
      <c r="BJ15" s="156">
        <v>3.0022206884217702E-2</v>
      </c>
      <c r="BK15" s="156">
        <v>4.1224975393459998E-2</v>
      </c>
      <c r="BL15" s="156">
        <v>7.5047249611972901E-3</v>
      </c>
      <c r="BM15" s="156">
        <v>2.7843688144833199E-2</v>
      </c>
      <c r="BN15" s="156">
        <v>1.13995807804057E-2</v>
      </c>
      <c r="BO15" s="159">
        <v>7.2850243780476595E-2</v>
      </c>
      <c r="BP15" s="416">
        <f t="shared" si="0"/>
        <v>0.99999999999999956</v>
      </c>
    </row>
    <row r="16" spans="2:76" ht="14.5">
      <c r="B16" s="158" t="s">
        <v>255</v>
      </c>
      <c r="C16">
        <v>2.2622019999999998</v>
      </c>
      <c r="D16">
        <v>5.03715E-2</v>
      </c>
      <c r="E16">
        <v>0.41497780000000001</v>
      </c>
      <c r="F16">
        <v>-1.029782</v>
      </c>
      <c r="G16">
        <v>-7.8109999999999996E-4</v>
      </c>
      <c r="H16">
        <v>-0.1248002</v>
      </c>
      <c r="I16">
        <v>-0.45861610000000003</v>
      </c>
      <c r="J16">
        <v>0.15685550000000001</v>
      </c>
      <c r="K16">
        <v>0.1240145</v>
      </c>
      <c r="L16">
        <v>1.4970499999999999E-2</v>
      </c>
      <c r="M16">
        <v>1.2467300000000001E-2</v>
      </c>
      <c r="N16">
        <v>-0.13995440000000001</v>
      </c>
      <c r="O16">
        <v>2.3846300000000001E-2</v>
      </c>
      <c r="P16">
        <v>-0.13373270000000001</v>
      </c>
      <c r="Q16">
        <v>-0.50300460000000002</v>
      </c>
      <c r="R16" s="159">
        <v>0.78452010000000005</v>
      </c>
      <c r="T16" s="305" t="s">
        <v>215</v>
      </c>
      <c r="U16" s="326">
        <v>1</v>
      </c>
      <c r="V16" s="36">
        <v>2.5406011235955014E-3</v>
      </c>
      <c r="W16" s="36">
        <v>1.6157029999999985E-3</v>
      </c>
      <c r="X16" s="36">
        <v>1.6354029999999951E-3</v>
      </c>
      <c r="Y16" s="36">
        <v>1.2337029999999951E-3</v>
      </c>
      <c r="Z16" s="36">
        <v>3.8558010989010994E-3</v>
      </c>
      <c r="AA16" s="36">
        <v>9.8040099999999837E-4</v>
      </c>
      <c r="AB16" s="36">
        <v>1.6830000000000022E-3</v>
      </c>
      <c r="AC16" s="36">
        <v>1.3804999999999957E-3</v>
      </c>
      <c r="AD16" s="36">
        <v>1.0263020408163288E-3</v>
      </c>
      <c r="AE16" s="36">
        <v>1.2679700000000268E-4</v>
      </c>
      <c r="AF16" s="36">
        <v>1.2689019999999958E-3</v>
      </c>
      <c r="AG16" s="36">
        <v>0</v>
      </c>
      <c r="AH16" s="36">
        <v>6.3675050505050462E-3</v>
      </c>
      <c r="AI16" s="36">
        <v>5.3020040000000088E-4</v>
      </c>
      <c r="AJ16" s="36">
        <v>1.0464040404040418E-3</v>
      </c>
      <c r="AK16" s="36">
        <v>1.6334040816326531E-3</v>
      </c>
      <c r="AL16" s="36">
        <v>6.5572978260869533E-3</v>
      </c>
      <c r="AM16" s="36">
        <v>2.7360204081632657E-4</v>
      </c>
      <c r="AN16" s="36">
        <v>5.6650416666666442E-4</v>
      </c>
      <c r="AO16" s="36">
        <v>0</v>
      </c>
      <c r="AP16" s="36">
        <v>3.6674022727272728E-3</v>
      </c>
      <c r="AQ16" s="36">
        <v>0</v>
      </c>
      <c r="AR16" s="36">
        <v>9.6529578947368404E-4</v>
      </c>
      <c r="AS16" s="36">
        <v>0</v>
      </c>
      <c r="AT16" s="36">
        <v>0</v>
      </c>
      <c r="AU16" s="36">
        <v>8.5080000000000333E-4</v>
      </c>
      <c r="AW16" s="235">
        <v>14</v>
      </c>
      <c r="AX16" t="s">
        <v>215</v>
      </c>
      <c r="AY16" s="159">
        <v>1</v>
      </c>
      <c r="AZ16" s="235">
        <v>0.193259861866698</v>
      </c>
      <c r="BA16" s="156">
        <v>2.8744954106302699E-2</v>
      </c>
      <c r="BB16" s="156">
        <v>5.6850158795719197E-2</v>
      </c>
      <c r="BC16" s="156">
        <v>0.23960249838127201</v>
      </c>
      <c r="BD16" s="156">
        <v>2.06044980637358E-2</v>
      </c>
      <c r="BE16" s="156">
        <v>9.6780461279528399E-2</v>
      </c>
      <c r="BF16" s="156">
        <v>5.4637419853206803E-2</v>
      </c>
      <c r="BG16" s="156">
        <v>3.8089507486841298E-2</v>
      </c>
      <c r="BH16" s="156">
        <v>7.4581152592559596E-2</v>
      </c>
      <c r="BI16" s="156">
        <v>2.5409089132282601E-3</v>
      </c>
      <c r="BJ16" s="156">
        <v>4.2584045006302702E-2</v>
      </c>
      <c r="BK16" s="156">
        <v>3.6236859966879802E-2</v>
      </c>
      <c r="BL16" s="156">
        <v>7.4614045787291597E-3</v>
      </c>
      <c r="BM16" s="156">
        <v>1.0839588820352601E-2</v>
      </c>
      <c r="BN16" s="156">
        <v>1.10166265359379E-2</v>
      </c>
      <c r="BO16" s="159">
        <v>8.6170053752705797E-2</v>
      </c>
      <c r="BP16" s="416">
        <f t="shared" si="0"/>
        <v>1</v>
      </c>
    </row>
    <row r="17" spans="2:68" ht="14.5">
      <c r="B17" s="158" t="s">
        <v>256</v>
      </c>
      <c r="C17">
        <v>1.464313</v>
      </c>
      <c r="D17">
        <v>-9.00117E-2</v>
      </c>
      <c r="E17">
        <v>-0.12434770000000001</v>
      </c>
      <c r="F17">
        <v>-0.47525220000000001</v>
      </c>
      <c r="G17">
        <v>5.6734100000000003E-2</v>
      </c>
      <c r="H17">
        <v>1.09471E-2</v>
      </c>
      <c r="I17">
        <v>1.03813E-2</v>
      </c>
      <c r="J17">
        <v>1.2659E-2</v>
      </c>
      <c r="K17">
        <v>-8.1989199999999998E-2</v>
      </c>
      <c r="L17">
        <v>2.60448E-2</v>
      </c>
      <c r="M17">
        <v>-2.3050600000000001E-2</v>
      </c>
      <c r="N17">
        <v>-0.109828</v>
      </c>
      <c r="O17">
        <v>2.1408E-3</v>
      </c>
      <c r="P17">
        <v>-9.1427599999999998E-2</v>
      </c>
      <c r="Q17">
        <v>-0.1012512</v>
      </c>
      <c r="R17" s="159">
        <v>0.19360820000000001</v>
      </c>
      <c r="T17" s="305" t="s">
        <v>216</v>
      </c>
      <c r="U17" s="326">
        <v>1</v>
      </c>
      <c r="V17" s="36">
        <v>0.13020420112359549</v>
      </c>
      <c r="W17" s="36">
        <v>8.5044029999999989E-3</v>
      </c>
      <c r="X17" s="36">
        <v>3.9290403000000002E-2</v>
      </c>
      <c r="Y17" s="36">
        <v>9.6316029999999955E-3</v>
      </c>
      <c r="Z17" s="36">
        <v>0.1605604010989011</v>
      </c>
      <c r="AA17" s="36">
        <v>1.5385900999999997E-2</v>
      </c>
      <c r="AB17" s="36">
        <v>2.3235500000000003E-2</v>
      </c>
      <c r="AC17" s="36">
        <v>8.6867999999999945E-3</v>
      </c>
      <c r="AD17" s="36">
        <v>6.0176902040816327E-2</v>
      </c>
      <c r="AE17" s="36">
        <v>2.3316970000000028E-3</v>
      </c>
      <c r="AF17" s="36">
        <v>1.4827901999999995E-2</v>
      </c>
      <c r="AG17" s="36">
        <v>1.9144042105263158E-3</v>
      </c>
      <c r="AH17" s="36">
        <v>5.591000505050505E-2</v>
      </c>
      <c r="AI17" s="36">
        <v>3.4538004000000009E-3</v>
      </c>
      <c r="AJ17" s="36">
        <v>1.3545304040404041E-2</v>
      </c>
      <c r="AK17" s="36">
        <v>1.1462040816326532E-3</v>
      </c>
      <c r="AL17" s="36">
        <v>8.3427978260869513E-3</v>
      </c>
      <c r="AM17" s="36">
        <v>7.4302040816326591E-5</v>
      </c>
      <c r="AN17" s="36">
        <v>2.1441041666666644E-3</v>
      </c>
      <c r="AO17" s="36">
        <v>0</v>
      </c>
      <c r="AP17" s="36">
        <v>2.0423702272727273E-2</v>
      </c>
      <c r="AQ17" s="36">
        <v>5.0619489795918527E-4</v>
      </c>
      <c r="AR17" s="36">
        <v>2.9434957894736839E-3</v>
      </c>
      <c r="AS17" s="36">
        <v>0</v>
      </c>
      <c r="AT17" s="36">
        <v>0</v>
      </c>
      <c r="AU17" s="36">
        <v>3.0438800000000002E-2</v>
      </c>
      <c r="AW17" s="235">
        <v>15</v>
      </c>
      <c r="AX17" t="s">
        <v>216</v>
      </c>
      <c r="AY17" s="159">
        <v>1</v>
      </c>
      <c r="AZ17" s="235">
        <v>0.24462540871177499</v>
      </c>
      <c r="BA17" s="156">
        <v>5.9979127157663001E-2</v>
      </c>
      <c r="BB17" s="156">
        <v>5.0783094663988303E-2</v>
      </c>
      <c r="BC17" s="156">
        <v>0.20556323928725201</v>
      </c>
      <c r="BD17" s="156">
        <v>2.1202805179233699E-2</v>
      </c>
      <c r="BE17" s="156">
        <v>6.1557768534561498E-2</v>
      </c>
      <c r="BF17" s="156">
        <v>5.2483946902543099E-2</v>
      </c>
      <c r="BG17" s="156">
        <v>3.6436735782966703E-2</v>
      </c>
      <c r="BH17" s="156">
        <v>8.3176918621637397E-2</v>
      </c>
      <c r="BI17" s="156">
        <v>1.11529641893214E-2</v>
      </c>
      <c r="BJ17" s="156">
        <v>3.6474726285520197E-2</v>
      </c>
      <c r="BK17" s="156">
        <v>2.8325940814180401E-2</v>
      </c>
      <c r="BL17" s="156">
        <v>9.4795142938786398E-3</v>
      </c>
      <c r="BM17" s="156">
        <v>1.8698217299602301E-2</v>
      </c>
      <c r="BN17" s="156">
        <v>9.8690108135923594E-3</v>
      </c>
      <c r="BO17" s="159">
        <v>7.0190581462284102E-2</v>
      </c>
      <c r="BP17" s="416">
        <f t="shared" si="0"/>
        <v>1</v>
      </c>
    </row>
    <row r="18" spans="2:68" ht="14.5">
      <c r="B18" s="158" t="s">
        <v>257</v>
      </c>
      <c r="C18">
        <v>0.85267919999999997</v>
      </c>
      <c r="D18">
        <v>0.1361706</v>
      </c>
      <c r="E18">
        <v>-0.51323339999999995</v>
      </c>
      <c r="F18">
        <v>1.1331260000000001</v>
      </c>
      <c r="G18">
        <v>-2.6910799999999999E-2</v>
      </c>
      <c r="H18">
        <v>1.5391200000000001E-2</v>
      </c>
      <c r="I18">
        <v>4.2837699999999999E-2</v>
      </c>
      <c r="J18">
        <v>-5.9042200000000003E-2</v>
      </c>
      <c r="K18">
        <v>3.6088599999999998E-2</v>
      </c>
      <c r="L18">
        <v>2.3130399999999999E-2</v>
      </c>
      <c r="M18">
        <v>-3.53066E-2</v>
      </c>
      <c r="N18">
        <v>-0.1091443</v>
      </c>
      <c r="O18">
        <v>4.6077000000000002E-3</v>
      </c>
      <c r="P18">
        <v>-2.91965E-2</v>
      </c>
      <c r="Q18">
        <v>-3.9375E-2</v>
      </c>
      <c r="R18" s="159">
        <v>0.49192659999999999</v>
      </c>
      <c r="T18" s="305" t="s">
        <v>217</v>
      </c>
      <c r="U18" s="326">
        <v>1</v>
      </c>
      <c r="V18" s="36">
        <v>3.2310401123595504E-2</v>
      </c>
      <c r="W18" s="36">
        <v>6.4935029999999986E-3</v>
      </c>
      <c r="X18" s="36">
        <v>3.2106203E-2</v>
      </c>
      <c r="Y18" s="36">
        <v>9.3256029999999948E-3</v>
      </c>
      <c r="Z18" s="36">
        <v>5.5894401098901099E-2</v>
      </c>
      <c r="AA18" s="36">
        <v>1.6643701E-2</v>
      </c>
      <c r="AB18" s="36">
        <v>2.0312800000000002E-2</v>
      </c>
      <c r="AC18" s="36">
        <v>8.7863999999999946E-3</v>
      </c>
      <c r="AD18" s="36">
        <v>2.8344402040816327E-2</v>
      </c>
      <c r="AE18" s="36">
        <v>2.3744970000000028E-3</v>
      </c>
      <c r="AF18" s="36">
        <v>1.5971001999999995E-2</v>
      </c>
      <c r="AG18" s="36">
        <v>2.7340042105263159E-3</v>
      </c>
      <c r="AH18" s="36">
        <v>4.1190405050505051E-2</v>
      </c>
      <c r="AI18" s="36">
        <v>4.8152004000000014E-3</v>
      </c>
      <c r="AJ18" s="36">
        <v>1.6613104040404041E-2</v>
      </c>
      <c r="AK18" s="36">
        <v>2.4219040816326532E-3</v>
      </c>
      <c r="AL18" s="36">
        <v>1.8047597826086954E-2</v>
      </c>
      <c r="AM18" s="36">
        <v>1.5590020408163268E-3</v>
      </c>
      <c r="AN18" s="36">
        <v>1.3715604166666664E-2</v>
      </c>
      <c r="AO18" s="36">
        <v>0</v>
      </c>
      <c r="AP18" s="36">
        <v>6.8271022727272729E-3</v>
      </c>
      <c r="AQ18" s="36">
        <v>1.1083948979591853E-3</v>
      </c>
      <c r="AR18" s="36">
        <v>4.5474957894736847E-3</v>
      </c>
      <c r="AS18" s="36">
        <v>8.0297560975611037E-5</v>
      </c>
      <c r="AT18" s="36">
        <v>0</v>
      </c>
      <c r="AU18" s="36">
        <v>1.7830700000000005E-2</v>
      </c>
      <c r="AW18" s="235">
        <v>16</v>
      </c>
      <c r="AX18" t="s">
        <v>217</v>
      </c>
      <c r="AY18" s="159">
        <v>1</v>
      </c>
      <c r="AZ18" s="235">
        <v>0.22053544309550899</v>
      </c>
      <c r="BA18" s="156">
        <v>6.0933317409539202E-2</v>
      </c>
      <c r="BB18" s="156">
        <v>5.1831474255286301E-2</v>
      </c>
      <c r="BC18" s="156">
        <v>0.218907324487328</v>
      </c>
      <c r="BD18" s="156">
        <v>3.1074806756767399E-2</v>
      </c>
      <c r="BE18" s="156">
        <v>7.3245940320596503E-2</v>
      </c>
      <c r="BF18" s="156">
        <v>3.9631224059183297E-2</v>
      </c>
      <c r="BG18" s="156">
        <v>3.02240472808076E-2</v>
      </c>
      <c r="BH18" s="156">
        <v>7.5034506728825903E-2</v>
      </c>
      <c r="BI18" s="156">
        <v>8.6864514217279802E-3</v>
      </c>
      <c r="BJ18" s="156">
        <v>3.1481138706879901E-2</v>
      </c>
      <c r="BK18" s="156">
        <v>3.4256784763019799E-2</v>
      </c>
      <c r="BL18" s="156">
        <v>9.2995528112484408E-3</v>
      </c>
      <c r="BM18" s="156">
        <v>3.5269936804892599E-2</v>
      </c>
      <c r="BN18" s="156">
        <v>5.9603907521766902E-3</v>
      </c>
      <c r="BO18" s="159">
        <v>7.3627660346210905E-2</v>
      </c>
      <c r="BP18" s="416">
        <f t="shared" si="0"/>
        <v>0.99999999999999967</v>
      </c>
    </row>
    <row r="19" spans="2:68" ht="14.5">
      <c r="B19" s="158" t="s">
        <v>258</v>
      </c>
      <c r="C19">
        <v>1.0844069999999999</v>
      </c>
      <c r="D19">
        <v>4.0334000000000002E-2</v>
      </c>
      <c r="E19">
        <v>-0.1719994</v>
      </c>
      <c r="F19">
        <v>2.9648840000000001</v>
      </c>
      <c r="G19">
        <v>3.00355E-2</v>
      </c>
      <c r="H19">
        <v>0.12831799999999999</v>
      </c>
      <c r="I19">
        <v>-0.15565699999999999</v>
      </c>
      <c r="J19">
        <v>0.21532370000000001</v>
      </c>
      <c r="K19">
        <v>0.1605946</v>
      </c>
      <c r="L19">
        <v>4.6313999999999999E-3</v>
      </c>
      <c r="M19">
        <v>-2.05042E-2</v>
      </c>
      <c r="N19">
        <v>-1.6297300000000001E-2</v>
      </c>
      <c r="O19">
        <v>2.61096E-2</v>
      </c>
      <c r="P19">
        <v>-0.17750160000000001</v>
      </c>
      <c r="Q19">
        <v>-1.2622E-3</v>
      </c>
      <c r="R19" s="159">
        <v>2.0746000000000001E-2</v>
      </c>
      <c r="T19" s="305" t="s">
        <v>225</v>
      </c>
      <c r="U19" s="326">
        <v>1</v>
      </c>
      <c r="V19" s="36">
        <v>8.6999011235955014E-3</v>
      </c>
      <c r="W19" s="36">
        <v>2.6752029999999984E-3</v>
      </c>
      <c r="X19" s="36">
        <v>3.1263029999999948E-3</v>
      </c>
      <c r="Y19" s="36">
        <v>9.2200299999999503E-4</v>
      </c>
      <c r="Z19" s="36">
        <v>7.4910010989010997E-3</v>
      </c>
      <c r="AA19" s="36">
        <v>3.178000999999998E-3</v>
      </c>
      <c r="AB19" s="36">
        <v>2.7774000000000023E-3</v>
      </c>
      <c r="AC19" s="36">
        <v>1.0060999999999957E-3</v>
      </c>
      <c r="AD19" s="36">
        <v>5.0393020408163285E-3</v>
      </c>
      <c r="AE19" s="36">
        <v>5.2019700000000262E-4</v>
      </c>
      <c r="AF19" s="36">
        <v>1.5866019999999958E-3</v>
      </c>
      <c r="AG19" s="36">
        <v>0</v>
      </c>
      <c r="AH19" s="36">
        <v>6.817805050505046E-3</v>
      </c>
      <c r="AI19" s="36">
        <v>5.0830040000000094E-4</v>
      </c>
      <c r="AJ19" s="36">
        <v>2.0368040404040418E-3</v>
      </c>
      <c r="AK19" s="36">
        <v>2.9510408163265319E-4</v>
      </c>
      <c r="AL19" s="36">
        <v>1.1005978260869528E-3</v>
      </c>
      <c r="AM19" s="36">
        <v>3.062020408163266E-4</v>
      </c>
      <c r="AN19" s="36">
        <v>1.7779041666666645E-3</v>
      </c>
      <c r="AO19" s="36">
        <v>0</v>
      </c>
      <c r="AP19" s="36">
        <v>2.536022727272728E-4</v>
      </c>
      <c r="AQ19" s="36">
        <v>5.4194897959185229E-5</v>
      </c>
      <c r="AR19" s="36">
        <v>4.1889578947368409E-4</v>
      </c>
      <c r="AS19" s="36">
        <v>0</v>
      </c>
      <c r="AT19" s="36">
        <v>0</v>
      </c>
      <c r="AU19" s="36">
        <v>3.1419000000000035E-3</v>
      </c>
      <c r="AW19" s="235">
        <v>17</v>
      </c>
      <c r="AX19" t="s">
        <v>225</v>
      </c>
      <c r="AY19" s="159">
        <v>1</v>
      </c>
      <c r="AZ19" s="235">
        <v>0.232774495898907</v>
      </c>
      <c r="BA19" s="156">
        <v>4.45878665973422E-2</v>
      </c>
      <c r="BB19" s="156">
        <v>5.2001242904080099E-2</v>
      </c>
      <c r="BC19" s="156">
        <v>0.207672103838943</v>
      </c>
      <c r="BD19" s="156">
        <v>2.1374990311780799E-2</v>
      </c>
      <c r="BE19" s="156">
        <v>0.110422812719911</v>
      </c>
      <c r="BF19" s="156">
        <v>4.6343001164261703E-2</v>
      </c>
      <c r="BG19" s="156">
        <v>3.9263283154327797E-2</v>
      </c>
      <c r="BH19" s="156">
        <v>6.9124598420589906E-2</v>
      </c>
      <c r="BI19" s="156">
        <v>7.8939322873062493E-3</v>
      </c>
      <c r="BJ19" s="156">
        <v>2.7149790776911702E-2</v>
      </c>
      <c r="BK19" s="156">
        <v>3.0842863777287201E-2</v>
      </c>
      <c r="BL19" s="156">
        <v>4.32409246538189E-3</v>
      </c>
      <c r="BM19" s="156">
        <v>2.8928640015496099E-2</v>
      </c>
      <c r="BN19" s="156">
        <v>3.9898304597361101E-3</v>
      </c>
      <c r="BO19" s="159">
        <v>7.3306455207737001E-2</v>
      </c>
      <c r="BP19" s="416">
        <f t="shared" si="0"/>
        <v>0.99999999999999989</v>
      </c>
    </row>
    <row r="20" spans="2:68" ht="14.5">
      <c r="B20" s="158" t="s">
        <v>259</v>
      </c>
      <c r="C20">
        <v>-1.5325120000000001</v>
      </c>
      <c r="D20">
        <v>0.13727030000000001</v>
      </c>
      <c r="E20">
        <v>-7.8417700000000007E-2</v>
      </c>
      <c r="F20">
        <v>-0.40206789999999998</v>
      </c>
      <c r="G20">
        <v>-2.2405899999999999E-2</v>
      </c>
      <c r="H20">
        <v>-8.3721799999999999E-2</v>
      </c>
      <c r="I20">
        <v>-0.113706</v>
      </c>
      <c r="J20">
        <v>0.1018715</v>
      </c>
      <c r="K20">
        <v>-0.32633810000000002</v>
      </c>
      <c r="L20">
        <v>-2.5127900000000002E-2</v>
      </c>
      <c r="M20">
        <v>3.05245E-2</v>
      </c>
      <c r="N20">
        <v>3.2603899999999998E-2</v>
      </c>
      <c r="O20">
        <v>-1.16731E-2</v>
      </c>
      <c r="P20">
        <v>0.1231048</v>
      </c>
      <c r="Q20">
        <v>-4.7547699999999998E-2</v>
      </c>
      <c r="R20" s="159">
        <v>-0.80699540000000003</v>
      </c>
      <c r="T20" s="305" t="s">
        <v>219</v>
      </c>
      <c r="U20" s="326">
        <v>1</v>
      </c>
      <c r="V20" s="36">
        <v>2.11968011235955E-2</v>
      </c>
      <c r="W20" s="36">
        <v>6.5543029999999983E-3</v>
      </c>
      <c r="X20" s="36">
        <v>9.1904029999999946E-3</v>
      </c>
      <c r="Y20" s="36">
        <v>4.2854029999999949E-3</v>
      </c>
      <c r="Z20" s="36">
        <v>2.3276501098901097E-2</v>
      </c>
      <c r="AA20" s="36">
        <v>7.0581009999999989E-3</v>
      </c>
      <c r="AB20" s="36">
        <v>9.9714000000000018E-3</v>
      </c>
      <c r="AC20" s="36">
        <v>3.6399999999999957E-3</v>
      </c>
      <c r="AD20" s="36">
        <v>2.3839502040816328E-2</v>
      </c>
      <c r="AE20" s="36">
        <v>1.4720970000000027E-3</v>
      </c>
      <c r="AF20" s="36">
        <v>1.1979701999999995E-2</v>
      </c>
      <c r="AG20" s="36">
        <v>3.6864042105263159E-3</v>
      </c>
      <c r="AH20" s="36">
        <v>2.7774305050505044E-2</v>
      </c>
      <c r="AI20" s="36">
        <v>2.3645004000000009E-3</v>
      </c>
      <c r="AJ20" s="36">
        <v>1.3223604040404041E-2</v>
      </c>
      <c r="AK20" s="36">
        <v>9.7790408163265325E-4</v>
      </c>
      <c r="AL20" s="36">
        <v>6.8191978260869531E-3</v>
      </c>
      <c r="AM20" s="36">
        <v>1.821020408163266E-4</v>
      </c>
      <c r="AN20" s="36">
        <v>7.1055041666666643E-3</v>
      </c>
      <c r="AO20" s="36">
        <v>0</v>
      </c>
      <c r="AP20" s="36">
        <v>1.6286302272727274E-2</v>
      </c>
      <c r="AQ20" s="36">
        <v>2.9049489795918523E-4</v>
      </c>
      <c r="AR20" s="36">
        <v>1.5482495789473683E-2</v>
      </c>
      <c r="AS20" s="36">
        <v>0</v>
      </c>
      <c r="AT20" s="36">
        <v>0</v>
      </c>
      <c r="AU20" s="36">
        <v>9.2827000000000031E-3</v>
      </c>
      <c r="AW20" s="235">
        <v>18</v>
      </c>
      <c r="AX20" t="s">
        <v>219</v>
      </c>
      <c r="AY20" s="159">
        <v>1</v>
      </c>
      <c r="AZ20" s="235">
        <v>0.21925363437624301</v>
      </c>
      <c r="BA20" s="156">
        <v>8.1584690666366796E-2</v>
      </c>
      <c r="BB20" s="156">
        <v>4.2611586771637303E-2</v>
      </c>
      <c r="BC20" s="156">
        <v>0.20728862312353299</v>
      </c>
      <c r="BD20" s="156">
        <v>1.7994207956080002E-2</v>
      </c>
      <c r="BE20" s="156">
        <v>8.6904978851353398E-2</v>
      </c>
      <c r="BF20" s="156">
        <v>4.3175018298600903E-2</v>
      </c>
      <c r="BG20" s="156">
        <v>2.9709245331548E-2</v>
      </c>
      <c r="BH20" s="156">
        <v>7.7946009417120196E-2</v>
      </c>
      <c r="BI20" s="156">
        <v>1.08793067045881E-2</v>
      </c>
      <c r="BJ20" s="156">
        <v>3.0426962129964302E-2</v>
      </c>
      <c r="BK20" s="156">
        <v>4.0443566609427897E-2</v>
      </c>
      <c r="BL20" s="156">
        <v>8.0240064936304006E-3</v>
      </c>
      <c r="BM20" s="156">
        <v>2.3860821390548799E-2</v>
      </c>
      <c r="BN20" s="156">
        <v>6.54685813952092E-3</v>
      </c>
      <c r="BO20" s="159">
        <v>7.3350483739837297E-2</v>
      </c>
      <c r="BP20" s="416">
        <f t="shared" si="0"/>
        <v>1.0000000000000004</v>
      </c>
    </row>
    <row r="21" spans="2:68" ht="14.5">
      <c r="B21" s="158" t="s">
        <v>260</v>
      </c>
      <c r="C21">
        <v>0.50024369999999996</v>
      </c>
      <c r="D21">
        <v>8.7767100000000001E-2</v>
      </c>
      <c r="E21">
        <v>8.6101200000000003E-2</v>
      </c>
      <c r="F21">
        <v>2.418107</v>
      </c>
      <c r="G21">
        <v>-3.4630599999999997E-2</v>
      </c>
      <c r="H21">
        <v>-0.12038359999999999</v>
      </c>
      <c r="I21">
        <v>7.6073399999999999E-2</v>
      </c>
      <c r="J21">
        <v>2.7423099999999999E-2</v>
      </c>
      <c r="K21">
        <v>0.1254854</v>
      </c>
      <c r="L21">
        <v>1.5628099999999999E-2</v>
      </c>
      <c r="M21">
        <v>-9.2046999999999997E-3</v>
      </c>
      <c r="N21">
        <v>-2.7683800000000001E-2</v>
      </c>
      <c r="O21">
        <v>-2.7591999999999998E-3</v>
      </c>
      <c r="P21">
        <v>-0.32284000000000002</v>
      </c>
      <c r="Q21">
        <v>-0.1240832</v>
      </c>
      <c r="R21" s="159">
        <v>0.1676173</v>
      </c>
      <c r="T21" s="305" t="s">
        <v>220</v>
      </c>
      <c r="U21" s="326">
        <v>1</v>
      </c>
      <c r="V21" s="36">
        <v>6.868500112359549E-2</v>
      </c>
      <c r="W21" s="36">
        <v>8.452402999999999E-3</v>
      </c>
      <c r="X21" s="36">
        <v>3.8931502999999999E-2</v>
      </c>
      <c r="Y21" s="36">
        <v>7.2057029999999947E-3</v>
      </c>
      <c r="Z21" s="36">
        <v>0.1162339010989011</v>
      </c>
      <c r="AA21" s="36">
        <v>2.0105400999999998E-2</v>
      </c>
      <c r="AB21" s="36">
        <v>2.5566100000000005E-2</v>
      </c>
      <c r="AC21" s="36">
        <v>7.9749999999999942E-3</v>
      </c>
      <c r="AD21" s="36">
        <v>3.7260102040816326E-2</v>
      </c>
      <c r="AE21" s="36">
        <v>1.964997000000003E-3</v>
      </c>
      <c r="AF21" s="36">
        <v>2.0726601999999997E-2</v>
      </c>
      <c r="AG21" s="36">
        <v>4.8904210526315915E-5</v>
      </c>
      <c r="AH21" s="36">
        <v>4.4843805050505052E-2</v>
      </c>
      <c r="AI21" s="36">
        <v>1.5012004000000011E-3</v>
      </c>
      <c r="AJ21" s="36">
        <v>6.7204040404040414E-3</v>
      </c>
      <c r="AK21" s="36">
        <v>3.5582040816326535E-3</v>
      </c>
      <c r="AL21" s="36">
        <v>1.9562797826086956E-2</v>
      </c>
      <c r="AM21" s="36">
        <v>1.8714020408163268E-3</v>
      </c>
      <c r="AN21" s="36">
        <v>2.2520041666666646E-3</v>
      </c>
      <c r="AO21" s="36">
        <v>0</v>
      </c>
      <c r="AP21" s="36">
        <v>1.6437502272727274E-2</v>
      </c>
      <c r="AQ21" s="36">
        <v>7.0099489795918523E-4</v>
      </c>
      <c r="AR21" s="36">
        <v>2.4347957894736839E-3</v>
      </c>
      <c r="AS21" s="36">
        <v>0</v>
      </c>
      <c r="AT21" s="36">
        <v>0</v>
      </c>
      <c r="AU21" s="36">
        <v>2.9841900000000005E-2</v>
      </c>
      <c r="AW21" s="235">
        <v>19</v>
      </c>
      <c r="AX21" t="s">
        <v>220</v>
      </c>
      <c r="AY21" s="159">
        <v>1</v>
      </c>
      <c r="AZ21" s="235">
        <v>0.223181142131577</v>
      </c>
      <c r="BA21" s="156">
        <v>5.36888239309877E-2</v>
      </c>
      <c r="BB21" s="156">
        <v>4.1855719587097502E-2</v>
      </c>
      <c r="BC21" s="156">
        <v>0.22725028454339999</v>
      </c>
      <c r="BD21" s="156">
        <v>2.51767609936181E-2</v>
      </c>
      <c r="BE21" s="156">
        <v>8.1552287604611903E-2</v>
      </c>
      <c r="BF21" s="156">
        <v>4.2139700531438402E-2</v>
      </c>
      <c r="BG21" s="156">
        <v>2.6460269901038402E-2</v>
      </c>
      <c r="BH21" s="156">
        <v>8.2475002715364301E-2</v>
      </c>
      <c r="BI21" s="156">
        <v>5.3378377339709697E-3</v>
      </c>
      <c r="BJ21" s="156">
        <v>2.8462282028349599E-2</v>
      </c>
      <c r="BK21" s="156">
        <v>2.4167811950038798E-2</v>
      </c>
      <c r="BL21" s="156">
        <v>5.3280761907802798E-3</v>
      </c>
      <c r="BM21" s="156">
        <v>4.3935742672884998E-2</v>
      </c>
      <c r="BN21" s="156">
        <v>2.9667995221115601E-3</v>
      </c>
      <c r="BO21" s="159">
        <v>8.6021457962731196E-2</v>
      </c>
      <c r="BP21" s="416">
        <f t="shared" si="0"/>
        <v>1.0000000000000009</v>
      </c>
    </row>
    <row r="22" spans="2:68" ht="14.5">
      <c r="B22" s="160" t="s">
        <v>261</v>
      </c>
      <c r="C22" s="237">
        <v>1.518642</v>
      </c>
      <c r="D22" s="237">
        <v>-2.6136699999999999E-2</v>
      </c>
      <c r="E22" s="237">
        <v>0.14631759999999999</v>
      </c>
      <c r="F22" s="237">
        <v>-0.76491799999999999</v>
      </c>
      <c r="G22" s="237">
        <v>2.34322E-2</v>
      </c>
      <c r="H22" s="237">
        <v>-4.5593999999999999E-3</v>
      </c>
      <c r="I22" s="237">
        <v>0.19800470000000001</v>
      </c>
      <c r="J22" s="237">
        <v>4.1906899999999997E-2</v>
      </c>
      <c r="K22" s="237">
        <v>0.24372350000000001</v>
      </c>
      <c r="L22" s="237">
        <v>-2.2566999999999999E-3</v>
      </c>
      <c r="M22" s="237">
        <v>5.2332200000000002E-2</v>
      </c>
      <c r="N22" s="237">
        <v>0.10884779999999999</v>
      </c>
      <c r="O22" s="237">
        <v>-2.7190999999999999E-3</v>
      </c>
      <c r="P22" s="237">
        <v>-5.6862799999999998E-2</v>
      </c>
      <c r="Q22" s="237">
        <v>-0.1098398</v>
      </c>
      <c r="R22" s="161">
        <v>-0.18232100000000001</v>
      </c>
      <c r="T22" s="307" t="s">
        <v>221</v>
      </c>
      <c r="U22" s="327">
        <v>1</v>
      </c>
      <c r="V22" s="36">
        <v>2.3925901123595501E-2</v>
      </c>
      <c r="W22" s="36">
        <v>7.6729029999999983E-3</v>
      </c>
      <c r="X22" s="36">
        <v>1.1048402999999995E-2</v>
      </c>
      <c r="Y22" s="36">
        <v>5.1174029999999952E-3</v>
      </c>
      <c r="Z22" s="36">
        <v>3.8612701098901102E-2</v>
      </c>
      <c r="AA22" s="36">
        <v>7.2756009999999987E-3</v>
      </c>
      <c r="AB22" s="36">
        <v>7.9357000000000021E-3</v>
      </c>
      <c r="AC22" s="36">
        <v>5.3696999999999955E-3</v>
      </c>
      <c r="AD22" s="36">
        <v>1.3883002040816328E-2</v>
      </c>
      <c r="AE22" s="36">
        <v>7.486970000000027E-4</v>
      </c>
      <c r="AF22" s="36">
        <v>4.7704019999999956E-3</v>
      </c>
      <c r="AG22" s="36">
        <v>6.6440421052631595E-4</v>
      </c>
      <c r="AH22" s="36">
        <v>6.5978050505050463E-3</v>
      </c>
      <c r="AI22" s="36">
        <v>1.3202004000000011E-3</v>
      </c>
      <c r="AJ22" s="36">
        <v>3.6967040404040415E-3</v>
      </c>
      <c r="AK22" s="36">
        <v>9.7720408163265307E-4</v>
      </c>
      <c r="AL22" s="36">
        <v>3.7812978260869531E-3</v>
      </c>
      <c r="AM22" s="36">
        <v>0</v>
      </c>
      <c r="AN22" s="36">
        <v>2.6414041666666644E-3</v>
      </c>
      <c r="AO22" s="36">
        <v>0</v>
      </c>
      <c r="AP22" s="36">
        <v>2.0731022727272729E-3</v>
      </c>
      <c r="AQ22" s="36">
        <v>4.6194897959185224E-5</v>
      </c>
      <c r="AR22" s="36">
        <v>2.9707957894736839E-3</v>
      </c>
      <c r="AS22" s="36">
        <v>0</v>
      </c>
      <c r="AT22" s="36">
        <v>0</v>
      </c>
      <c r="AU22" s="36">
        <v>6.2673000000000034E-3</v>
      </c>
      <c r="AW22" s="236">
        <v>20</v>
      </c>
      <c r="AX22" s="237" t="s">
        <v>221</v>
      </c>
      <c r="AY22" s="161">
        <v>1</v>
      </c>
      <c r="AZ22" s="236">
        <v>0.20608898393441399</v>
      </c>
      <c r="BA22" s="237">
        <v>4.70685993416027E-2</v>
      </c>
      <c r="BB22" s="237">
        <v>3.6769483244267501E-2</v>
      </c>
      <c r="BC22" s="237">
        <v>0.23899814598302099</v>
      </c>
      <c r="BD22" s="237">
        <v>2.4703510862918901E-2</v>
      </c>
      <c r="BE22" s="237">
        <v>7.2130388374170698E-2</v>
      </c>
      <c r="BF22" s="237">
        <v>4.3464552592793401E-2</v>
      </c>
      <c r="BG22" s="237">
        <v>3.0349414112186099E-2</v>
      </c>
      <c r="BH22" s="237">
        <v>7.60500122591065E-2</v>
      </c>
      <c r="BI22" s="237">
        <v>1.08107855033706E-2</v>
      </c>
      <c r="BJ22" s="237">
        <v>3.3206674807481899E-2</v>
      </c>
      <c r="BK22" s="237">
        <v>3.6709470682188598E-2</v>
      </c>
      <c r="BL22" s="237">
        <v>4.1139318250591602E-3</v>
      </c>
      <c r="BM22" s="237">
        <v>4.4132180545715903E-2</v>
      </c>
      <c r="BN22" s="237">
        <v>1.0406298765227901E-3</v>
      </c>
      <c r="BO22" s="161">
        <v>9.4363236055180599E-2</v>
      </c>
      <c r="BP22" s="416">
        <f t="shared" si="0"/>
        <v>1</v>
      </c>
    </row>
    <row r="23" spans="2:68" ht="14.5">
      <c r="B23" s="238" t="s">
        <v>262</v>
      </c>
      <c r="C23" s="42">
        <v>-2.110306</v>
      </c>
      <c r="D23" s="42">
        <v>-3.01464E-2</v>
      </c>
      <c r="E23" s="42">
        <v>8.072E-2</v>
      </c>
      <c r="F23" s="42">
        <v>-2.6498050000000002</v>
      </c>
      <c r="G23" s="42">
        <v>-5.5105000000000001E-2</v>
      </c>
      <c r="H23" s="42">
        <v>4.0956699999999999E-2</v>
      </c>
      <c r="I23" s="42">
        <v>0.4558239</v>
      </c>
      <c r="J23" s="42">
        <v>8.8847499999999996E-2</v>
      </c>
      <c r="K23" s="42">
        <v>-5.0045999999999997E-3</v>
      </c>
      <c r="L23" s="42">
        <v>1.12097E-2</v>
      </c>
      <c r="M23" s="42">
        <v>-6.7319999999999999E-4</v>
      </c>
      <c r="N23" s="42">
        <v>-6.3180100000000003E-2</v>
      </c>
      <c r="O23" s="42">
        <v>-2.5238000000000001E-3</v>
      </c>
      <c r="P23" s="42">
        <v>0.10925269999999999</v>
      </c>
      <c r="Q23">
        <v>-0.12722890000000001</v>
      </c>
      <c r="R23" s="159">
        <v>3.5073999999999999E-3</v>
      </c>
      <c r="T23" s="305" t="s">
        <v>204</v>
      </c>
      <c r="U23" s="326">
        <v>2</v>
      </c>
      <c r="V23" s="36">
        <v>1.4151601123595502E-2</v>
      </c>
      <c r="W23" s="36">
        <v>2.2631103E-2</v>
      </c>
      <c r="X23" s="36">
        <v>1.6133902999999995E-2</v>
      </c>
      <c r="Y23" s="36">
        <v>2.0648502999999995E-2</v>
      </c>
      <c r="Z23" s="36">
        <v>5.9978010989010996E-3</v>
      </c>
      <c r="AA23" s="36">
        <v>1.5500600999999998E-2</v>
      </c>
      <c r="AB23" s="36">
        <v>1.5088900000000002E-2</v>
      </c>
      <c r="AC23" s="36">
        <v>2.3189399999999995E-2</v>
      </c>
      <c r="AD23" s="36">
        <v>9.1892020408163282E-3</v>
      </c>
      <c r="AE23" s="36">
        <v>1.3008497000000003E-2</v>
      </c>
      <c r="AF23" s="36">
        <v>1.3603001999999996E-2</v>
      </c>
      <c r="AG23" s="36">
        <v>8.2912042105263168E-3</v>
      </c>
      <c r="AH23" s="36">
        <v>1.5263205050505047E-2</v>
      </c>
      <c r="AI23" s="36">
        <v>1.20599004E-2</v>
      </c>
      <c r="AJ23" s="36">
        <v>1.0542504040404041E-2</v>
      </c>
      <c r="AK23" s="36">
        <v>1.1753004081632653E-2</v>
      </c>
      <c r="AL23" s="36">
        <v>5.6092978260869533E-3</v>
      </c>
      <c r="AM23" s="36">
        <v>2.8482020408163266E-3</v>
      </c>
      <c r="AN23" s="36">
        <v>7.6640041666666643E-3</v>
      </c>
      <c r="AO23" s="36">
        <v>2.0621962025316465E-3</v>
      </c>
      <c r="AP23" s="36">
        <v>4.7544022727272726E-3</v>
      </c>
      <c r="AQ23" s="36">
        <v>5.9520948979591851E-3</v>
      </c>
      <c r="AR23" s="36">
        <v>3.4395957894736841E-3</v>
      </c>
      <c r="AS23" s="36">
        <v>9.0449756097561111E-4</v>
      </c>
      <c r="AT23" s="36">
        <v>0</v>
      </c>
      <c r="AU23" s="36">
        <v>1.2665000000000003E-2</v>
      </c>
      <c r="AW23" s="235">
        <v>1</v>
      </c>
      <c r="AX23" t="s">
        <v>204</v>
      </c>
      <c r="AY23" s="159">
        <v>2</v>
      </c>
      <c r="AZ23" s="233">
        <v>0.17599972176047299</v>
      </c>
      <c r="BA23" s="42">
        <v>4.3701796570085299E-2</v>
      </c>
      <c r="BB23" s="42">
        <v>5.2529990250157997E-2</v>
      </c>
      <c r="BC23" s="42">
        <v>0.17700102962657199</v>
      </c>
      <c r="BD23" s="42">
        <v>3.0766912633653099E-2</v>
      </c>
      <c r="BE23" s="42">
        <v>4.7618360182843801E-2</v>
      </c>
      <c r="BF23" s="42">
        <v>5.6474086675471401E-2</v>
      </c>
      <c r="BG23" s="42">
        <v>3.16786185634143E-2</v>
      </c>
      <c r="BH23" s="42">
        <v>9.9800738876777997E-2</v>
      </c>
      <c r="BI23" s="42">
        <v>1.7335483924008299E-2</v>
      </c>
      <c r="BJ23" s="42">
        <v>3.7148692705500398E-2</v>
      </c>
      <c r="BK23" s="42">
        <v>6.2761328580572207E-2</v>
      </c>
      <c r="BL23" s="42">
        <v>8.8126450193613398E-3</v>
      </c>
      <c r="BM23" s="42">
        <v>6.0828767218124601E-2</v>
      </c>
      <c r="BN23" s="42">
        <v>1.6464248887191502E-2</v>
      </c>
      <c r="BO23" s="234">
        <v>8.1077578525792199E-2</v>
      </c>
      <c r="BP23" s="416">
        <f t="shared" si="0"/>
        <v>0.99999999999999911</v>
      </c>
    </row>
    <row r="24" spans="2:68" ht="14.5">
      <c r="B24" s="158" t="s">
        <v>263</v>
      </c>
      <c r="C24">
        <v>-0.94332499999999997</v>
      </c>
      <c r="D24">
        <v>7.9192600000000002E-2</v>
      </c>
      <c r="E24">
        <v>6.8970600000000007E-2</v>
      </c>
      <c r="F24">
        <v>0.15411739999999999</v>
      </c>
      <c r="G24">
        <v>-9.9510999999999992E-3</v>
      </c>
      <c r="H24">
        <v>1.26918E-2</v>
      </c>
      <c r="I24">
        <v>1.10372E-2</v>
      </c>
      <c r="J24">
        <v>-3.6460000000000003E-4</v>
      </c>
      <c r="K24">
        <v>0.1503005</v>
      </c>
      <c r="L24">
        <v>-2.3727700000000001E-2</v>
      </c>
      <c r="M24">
        <v>-1.09195E-2</v>
      </c>
      <c r="N24">
        <v>4.1926000000000003E-3</v>
      </c>
      <c r="O24">
        <v>3.2398099999999999E-2</v>
      </c>
      <c r="P24">
        <v>0.18123739999999999</v>
      </c>
      <c r="Q24">
        <v>-0.168741</v>
      </c>
      <c r="R24" s="159">
        <v>-0.21980379999999999</v>
      </c>
      <c r="T24" s="305" t="s">
        <v>223</v>
      </c>
      <c r="U24" s="326">
        <v>2</v>
      </c>
      <c r="V24" s="36">
        <v>0</v>
      </c>
      <c r="W24" s="36">
        <v>5.790029999999984E-4</v>
      </c>
      <c r="X24" s="36">
        <v>5.8200299999999511E-4</v>
      </c>
      <c r="Y24" s="36">
        <v>3.6040299999999509E-4</v>
      </c>
      <c r="Z24" s="36">
        <v>1.5100109890109955E-4</v>
      </c>
      <c r="AA24" s="36">
        <v>1.0211009999999984E-3</v>
      </c>
      <c r="AB24" s="36">
        <v>1.0000000000000227E-4</v>
      </c>
      <c r="AC24" s="36">
        <v>6.9929999999999558E-4</v>
      </c>
      <c r="AD24" s="36">
        <v>6.0802040816328858E-5</v>
      </c>
      <c r="AE24" s="36">
        <v>2.6539700000000266E-4</v>
      </c>
      <c r="AF24" s="36">
        <v>5.9930199999999557E-4</v>
      </c>
      <c r="AG24" s="36">
        <v>4.2010421052631592E-4</v>
      </c>
      <c r="AH24" s="36">
        <v>1.6280505050504673E-4</v>
      </c>
      <c r="AI24" s="36">
        <v>7.1604000000008996E-6</v>
      </c>
      <c r="AJ24" s="36">
        <v>1.4530404040404165E-4</v>
      </c>
      <c r="AK24" s="36">
        <v>3.2640408163265319E-4</v>
      </c>
      <c r="AL24" s="36">
        <v>0</v>
      </c>
      <c r="AM24" s="36">
        <v>0</v>
      </c>
      <c r="AN24" s="36">
        <v>0</v>
      </c>
      <c r="AO24" s="36">
        <v>0</v>
      </c>
      <c r="AP24" s="36">
        <v>0</v>
      </c>
      <c r="AQ24" s="36">
        <v>8.6294897959185223E-5</v>
      </c>
      <c r="AR24" s="36">
        <v>0</v>
      </c>
      <c r="AS24" s="36">
        <v>0</v>
      </c>
      <c r="AT24" s="36">
        <v>0</v>
      </c>
      <c r="AU24" s="36">
        <v>3.545000000000033E-4</v>
      </c>
      <c r="AW24" s="235">
        <v>2</v>
      </c>
      <c r="AX24" t="s">
        <v>223</v>
      </c>
      <c r="AY24" s="159">
        <v>2</v>
      </c>
      <c r="AZ24" s="235">
        <v>0.120486446730832</v>
      </c>
      <c r="BA24" s="156">
        <v>2.5915276411401102E-2</v>
      </c>
      <c r="BB24" s="156">
        <v>3.1961088732604802E-2</v>
      </c>
      <c r="BC24" s="156">
        <v>0.21590103793106399</v>
      </c>
      <c r="BD24" s="156">
        <v>3.4147025898938102E-2</v>
      </c>
      <c r="BE24" s="156">
        <v>5.2104724784918302E-2</v>
      </c>
      <c r="BF24" s="156">
        <v>6.0146174530233999E-2</v>
      </c>
      <c r="BG24" s="156">
        <v>4.4392446080921001E-2</v>
      </c>
      <c r="BH24" s="156">
        <v>9.9201086729993698E-2</v>
      </c>
      <c r="BI24" s="156">
        <v>1.21689553210354E-2</v>
      </c>
      <c r="BJ24" s="156">
        <v>2.9760383872088399E-2</v>
      </c>
      <c r="BK24" s="156">
        <v>4.9601443590743498E-2</v>
      </c>
      <c r="BL24" s="156">
        <v>5.34348948317392E-3</v>
      </c>
      <c r="BM24" s="156">
        <v>0.114884390854227</v>
      </c>
      <c r="BN24" s="156">
        <v>1.8956783476447699E-2</v>
      </c>
      <c r="BO24" s="159">
        <v>8.5029245571377601E-2</v>
      </c>
      <c r="BP24" s="416">
        <f t="shared" si="0"/>
        <v>1.0000000000000002</v>
      </c>
    </row>
    <row r="25" spans="2:68" ht="14.5">
      <c r="B25" s="158" t="s">
        <v>264</v>
      </c>
      <c r="C25">
        <v>-0.5088956</v>
      </c>
      <c r="D25">
        <v>4.06662E-2</v>
      </c>
      <c r="E25">
        <v>0.21796090000000001</v>
      </c>
      <c r="F25">
        <v>-5.666963</v>
      </c>
      <c r="G25">
        <v>-9.1664999999999993E-3</v>
      </c>
      <c r="H25">
        <v>7.7005799999999999E-2</v>
      </c>
      <c r="I25">
        <v>0.37227650000000001</v>
      </c>
      <c r="J25">
        <v>0.1239581</v>
      </c>
      <c r="K25">
        <v>-0.1714745</v>
      </c>
      <c r="L25">
        <v>-4.0353E-2</v>
      </c>
      <c r="M25">
        <v>4.2364999999999998E-3</v>
      </c>
      <c r="N25">
        <v>0.2527702</v>
      </c>
      <c r="O25">
        <v>-8.9328400000000002E-2</v>
      </c>
      <c r="P25">
        <v>0.1801239</v>
      </c>
      <c r="Q25">
        <v>9.3343700000000002E-2</v>
      </c>
      <c r="R25" s="159">
        <v>0.22788439999999999</v>
      </c>
      <c r="T25" s="305" t="s">
        <v>205</v>
      </c>
      <c r="U25" s="326">
        <v>2</v>
      </c>
      <c r="V25" s="36">
        <v>1.2548801123595502E-2</v>
      </c>
      <c r="W25" s="36">
        <v>3.9265102999999996E-2</v>
      </c>
      <c r="X25" s="36">
        <v>2.9211302999999994E-2</v>
      </c>
      <c r="Y25" s="36">
        <v>4.4030702999999997E-2</v>
      </c>
      <c r="Z25" s="36">
        <v>1.1348601098901101E-2</v>
      </c>
      <c r="AA25" s="36">
        <v>3.3955801000000001E-2</v>
      </c>
      <c r="AB25" s="36">
        <v>3.7086300000000003E-2</v>
      </c>
      <c r="AC25" s="36">
        <v>4.4417599999999995E-2</v>
      </c>
      <c r="AD25" s="36">
        <v>2.1967002040816329E-2</v>
      </c>
      <c r="AE25" s="36">
        <v>3.7184597E-2</v>
      </c>
      <c r="AF25" s="36">
        <v>3.3211402000000001E-2</v>
      </c>
      <c r="AG25" s="36">
        <v>2.0363004210526316E-2</v>
      </c>
      <c r="AH25" s="36">
        <v>1.9200605050505047E-2</v>
      </c>
      <c r="AI25" s="36">
        <v>3.2532400400000001E-2</v>
      </c>
      <c r="AJ25" s="36">
        <v>2.5545704040404044E-2</v>
      </c>
      <c r="AK25" s="36">
        <v>2.4808304081632652E-2</v>
      </c>
      <c r="AL25" s="36">
        <v>2.3650497826086955E-2</v>
      </c>
      <c r="AM25" s="36">
        <v>1.5690702040816323E-2</v>
      </c>
      <c r="AN25" s="36">
        <v>2.5266904166666663E-2</v>
      </c>
      <c r="AO25" s="36">
        <v>7.8880962025316467E-3</v>
      </c>
      <c r="AP25" s="36">
        <v>2.9478002272727274E-2</v>
      </c>
      <c r="AQ25" s="36">
        <v>1.7895694897959186E-2</v>
      </c>
      <c r="AR25" s="36">
        <v>2.3192595789473684E-2</v>
      </c>
      <c r="AS25" s="36">
        <v>1.0386097560975612E-2</v>
      </c>
      <c r="AT25" s="36">
        <v>0</v>
      </c>
      <c r="AU25" s="36">
        <v>3.5243099999999999E-2</v>
      </c>
      <c r="AW25" s="235">
        <v>3</v>
      </c>
      <c r="AX25" t="s">
        <v>205</v>
      </c>
      <c r="AY25" s="159">
        <v>2</v>
      </c>
      <c r="AZ25" s="235">
        <v>0.16859190384287701</v>
      </c>
      <c r="BA25" s="156">
        <v>4.5425115509514398E-2</v>
      </c>
      <c r="BB25" s="156">
        <v>5.3496133571234401E-2</v>
      </c>
      <c r="BC25" s="156">
        <v>0.20477089576777399</v>
      </c>
      <c r="BD25" s="156">
        <v>2.3194023001175901E-2</v>
      </c>
      <c r="BE25" s="156">
        <v>5.2399462965082799E-2</v>
      </c>
      <c r="BF25" s="156">
        <v>4.6620418917509301E-2</v>
      </c>
      <c r="BG25" s="156">
        <v>2.9069796253238099E-2</v>
      </c>
      <c r="BH25" s="156">
        <v>8.2295163880494196E-2</v>
      </c>
      <c r="BI25" s="156">
        <v>1.4428965078584601E-2</v>
      </c>
      <c r="BJ25" s="156">
        <v>3.86230074941495E-2</v>
      </c>
      <c r="BK25" s="156">
        <v>6.1828746473789102E-2</v>
      </c>
      <c r="BL25" s="156">
        <v>1.02363284469383E-2</v>
      </c>
      <c r="BM25" s="156">
        <v>7.3677364745407398E-2</v>
      </c>
      <c r="BN25" s="156">
        <v>1.0936477568381901E-2</v>
      </c>
      <c r="BO25" s="159">
        <v>8.4406196483849602E-2</v>
      </c>
      <c r="BP25" s="416">
        <f t="shared" si="0"/>
        <v>1.0000000000000007</v>
      </c>
    </row>
    <row r="26" spans="2:68" ht="14.5">
      <c r="B26" s="158" t="s">
        <v>265</v>
      </c>
      <c r="C26">
        <v>1.1297429999999999</v>
      </c>
      <c r="D26">
        <v>4.7517999999999996E-3</v>
      </c>
      <c r="E26">
        <v>0.16387199999999999</v>
      </c>
      <c r="F26">
        <v>0.15948580000000001</v>
      </c>
      <c r="G26">
        <v>-0.22434789999999999</v>
      </c>
      <c r="H26">
        <v>9.5506099999999997E-2</v>
      </c>
      <c r="I26">
        <v>-0.385988</v>
      </c>
      <c r="J26">
        <v>-9.4233200000000003E-2</v>
      </c>
      <c r="K26">
        <v>0.11465110000000001</v>
      </c>
      <c r="L26">
        <v>-1.19115E-2</v>
      </c>
      <c r="M26">
        <v>1.4710000000000001E-3</v>
      </c>
      <c r="N26">
        <v>3.6962599999999998E-2</v>
      </c>
      <c r="O26">
        <v>-1.50992E-2</v>
      </c>
      <c r="P26">
        <v>0.30852790000000002</v>
      </c>
      <c r="Q26">
        <v>-1.6518399999999999E-2</v>
      </c>
      <c r="R26" s="159">
        <v>-0.35408390000000001</v>
      </c>
      <c r="T26" s="305" t="s">
        <v>206</v>
      </c>
      <c r="U26" s="326">
        <v>2</v>
      </c>
      <c r="V26" s="36">
        <v>5.3400112359550122E-4</v>
      </c>
      <c r="W26" s="36">
        <v>5.1263029999999987E-3</v>
      </c>
      <c r="X26" s="36">
        <v>2.7494029999999949E-3</v>
      </c>
      <c r="Y26" s="36">
        <v>3.230402999999995E-3</v>
      </c>
      <c r="Z26" s="36">
        <v>6.5590109890109952E-4</v>
      </c>
      <c r="AA26" s="36">
        <v>4.0301009999999986E-3</v>
      </c>
      <c r="AB26" s="36">
        <v>5.7953000000000024E-3</v>
      </c>
      <c r="AC26" s="36">
        <v>3.1911999999999956E-3</v>
      </c>
      <c r="AD26" s="36">
        <v>1.5896020408163289E-3</v>
      </c>
      <c r="AE26" s="36">
        <v>4.1154970000000027E-3</v>
      </c>
      <c r="AF26" s="36">
        <v>4.2794019999999955E-3</v>
      </c>
      <c r="AG26" s="36">
        <v>1.8769042105263158E-3</v>
      </c>
      <c r="AH26" s="36">
        <v>3.0170505050504674E-4</v>
      </c>
      <c r="AI26" s="36">
        <v>4.623800400000001E-3</v>
      </c>
      <c r="AJ26" s="36">
        <v>4.6368040404040417E-3</v>
      </c>
      <c r="AK26" s="36">
        <v>2.8304040816326532E-3</v>
      </c>
      <c r="AL26" s="36">
        <v>0</v>
      </c>
      <c r="AM26" s="36">
        <v>2.3102020408163268E-3</v>
      </c>
      <c r="AN26" s="36">
        <v>4.2378041666666644E-3</v>
      </c>
      <c r="AO26" s="36">
        <v>2.3369620253164616E-4</v>
      </c>
      <c r="AP26" s="36">
        <v>0</v>
      </c>
      <c r="AQ26" s="36">
        <v>9.6819489795918522E-4</v>
      </c>
      <c r="AR26" s="36">
        <v>4.8292957894736843E-3</v>
      </c>
      <c r="AS26" s="36">
        <v>6.9299756097561112E-4</v>
      </c>
      <c r="AT26" s="36">
        <v>0</v>
      </c>
      <c r="AU26" s="36">
        <v>5.4307000000000036E-3</v>
      </c>
      <c r="AW26" s="235">
        <v>4</v>
      </c>
      <c r="AX26" t="s">
        <v>206</v>
      </c>
      <c r="AY26" s="159">
        <v>2</v>
      </c>
      <c r="AZ26" s="235">
        <v>0.112729360868619</v>
      </c>
      <c r="BA26" s="156">
        <v>3.4424499392133101E-2</v>
      </c>
      <c r="BB26" s="156">
        <v>4.8089894979642001E-2</v>
      </c>
      <c r="BC26" s="156">
        <v>0.187355759234377</v>
      </c>
      <c r="BD26" s="156">
        <v>1.9401295363088E-2</v>
      </c>
      <c r="BE26" s="156">
        <v>3.7974750944314899E-2</v>
      </c>
      <c r="BF26" s="156">
        <v>5.5378765494579797E-2</v>
      </c>
      <c r="BG26" s="156">
        <v>2.3838689413250999E-2</v>
      </c>
      <c r="BH26" s="156">
        <v>7.8322572141602403E-2</v>
      </c>
      <c r="BI26" s="156">
        <v>1.2909158123328501E-2</v>
      </c>
      <c r="BJ26" s="156">
        <v>2.7482839865406901E-2</v>
      </c>
      <c r="BK26" s="156">
        <v>5.6146245853931201E-2</v>
      </c>
      <c r="BL26" s="156">
        <v>9.6400946586774599E-3</v>
      </c>
      <c r="BM26" s="156">
        <v>0.224989277129335</v>
      </c>
      <c r="BN26" s="156">
        <v>4.6495960381130299E-3</v>
      </c>
      <c r="BO26" s="159">
        <v>6.6667200499601398E-2</v>
      </c>
      <c r="BP26" s="416">
        <f t="shared" si="0"/>
        <v>1.0000000000000009</v>
      </c>
    </row>
    <row r="27" spans="2:68" ht="14.5">
      <c r="B27" s="158" t="s">
        <v>266</v>
      </c>
      <c r="C27">
        <v>0.3702645</v>
      </c>
      <c r="D27">
        <v>1.2769000000000001E-3</v>
      </c>
      <c r="E27">
        <v>0.13131799999999999</v>
      </c>
      <c r="F27">
        <v>-0.19074969999999999</v>
      </c>
      <c r="G27">
        <v>-6.2162200000000001E-2</v>
      </c>
      <c r="H27">
        <v>2.7348899999999999E-2</v>
      </c>
      <c r="I27">
        <v>-0.1509383</v>
      </c>
      <c r="J27">
        <v>-0.1048738</v>
      </c>
      <c r="K27">
        <v>-3.1725400000000001E-2</v>
      </c>
      <c r="L27">
        <v>7.4164000000000001E-3</v>
      </c>
      <c r="M27">
        <v>-1.98791E-2</v>
      </c>
      <c r="N27">
        <v>-0.12184589999999999</v>
      </c>
      <c r="O27">
        <v>-6.6522999999999999E-3</v>
      </c>
      <c r="P27">
        <v>0.2184199</v>
      </c>
      <c r="Q27">
        <v>-0.14666390000000001</v>
      </c>
      <c r="R27" s="159">
        <v>0.1880291</v>
      </c>
      <c r="T27" s="305" t="s">
        <v>207</v>
      </c>
      <c r="U27" s="326">
        <v>2</v>
      </c>
      <c r="V27" s="36">
        <v>1.6908001123595501E-2</v>
      </c>
      <c r="W27" s="36">
        <v>2.4371802999999997E-2</v>
      </c>
      <c r="X27" s="36">
        <v>2.0366802999999996E-2</v>
      </c>
      <c r="Y27" s="36">
        <v>1.7147602999999994E-2</v>
      </c>
      <c r="Z27" s="36">
        <v>3.7641010989010993E-3</v>
      </c>
      <c r="AA27" s="36">
        <v>2.6124201E-2</v>
      </c>
      <c r="AB27" s="36">
        <v>2.1045900000000003E-2</v>
      </c>
      <c r="AC27" s="36">
        <v>2.0297399999999997E-2</v>
      </c>
      <c r="AD27" s="36">
        <v>4.9436020408163287E-3</v>
      </c>
      <c r="AE27" s="36">
        <v>1.2103597000000004E-2</v>
      </c>
      <c r="AF27" s="36">
        <v>1.3011001999999995E-2</v>
      </c>
      <c r="AG27" s="36">
        <v>2.036904210526316E-3</v>
      </c>
      <c r="AH27" s="36">
        <v>5.8652050505050464E-3</v>
      </c>
      <c r="AI27" s="36">
        <v>1.5886300400000001E-2</v>
      </c>
      <c r="AJ27" s="36">
        <v>1.8348104040404042E-2</v>
      </c>
      <c r="AK27" s="36">
        <v>8.8952040816326541E-3</v>
      </c>
      <c r="AL27" s="36">
        <v>1.6505897826086954E-2</v>
      </c>
      <c r="AM27" s="36">
        <v>5.5239020408163267E-3</v>
      </c>
      <c r="AN27" s="36">
        <v>1.4859104166666665E-2</v>
      </c>
      <c r="AO27" s="36">
        <v>0</v>
      </c>
      <c r="AP27" s="36">
        <v>3.9032022727272728E-3</v>
      </c>
      <c r="AQ27" s="36">
        <v>4.2510948979591848E-3</v>
      </c>
      <c r="AR27" s="36">
        <v>1.0364395789473683E-2</v>
      </c>
      <c r="AS27" s="36">
        <v>5.3922975609756113E-3</v>
      </c>
      <c r="AT27" s="36">
        <v>0</v>
      </c>
      <c r="AU27" s="36">
        <v>1.8797600000000005E-2</v>
      </c>
      <c r="AW27" s="235">
        <v>5</v>
      </c>
      <c r="AX27" t="s">
        <v>207</v>
      </c>
      <c r="AY27" s="159">
        <v>2</v>
      </c>
      <c r="AZ27" s="235">
        <v>0.156466859659778</v>
      </c>
      <c r="BA27" s="156">
        <v>3.8624846667816903E-2</v>
      </c>
      <c r="BB27" s="156">
        <v>5.4630259212322299E-2</v>
      </c>
      <c r="BC27" s="156">
        <v>0.18954216913154301</v>
      </c>
      <c r="BD27" s="156">
        <v>1.4480523584995899E-2</v>
      </c>
      <c r="BE27" s="156">
        <v>5.5538411271330898E-2</v>
      </c>
      <c r="BF27" s="156">
        <v>4.8527267521637101E-2</v>
      </c>
      <c r="BG27" s="156">
        <v>3.86474002218027E-2</v>
      </c>
      <c r="BH27" s="156">
        <v>8.30140699137253E-2</v>
      </c>
      <c r="BI27" s="156">
        <v>1.23744016704752E-2</v>
      </c>
      <c r="BJ27" s="156">
        <v>3.3622198610355897E-2</v>
      </c>
      <c r="BK27" s="156">
        <v>6.2999426351131094E-2</v>
      </c>
      <c r="BL27" s="156">
        <v>1.4740292358942E-2</v>
      </c>
      <c r="BM27" s="156">
        <v>9.5440343457781296E-2</v>
      </c>
      <c r="BN27" s="156">
        <v>6.0098988897558901E-3</v>
      </c>
      <c r="BO27" s="159">
        <v>9.5341631476606403E-2</v>
      </c>
      <c r="BP27" s="416">
        <f t="shared" si="0"/>
        <v>0.99999999999999978</v>
      </c>
    </row>
    <row r="28" spans="2:68" ht="14.5">
      <c r="B28" s="158" t="s">
        <v>267</v>
      </c>
      <c r="C28">
        <v>-0.1082162</v>
      </c>
      <c r="D28">
        <v>-3.4549099999999999E-2</v>
      </c>
      <c r="E28">
        <v>0.16222039999999999</v>
      </c>
      <c r="F28">
        <v>9.4126399999999999E-2</v>
      </c>
      <c r="G28">
        <v>-2.25624E-2</v>
      </c>
      <c r="H28">
        <v>1.95117E-2</v>
      </c>
      <c r="I28">
        <v>-0.26378220000000002</v>
      </c>
      <c r="J28">
        <v>1.42162E-2</v>
      </c>
      <c r="K28">
        <v>-1.1321100000000001E-2</v>
      </c>
      <c r="L28">
        <v>9.5578E-3</v>
      </c>
      <c r="M28">
        <v>-9.1497999999999996E-3</v>
      </c>
      <c r="N28">
        <v>8.4463999999999997E-3</v>
      </c>
      <c r="O28">
        <v>4.1458700000000001E-2</v>
      </c>
      <c r="P28">
        <v>0.4080452</v>
      </c>
      <c r="Q28">
        <v>-0.26813540000000002</v>
      </c>
      <c r="R28" s="159">
        <v>-9.1241600000000006E-2</v>
      </c>
      <c r="T28" s="305" t="s">
        <v>208</v>
      </c>
      <c r="U28" s="326">
        <v>2</v>
      </c>
      <c r="V28" s="36">
        <v>2.1216011235955013E-3</v>
      </c>
      <c r="W28" s="36">
        <v>4.2320029999999981E-3</v>
      </c>
      <c r="X28" s="36">
        <v>4.222302999999995E-3</v>
      </c>
      <c r="Y28" s="36">
        <v>6.0859029999999949E-3</v>
      </c>
      <c r="Z28" s="36">
        <v>1.9089010989010995E-3</v>
      </c>
      <c r="AA28" s="36">
        <v>3.730000999999998E-3</v>
      </c>
      <c r="AB28" s="36">
        <v>2.0709000000000023E-3</v>
      </c>
      <c r="AC28" s="36">
        <v>5.6529999999999957E-3</v>
      </c>
      <c r="AD28" s="36">
        <v>3.8466020408163288E-3</v>
      </c>
      <c r="AE28" s="36">
        <v>4.6748970000000025E-3</v>
      </c>
      <c r="AF28" s="36">
        <v>4.2683019999999955E-3</v>
      </c>
      <c r="AG28" s="36">
        <v>2.020104210526316E-3</v>
      </c>
      <c r="AH28" s="36">
        <v>4.9778050505050464E-3</v>
      </c>
      <c r="AI28" s="36">
        <v>4.264800400000001E-3</v>
      </c>
      <c r="AJ28" s="36">
        <v>2.4086040404040416E-3</v>
      </c>
      <c r="AK28" s="36">
        <v>2.9479040816326532E-3</v>
      </c>
      <c r="AL28" s="36">
        <v>1.1310697826086952E-2</v>
      </c>
      <c r="AM28" s="36">
        <v>2.4244020408163269E-3</v>
      </c>
      <c r="AN28" s="36">
        <v>1.2899041666666645E-3</v>
      </c>
      <c r="AO28" s="36">
        <v>2.1182962025316464E-3</v>
      </c>
      <c r="AP28" s="36">
        <v>1.7556022727272728E-3</v>
      </c>
      <c r="AQ28" s="36">
        <v>4.0404948979591848E-3</v>
      </c>
      <c r="AR28" s="36">
        <v>7.1734957894736846E-3</v>
      </c>
      <c r="AS28" s="36">
        <v>1.6275975609756112E-3</v>
      </c>
      <c r="AT28" s="36">
        <v>0</v>
      </c>
      <c r="AU28" s="36">
        <v>4.8189000000000036E-3</v>
      </c>
      <c r="AW28" s="235">
        <v>6</v>
      </c>
      <c r="AX28" t="s">
        <v>208</v>
      </c>
      <c r="AY28" s="159">
        <v>2</v>
      </c>
      <c r="AZ28" s="235">
        <v>0.16921796427456101</v>
      </c>
      <c r="BA28" s="156">
        <v>3.6016069562972201E-2</v>
      </c>
      <c r="BB28" s="156">
        <v>5.2706957045684198E-2</v>
      </c>
      <c r="BC28" s="156">
        <v>0.18541457004588899</v>
      </c>
      <c r="BD28" s="156">
        <v>1.8871068666534301E-2</v>
      </c>
      <c r="BE28" s="156">
        <v>5.0038652899532701E-2</v>
      </c>
      <c r="BF28" s="156">
        <v>5.3415388613348602E-2</v>
      </c>
      <c r="BG28" s="156">
        <v>4.4234107395148298E-2</v>
      </c>
      <c r="BH28" s="156">
        <v>9.4949415689762007E-2</v>
      </c>
      <c r="BI28" s="156">
        <v>1.5030721963825299E-2</v>
      </c>
      <c r="BJ28" s="156">
        <v>3.1427585525632899E-2</v>
      </c>
      <c r="BK28" s="156">
        <v>6.5691980953969706E-2</v>
      </c>
      <c r="BL28" s="156">
        <v>6.8227966301907996E-3</v>
      </c>
      <c r="BM28" s="156">
        <v>7.1999579786413401E-2</v>
      </c>
      <c r="BN28" s="156">
        <v>1.05496693038864E-2</v>
      </c>
      <c r="BO28" s="159">
        <v>9.3613471642649396E-2</v>
      </c>
      <c r="BP28" s="416">
        <f t="shared" si="0"/>
        <v>1</v>
      </c>
    </row>
    <row r="29" spans="2:68" ht="14.5">
      <c r="B29" s="158" t="s">
        <v>268</v>
      </c>
      <c r="C29">
        <v>-0.43886619999999998</v>
      </c>
      <c r="D29">
        <v>-2.4805500000000001E-2</v>
      </c>
      <c r="E29">
        <v>-1.7931099999999998E-2</v>
      </c>
      <c r="F29">
        <v>3.3722099999999999</v>
      </c>
      <c r="G29">
        <v>-7.4383000000000001E-3</v>
      </c>
      <c r="H29">
        <v>9.1103900000000002E-2</v>
      </c>
      <c r="I29">
        <v>-0.2073536</v>
      </c>
      <c r="J29">
        <v>0.13289819999999999</v>
      </c>
      <c r="K29">
        <v>-3.36423E-2</v>
      </c>
      <c r="L29">
        <v>-4.3176999999999998E-3</v>
      </c>
      <c r="M29">
        <v>-1.3765100000000001E-2</v>
      </c>
      <c r="N29">
        <v>-1.7161200000000001E-2</v>
      </c>
      <c r="O29">
        <v>1.81586E-2</v>
      </c>
      <c r="P29">
        <v>-8.5571400000000006E-2</v>
      </c>
      <c r="Q29">
        <v>-9.8401500000000003E-2</v>
      </c>
      <c r="R29" s="159">
        <v>-0.33514290000000002</v>
      </c>
      <c r="T29" s="305" t="s">
        <v>209</v>
      </c>
      <c r="U29" s="326">
        <v>2</v>
      </c>
      <c r="V29" s="36">
        <v>3.9929011235955011E-3</v>
      </c>
      <c r="W29" s="36">
        <v>8.4912029999999993E-3</v>
      </c>
      <c r="X29" s="36">
        <v>5.9531029999999952E-3</v>
      </c>
      <c r="Y29" s="36">
        <v>6.6575029999999952E-3</v>
      </c>
      <c r="Z29" s="36">
        <v>2.0300010989010996E-3</v>
      </c>
      <c r="AA29" s="36">
        <v>6.1543009999999983E-3</v>
      </c>
      <c r="AB29" s="36">
        <v>4.8358000000000029E-3</v>
      </c>
      <c r="AC29" s="36">
        <v>7.409199999999996E-3</v>
      </c>
      <c r="AD29" s="36">
        <v>2.263602040816329E-3</v>
      </c>
      <c r="AE29" s="36">
        <v>6.5739970000000024E-3</v>
      </c>
      <c r="AF29" s="36">
        <v>6.5734019999999956E-3</v>
      </c>
      <c r="AG29" s="36">
        <v>2.9831042105263159E-3</v>
      </c>
      <c r="AH29" s="36">
        <v>2.0966050505050468E-3</v>
      </c>
      <c r="AI29" s="36">
        <v>4.8277004000000009E-3</v>
      </c>
      <c r="AJ29" s="36">
        <v>6.4045040404040413E-3</v>
      </c>
      <c r="AK29" s="36">
        <v>5.9905040816326536E-3</v>
      </c>
      <c r="AL29" s="36">
        <v>3.3949782608695288E-4</v>
      </c>
      <c r="AM29" s="36">
        <v>4.063202040816327E-3</v>
      </c>
      <c r="AN29" s="36">
        <v>5.5981041666666644E-3</v>
      </c>
      <c r="AO29" s="36">
        <v>5.7661962025316463E-3</v>
      </c>
      <c r="AP29" s="36">
        <v>6.4310227272727273E-4</v>
      </c>
      <c r="AQ29" s="36">
        <v>2.8860948979591854E-3</v>
      </c>
      <c r="AR29" s="36">
        <v>9.4554957894736839E-3</v>
      </c>
      <c r="AS29" s="36">
        <v>2.6769756097561102E-4</v>
      </c>
      <c r="AT29" s="36">
        <v>0</v>
      </c>
      <c r="AU29" s="36">
        <v>4.7439000000000031E-3</v>
      </c>
      <c r="AW29" s="235">
        <v>7</v>
      </c>
      <c r="AX29" t="s">
        <v>209</v>
      </c>
      <c r="AY29" s="159">
        <v>2</v>
      </c>
      <c r="AZ29" s="235">
        <v>0.17625210676449499</v>
      </c>
      <c r="BA29" s="156">
        <v>4.57597516457382E-2</v>
      </c>
      <c r="BB29" s="156">
        <v>3.5299734004667398E-2</v>
      </c>
      <c r="BC29" s="156">
        <v>0.24903400289507599</v>
      </c>
      <c r="BD29" s="156">
        <v>3.8617117815735298E-2</v>
      </c>
      <c r="BE29" s="156">
        <v>4.94296122990198E-2</v>
      </c>
      <c r="BF29" s="156">
        <v>3.7014938007407801E-2</v>
      </c>
      <c r="BG29" s="156">
        <v>2.88593153784002E-2</v>
      </c>
      <c r="BH29" s="156">
        <v>7.5029627287499095E-2</v>
      </c>
      <c r="BI29" s="156">
        <v>2.0288305006908699E-2</v>
      </c>
      <c r="BJ29" s="156">
        <v>2.8350913356422602E-2</v>
      </c>
      <c r="BK29" s="156">
        <v>3.9190374832857401E-2</v>
      </c>
      <c r="BL29" s="156">
        <v>5.3364592561639399E-3</v>
      </c>
      <c r="BM29" s="156">
        <v>7.6850079260066304E-2</v>
      </c>
      <c r="BN29" s="156">
        <v>6.0719112473218402E-3</v>
      </c>
      <c r="BO29" s="159">
        <v>8.8615750942220101E-2</v>
      </c>
      <c r="BP29" s="416">
        <f t="shared" si="0"/>
        <v>0.99999999999999967</v>
      </c>
    </row>
    <row r="30" spans="2:68" ht="14.5">
      <c r="B30" s="158" t="s">
        <v>269</v>
      </c>
      <c r="C30">
        <v>-9.5484200000000005E-2</v>
      </c>
      <c r="D30">
        <v>-6.5703000000000003E-3</v>
      </c>
      <c r="E30">
        <v>7.2464899999999999E-2</v>
      </c>
      <c r="F30">
        <v>0.5878504</v>
      </c>
      <c r="G30">
        <v>-2.8013400000000001E-2</v>
      </c>
      <c r="H30">
        <v>6.8302000000000002E-2</v>
      </c>
      <c r="I30">
        <v>0.1882587</v>
      </c>
      <c r="J30">
        <v>3.55339E-2</v>
      </c>
      <c r="K30">
        <v>4.0869900000000001E-2</v>
      </c>
      <c r="L30">
        <v>1.3872600000000001E-2</v>
      </c>
      <c r="M30">
        <v>-9.0542000000000001E-3</v>
      </c>
      <c r="N30">
        <v>5.7390799999999999E-2</v>
      </c>
      <c r="O30">
        <v>-8.541E-4</v>
      </c>
      <c r="P30">
        <v>6.9775100000000007E-2</v>
      </c>
      <c r="Q30">
        <v>-0.27647539999999998</v>
      </c>
      <c r="R30" s="159">
        <v>0.177874</v>
      </c>
      <c r="T30" s="305" t="s">
        <v>224</v>
      </c>
      <c r="U30" s="326">
        <v>2</v>
      </c>
      <c r="V30" s="36">
        <v>3.8844011235955015E-3</v>
      </c>
      <c r="W30" s="36">
        <v>2.3505402999999998E-2</v>
      </c>
      <c r="X30" s="36">
        <v>8.8507029999999945E-3</v>
      </c>
      <c r="Y30" s="36">
        <v>2.0776202999999997E-2</v>
      </c>
      <c r="Z30" s="36">
        <v>2.6108010989010994E-3</v>
      </c>
      <c r="AA30" s="36">
        <v>1.9146301000000001E-2</v>
      </c>
      <c r="AB30" s="36">
        <v>1.1184500000000002E-2</v>
      </c>
      <c r="AC30" s="36">
        <v>1.8728999999999996E-2</v>
      </c>
      <c r="AD30" s="36">
        <v>6.6442020408163287E-3</v>
      </c>
      <c r="AE30" s="36">
        <v>2.3241097000000002E-2</v>
      </c>
      <c r="AF30" s="36">
        <v>1.0588501999999996E-2</v>
      </c>
      <c r="AG30" s="36">
        <v>1.0780804210526317E-2</v>
      </c>
      <c r="AH30" s="36">
        <v>6.5363050505050464E-3</v>
      </c>
      <c r="AI30" s="36">
        <v>1.2753500399999999E-2</v>
      </c>
      <c r="AJ30" s="36">
        <v>1.2706604040404041E-2</v>
      </c>
      <c r="AK30" s="36">
        <v>1.1855004081632653E-2</v>
      </c>
      <c r="AL30" s="36">
        <v>8.2131978260869525E-3</v>
      </c>
      <c r="AM30" s="36">
        <v>1.1033702040816327E-2</v>
      </c>
      <c r="AN30" s="36">
        <v>1.0638404166666664E-2</v>
      </c>
      <c r="AO30" s="36">
        <v>3.1306962025316465E-3</v>
      </c>
      <c r="AP30" s="36">
        <v>6.1882022727272725E-3</v>
      </c>
      <c r="AQ30" s="36">
        <v>8.4597948979591858E-3</v>
      </c>
      <c r="AR30" s="36">
        <v>5.8352957894736842E-3</v>
      </c>
      <c r="AS30" s="36">
        <v>8.9009756097561108E-4</v>
      </c>
      <c r="AT30" s="36">
        <v>0</v>
      </c>
      <c r="AU30" s="36">
        <v>1.3039400000000003E-2</v>
      </c>
      <c r="AW30" s="235">
        <v>8</v>
      </c>
      <c r="AX30" t="s">
        <v>224</v>
      </c>
      <c r="AY30" s="159">
        <v>2</v>
      </c>
      <c r="AZ30" s="235">
        <v>0.14678854806588501</v>
      </c>
      <c r="BA30" s="156">
        <v>3.9035681985739298E-2</v>
      </c>
      <c r="BB30" s="156">
        <v>5.5256341585277501E-2</v>
      </c>
      <c r="BC30" s="156">
        <v>0.19525662752616901</v>
      </c>
      <c r="BD30" s="156">
        <v>2.01559397519071E-2</v>
      </c>
      <c r="BE30" s="156">
        <v>4.7559910836007302E-2</v>
      </c>
      <c r="BF30" s="156">
        <v>4.7840106187178599E-2</v>
      </c>
      <c r="BG30" s="156">
        <v>3.07259055094889E-2</v>
      </c>
      <c r="BH30" s="156">
        <v>8.8561183250036798E-2</v>
      </c>
      <c r="BI30" s="156">
        <v>1.62010051455652E-2</v>
      </c>
      <c r="BJ30" s="156">
        <v>3.61710686571294E-2</v>
      </c>
      <c r="BK30" s="156">
        <v>7.1435805545589801E-2</v>
      </c>
      <c r="BL30" s="156">
        <v>1.3225111683037E-2</v>
      </c>
      <c r="BM30" s="156">
        <v>9.3445001169796899E-2</v>
      </c>
      <c r="BN30" s="156">
        <v>1.3371898825044E-2</v>
      </c>
      <c r="BO30" s="159">
        <v>8.4969864276148596E-2</v>
      </c>
      <c r="BP30" s="416">
        <f t="shared" si="0"/>
        <v>1.0000000000000004</v>
      </c>
    </row>
    <row r="31" spans="2:68" ht="14.5">
      <c r="B31" s="158" t="s">
        <v>270</v>
      </c>
      <c r="C31">
        <v>-0.33905950000000001</v>
      </c>
      <c r="D31">
        <v>2.8318800000000002E-2</v>
      </c>
      <c r="E31">
        <v>-0.15299470000000001</v>
      </c>
      <c r="F31">
        <v>0.54235049999999996</v>
      </c>
      <c r="G31">
        <v>-5.2471999999999996E-3</v>
      </c>
      <c r="H31">
        <v>0.1382874</v>
      </c>
      <c r="I31">
        <v>-0.1572499</v>
      </c>
      <c r="J31">
        <v>0.12911790000000001</v>
      </c>
      <c r="K31">
        <v>9.7470000000000005E-3</v>
      </c>
      <c r="L31">
        <v>-8.9960999999999999E-3</v>
      </c>
      <c r="M31">
        <v>-1.40413E-2</v>
      </c>
      <c r="N31">
        <v>0.13430349999999999</v>
      </c>
      <c r="O31">
        <v>-1.2802900000000001E-2</v>
      </c>
      <c r="P31">
        <v>-0.45729180000000003</v>
      </c>
      <c r="Q31">
        <v>-0.18402389999999999</v>
      </c>
      <c r="R31" s="159">
        <v>9.2133300000000001E-2</v>
      </c>
      <c r="T31" s="305" t="s">
        <v>210</v>
      </c>
      <c r="U31" s="326">
        <v>2</v>
      </c>
      <c r="V31" s="36">
        <v>8.4945011235955017E-3</v>
      </c>
      <c r="W31" s="36">
        <v>1.4788802999999998E-2</v>
      </c>
      <c r="X31" s="36">
        <v>1.1649002999999995E-2</v>
      </c>
      <c r="Y31" s="36">
        <v>2.0360602999999994E-2</v>
      </c>
      <c r="Z31" s="36">
        <v>4.7229010989010998E-3</v>
      </c>
      <c r="AA31" s="36">
        <v>1.5399100999999998E-2</v>
      </c>
      <c r="AB31" s="36">
        <v>8.1481000000000019E-3</v>
      </c>
      <c r="AC31" s="36">
        <v>2.0072999999999997E-2</v>
      </c>
      <c r="AD31" s="36">
        <v>1.2630202040816328E-2</v>
      </c>
      <c r="AE31" s="36">
        <v>1.2747597000000003E-2</v>
      </c>
      <c r="AF31" s="36">
        <v>1.0359401999999995E-2</v>
      </c>
      <c r="AG31" s="36">
        <v>4.5427042105263158E-3</v>
      </c>
      <c r="AH31" s="36">
        <v>5.7422050505050466E-3</v>
      </c>
      <c r="AI31" s="36">
        <v>1.02177004E-2</v>
      </c>
      <c r="AJ31" s="36">
        <v>1.051830404040404E-2</v>
      </c>
      <c r="AK31" s="36">
        <v>7.6175040816326535E-3</v>
      </c>
      <c r="AL31" s="36">
        <v>5.651697826086953E-3</v>
      </c>
      <c r="AM31" s="36">
        <v>7.7004020408163263E-3</v>
      </c>
      <c r="AN31" s="36">
        <v>4.1684041666666645E-3</v>
      </c>
      <c r="AO31" s="36">
        <v>2.0145962025316464E-3</v>
      </c>
      <c r="AP31" s="36">
        <v>1.0257602272727272E-2</v>
      </c>
      <c r="AQ31" s="36">
        <v>4.8154948979591853E-3</v>
      </c>
      <c r="AR31" s="36">
        <v>5.5294957894736841E-3</v>
      </c>
      <c r="AS31" s="36">
        <v>0</v>
      </c>
      <c r="AT31" s="36">
        <v>0</v>
      </c>
      <c r="AU31" s="36">
        <v>1.2332600000000004E-2</v>
      </c>
      <c r="AW31" s="235">
        <v>9</v>
      </c>
      <c r="AX31" t="s">
        <v>210</v>
      </c>
      <c r="AY31" s="159">
        <v>2</v>
      </c>
      <c r="AZ31" s="235">
        <v>0.16112455830196201</v>
      </c>
      <c r="BA31" s="156">
        <v>4.5808389664408297E-2</v>
      </c>
      <c r="BB31" s="156">
        <v>5.6920783568679197E-2</v>
      </c>
      <c r="BC31" s="156">
        <v>0.19649015064424499</v>
      </c>
      <c r="BD31" s="156">
        <v>1.7222498415361699E-2</v>
      </c>
      <c r="BE31" s="156">
        <v>4.83215196486061E-2</v>
      </c>
      <c r="BF31" s="156">
        <v>4.0497121052656598E-2</v>
      </c>
      <c r="BG31" s="156">
        <v>2.5654939030723901E-2</v>
      </c>
      <c r="BH31" s="156">
        <v>0.100446721166171</v>
      </c>
      <c r="BI31" s="156">
        <v>1.56106077261599E-2</v>
      </c>
      <c r="BJ31" s="156">
        <v>3.9915424269600097E-2</v>
      </c>
      <c r="BK31" s="156">
        <v>6.2565570311369501E-2</v>
      </c>
      <c r="BL31" s="156">
        <v>9.9256277131459705E-3</v>
      </c>
      <c r="BM31" s="156">
        <v>8.4791672772247598E-2</v>
      </c>
      <c r="BN31" s="156">
        <v>8.5529123556233599E-3</v>
      </c>
      <c r="BO31" s="159">
        <v>8.6151503359039705E-2</v>
      </c>
      <c r="BP31" s="416">
        <f t="shared" si="0"/>
        <v>0.99999999999999978</v>
      </c>
    </row>
    <row r="32" spans="2:68" ht="14.5">
      <c r="B32" s="158" t="s">
        <v>271</v>
      </c>
      <c r="C32">
        <v>-2.02522</v>
      </c>
      <c r="D32">
        <v>-5.3654000000000002E-3</v>
      </c>
      <c r="E32">
        <v>0.1036131</v>
      </c>
      <c r="F32">
        <v>-2.7860939999999998</v>
      </c>
      <c r="G32">
        <v>-4.24666E-2</v>
      </c>
      <c r="H32">
        <v>1.9862899999999999E-2</v>
      </c>
      <c r="I32">
        <v>0.4802438</v>
      </c>
      <c r="J32">
        <v>8.68009E-2</v>
      </c>
      <c r="K32">
        <v>0.23352619999999999</v>
      </c>
      <c r="L32">
        <v>9.5408000000000003E-3</v>
      </c>
      <c r="M32">
        <v>1.0903899999999999E-2</v>
      </c>
      <c r="N32">
        <v>3.8769600000000001E-2</v>
      </c>
      <c r="O32">
        <v>4.481E-4</v>
      </c>
      <c r="P32">
        <v>0.18174999999999999</v>
      </c>
      <c r="Q32">
        <v>0.46826509999999999</v>
      </c>
      <c r="R32" s="159">
        <v>-5.9056999999999998E-2</v>
      </c>
      <c r="T32" s="305" t="s">
        <v>211</v>
      </c>
      <c r="U32" s="326">
        <v>2</v>
      </c>
      <c r="V32" s="36">
        <v>3.9877011235955016E-3</v>
      </c>
      <c r="W32" s="36">
        <v>4.4878029999999985E-3</v>
      </c>
      <c r="X32" s="36">
        <v>2.5718029999999949E-3</v>
      </c>
      <c r="Y32" s="36">
        <v>4.8786029999999952E-3</v>
      </c>
      <c r="Z32" s="36">
        <v>1.4552010989010995E-3</v>
      </c>
      <c r="AA32" s="36">
        <v>2.911600999999998E-3</v>
      </c>
      <c r="AB32" s="36">
        <v>4.7310000000000026E-3</v>
      </c>
      <c r="AC32" s="36">
        <v>4.1652999999999959E-3</v>
      </c>
      <c r="AD32" s="36">
        <v>6.3567020408163283E-3</v>
      </c>
      <c r="AE32" s="36">
        <v>2.4521970000000027E-3</v>
      </c>
      <c r="AF32" s="36">
        <v>2.8766019999999955E-3</v>
      </c>
      <c r="AG32" s="36">
        <v>5.2070421052631598E-4</v>
      </c>
      <c r="AH32" s="36">
        <v>2.7855050505050469E-3</v>
      </c>
      <c r="AI32" s="36">
        <v>2.8346004000000011E-3</v>
      </c>
      <c r="AJ32" s="36">
        <v>1.6904040404040418E-3</v>
      </c>
      <c r="AK32" s="36">
        <v>1.6432040816326532E-3</v>
      </c>
      <c r="AL32" s="36">
        <v>3.4111978260869531E-3</v>
      </c>
      <c r="AM32" s="36">
        <v>8.1400204081632664E-4</v>
      </c>
      <c r="AN32" s="36">
        <v>2.8425041666666644E-3</v>
      </c>
      <c r="AO32" s="36">
        <v>3.9699620253164618E-4</v>
      </c>
      <c r="AP32" s="36">
        <v>1.8614022727272729E-3</v>
      </c>
      <c r="AQ32" s="36">
        <v>6.3989489795918521E-4</v>
      </c>
      <c r="AR32" s="36">
        <v>2.5371957894736838E-3</v>
      </c>
      <c r="AS32" s="36">
        <v>7.6309756097561103E-4</v>
      </c>
      <c r="AT32" s="36">
        <v>0</v>
      </c>
      <c r="AU32" s="36">
        <v>3.4260000000000033E-3</v>
      </c>
      <c r="AW32" s="235">
        <v>10</v>
      </c>
      <c r="AX32" t="s">
        <v>211</v>
      </c>
      <c r="AY32" s="159">
        <v>2</v>
      </c>
      <c r="AZ32" s="235">
        <v>0.18273769005548901</v>
      </c>
      <c r="BA32" s="156">
        <v>4.2385551969633901E-2</v>
      </c>
      <c r="BB32" s="156">
        <v>4.7424079803930701E-2</v>
      </c>
      <c r="BC32" s="156">
        <v>0.19789391788841901</v>
      </c>
      <c r="BD32" s="156">
        <v>1.9517307768353701E-2</v>
      </c>
      <c r="BE32" s="156">
        <v>5.5456572548897201E-2</v>
      </c>
      <c r="BF32" s="156">
        <v>6.4954096444618303E-2</v>
      </c>
      <c r="BG32" s="156">
        <v>3.5180428582794701E-2</v>
      </c>
      <c r="BH32" s="156">
        <v>9.5781246094507194E-2</v>
      </c>
      <c r="BI32" s="156">
        <v>9.2761131830533302E-3</v>
      </c>
      <c r="BJ32" s="156">
        <v>3.5961945683637198E-2</v>
      </c>
      <c r="BK32" s="156">
        <v>6.3116238335352598E-2</v>
      </c>
      <c r="BL32" s="156">
        <v>4.5997487010751804E-3</v>
      </c>
      <c r="BM32" s="156">
        <v>4.4050050334661799E-2</v>
      </c>
      <c r="BN32" s="156">
        <v>1.46028143038673E-2</v>
      </c>
      <c r="BO32" s="159">
        <v>8.7062198301708693E-2</v>
      </c>
      <c r="BP32" s="416">
        <f t="shared" si="0"/>
        <v>1</v>
      </c>
    </row>
    <row r="33" spans="2:68" ht="14.5">
      <c r="B33" s="158" t="s">
        <v>272</v>
      </c>
      <c r="C33">
        <v>0.1080831</v>
      </c>
      <c r="D33">
        <v>-1.00695E-2</v>
      </c>
      <c r="E33">
        <v>-0.2790029</v>
      </c>
      <c r="F33">
        <v>0.94554950000000004</v>
      </c>
      <c r="G33">
        <v>-9.4664999999999992E-3</v>
      </c>
      <c r="H33">
        <v>-2.3361199999999999E-2</v>
      </c>
      <c r="I33">
        <v>5.2813100000000002E-2</v>
      </c>
      <c r="J33">
        <v>-0.33783020000000002</v>
      </c>
      <c r="K33">
        <v>-0.45373360000000001</v>
      </c>
      <c r="L33">
        <v>1.20264E-2</v>
      </c>
      <c r="M33">
        <v>-6.3116699999999998E-2</v>
      </c>
      <c r="N33">
        <v>-0.17525019999999999</v>
      </c>
      <c r="O33">
        <v>1.5740000000000001E-2</v>
      </c>
      <c r="P33">
        <v>-8.7297799999999995E-2</v>
      </c>
      <c r="Q33">
        <v>-0.36317460000000001</v>
      </c>
      <c r="R33" s="159">
        <v>-0.30634410000000001</v>
      </c>
      <c r="T33" s="305" t="s">
        <v>212</v>
      </c>
      <c r="U33" s="326">
        <v>2</v>
      </c>
      <c r="V33" s="36">
        <v>3.7894011235955014E-3</v>
      </c>
      <c r="W33" s="36">
        <v>6.2721029999999985E-3</v>
      </c>
      <c r="X33" s="36">
        <v>3.306202999999995E-3</v>
      </c>
      <c r="Y33" s="36">
        <v>9.7575029999999955E-3</v>
      </c>
      <c r="Z33" s="36">
        <v>1.9678010989010995E-3</v>
      </c>
      <c r="AA33" s="36">
        <v>5.9421009999999982E-3</v>
      </c>
      <c r="AB33" s="36">
        <v>3.4315000000000023E-3</v>
      </c>
      <c r="AC33" s="36">
        <v>8.5690999999999944E-3</v>
      </c>
      <c r="AD33" s="36">
        <v>7.6252020408163288E-3</v>
      </c>
      <c r="AE33" s="36">
        <v>4.5419970000000025E-3</v>
      </c>
      <c r="AF33" s="36">
        <v>4.2394019999999954E-3</v>
      </c>
      <c r="AG33" s="36">
        <v>2.855804210526316E-3</v>
      </c>
      <c r="AH33" s="36">
        <v>3.5884050505050466E-3</v>
      </c>
      <c r="AI33" s="36">
        <v>2.765900400000001E-3</v>
      </c>
      <c r="AJ33" s="36">
        <v>4.4274040404040415E-3</v>
      </c>
      <c r="AK33" s="36">
        <v>2.0563040816326534E-3</v>
      </c>
      <c r="AL33" s="36">
        <v>2.973797826086953E-3</v>
      </c>
      <c r="AM33" s="36">
        <v>3.1047020408163269E-3</v>
      </c>
      <c r="AN33" s="36">
        <v>2.0610041666666644E-3</v>
      </c>
      <c r="AO33" s="36">
        <v>4.3049620253164618E-4</v>
      </c>
      <c r="AP33" s="36">
        <v>6.1251022727272725E-3</v>
      </c>
      <c r="AQ33" s="36">
        <v>3.1475948979591854E-3</v>
      </c>
      <c r="AR33" s="36">
        <v>9.0500957894736837E-3</v>
      </c>
      <c r="AS33" s="36">
        <v>3.6633975609756107E-3</v>
      </c>
      <c r="AT33" s="36">
        <v>0</v>
      </c>
      <c r="AU33" s="36">
        <v>4.4043000000000034E-3</v>
      </c>
      <c r="AW33" s="235">
        <v>11</v>
      </c>
      <c r="AX33" t="s">
        <v>212</v>
      </c>
      <c r="AY33" s="159">
        <v>2</v>
      </c>
      <c r="AZ33" s="235">
        <v>0.191085610288139</v>
      </c>
      <c r="BA33" s="156">
        <v>4.3773856299645503E-2</v>
      </c>
      <c r="BB33" s="156">
        <v>6.8488055815665194E-2</v>
      </c>
      <c r="BC33" s="156">
        <v>0.21119718471287</v>
      </c>
      <c r="BD33" s="156">
        <v>1.7380825443507102E-2</v>
      </c>
      <c r="BE33" s="156">
        <v>5.5975333588726701E-2</v>
      </c>
      <c r="BF33" s="156">
        <v>5.1908109347964297E-2</v>
      </c>
      <c r="BG33" s="156">
        <v>2.7878370737518799E-2</v>
      </c>
      <c r="BH33" s="156">
        <v>0.11876681847904801</v>
      </c>
      <c r="BI33" s="156">
        <v>7.8211337344585696E-3</v>
      </c>
      <c r="BJ33" s="156">
        <v>3.0167774248097901E-2</v>
      </c>
      <c r="BK33" s="156">
        <v>4.3160839814309702E-2</v>
      </c>
      <c r="BL33" s="156">
        <v>5.0639672801207902E-3</v>
      </c>
      <c r="BM33" s="156">
        <v>3.8090926457614999E-2</v>
      </c>
      <c r="BN33" s="156">
        <v>2.93796725771124E-3</v>
      </c>
      <c r="BO33" s="159">
        <v>8.6303226494601801E-2</v>
      </c>
      <c r="BP33" s="416">
        <f t="shared" si="0"/>
        <v>0.99999999999999967</v>
      </c>
    </row>
    <row r="34" spans="2:68" ht="14.5">
      <c r="B34" s="158" t="s">
        <v>273</v>
      </c>
      <c r="C34">
        <v>0.23261270000000001</v>
      </c>
      <c r="D34">
        <v>-8.1573400000000004E-2</v>
      </c>
      <c r="E34">
        <v>-0.20720759999999999</v>
      </c>
      <c r="F34">
        <v>0.4198384</v>
      </c>
      <c r="G34">
        <v>-1.4374700000000001E-2</v>
      </c>
      <c r="H34">
        <v>-3.8479E-3</v>
      </c>
      <c r="I34">
        <v>0.82394310000000004</v>
      </c>
      <c r="J34">
        <v>1.0795300000000001E-2</v>
      </c>
      <c r="K34">
        <v>-9.2540300000000006E-2</v>
      </c>
      <c r="L34">
        <v>5.0099999999999997E-3</v>
      </c>
      <c r="M34">
        <v>-1.1243E-2</v>
      </c>
      <c r="N34">
        <v>9.5557799999999998E-2</v>
      </c>
      <c r="O34">
        <v>-1.8013999999999999E-2</v>
      </c>
      <c r="P34">
        <v>9.3952499999999994E-2</v>
      </c>
      <c r="Q34">
        <v>-9.8465200000000003E-2</v>
      </c>
      <c r="R34" s="159">
        <v>-0.16379279999999999</v>
      </c>
      <c r="T34" s="305" t="s">
        <v>213</v>
      </c>
      <c r="U34" s="326">
        <v>2</v>
      </c>
      <c r="V34" s="36">
        <v>1.9074701123595501E-2</v>
      </c>
      <c r="W34" s="36">
        <v>1.9899802999999997E-2</v>
      </c>
      <c r="X34" s="36">
        <v>2.1654002999999995E-2</v>
      </c>
      <c r="Y34" s="36">
        <v>1.7523502999999996E-2</v>
      </c>
      <c r="Z34" s="36">
        <v>1.03897010989011E-2</v>
      </c>
      <c r="AA34" s="36">
        <v>1.8119700999999998E-2</v>
      </c>
      <c r="AB34" s="36">
        <v>1.5889600000000004E-2</v>
      </c>
      <c r="AC34" s="36">
        <v>1.9949899999999996E-2</v>
      </c>
      <c r="AD34" s="36">
        <v>2.8058402040816329E-2</v>
      </c>
      <c r="AE34" s="36">
        <v>1.8595297E-2</v>
      </c>
      <c r="AF34" s="36">
        <v>2.6577801999999994E-2</v>
      </c>
      <c r="AG34" s="36">
        <v>8.8426042105263173E-3</v>
      </c>
      <c r="AH34" s="36">
        <v>3.3039505050505048E-2</v>
      </c>
      <c r="AI34" s="36">
        <v>1.71477004E-2</v>
      </c>
      <c r="AJ34" s="36">
        <v>2.7022904040404042E-2</v>
      </c>
      <c r="AK34" s="36">
        <v>1.1390104081632654E-2</v>
      </c>
      <c r="AL34" s="36">
        <v>2.5651897826086952E-2</v>
      </c>
      <c r="AM34" s="36">
        <v>6.3599020408163266E-3</v>
      </c>
      <c r="AN34" s="36">
        <v>3.5603004166666667E-2</v>
      </c>
      <c r="AO34" s="36">
        <v>3.4619962025316461E-3</v>
      </c>
      <c r="AP34" s="36">
        <v>9.2754022727272716E-3</v>
      </c>
      <c r="AQ34" s="36">
        <v>7.6507948979591851E-3</v>
      </c>
      <c r="AR34" s="36">
        <v>3.5986957894736838E-3</v>
      </c>
      <c r="AS34" s="36">
        <v>7.2333975609756114E-3</v>
      </c>
      <c r="AT34" s="36">
        <v>0</v>
      </c>
      <c r="AU34" s="36">
        <v>2.0026700000000005E-2</v>
      </c>
      <c r="AW34" s="235">
        <v>12</v>
      </c>
      <c r="AX34" t="s">
        <v>213</v>
      </c>
      <c r="AY34" s="159">
        <v>2</v>
      </c>
      <c r="AZ34" s="235">
        <v>0.185724113005308</v>
      </c>
      <c r="BA34" s="156">
        <v>5.0517933374907897E-2</v>
      </c>
      <c r="BB34" s="156">
        <v>5.7791259465963099E-2</v>
      </c>
      <c r="BC34" s="156">
        <v>0.20604447403846901</v>
      </c>
      <c r="BD34" s="156">
        <v>1.89018097861797E-2</v>
      </c>
      <c r="BE34" s="156">
        <v>4.0332202969754503E-2</v>
      </c>
      <c r="BF34" s="156">
        <v>4.49349485458823E-2</v>
      </c>
      <c r="BG34" s="156">
        <v>3.0510244831871602E-2</v>
      </c>
      <c r="BH34" s="156">
        <v>9.0490261836154995E-2</v>
      </c>
      <c r="BI34" s="156">
        <v>1.57478467989354E-2</v>
      </c>
      <c r="BJ34" s="156">
        <v>3.4874870790739199E-2</v>
      </c>
      <c r="BK34" s="156">
        <v>5.8438755432872497E-2</v>
      </c>
      <c r="BL34" s="156">
        <v>7.7190546999122102E-3</v>
      </c>
      <c r="BM34" s="156">
        <v>6.4686645342725904E-2</v>
      </c>
      <c r="BN34" s="156">
        <v>8.1295806929347798E-3</v>
      </c>
      <c r="BO34" s="159">
        <v>8.5155998387389006E-2</v>
      </c>
      <c r="BP34" s="416">
        <f t="shared" si="0"/>
        <v>1</v>
      </c>
    </row>
    <row r="35" spans="2:68" ht="14.5">
      <c r="B35" s="158" t="s">
        <v>274</v>
      </c>
      <c r="C35">
        <v>2.6441699999999999E-2</v>
      </c>
      <c r="D35">
        <v>-1.44362E-2</v>
      </c>
      <c r="E35">
        <v>-0.14916550000000001</v>
      </c>
      <c r="F35">
        <v>0.35709220000000003</v>
      </c>
      <c r="G35">
        <v>-2.01969E-2</v>
      </c>
      <c r="H35">
        <v>2.2787100000000001E-2</v>
      </c>
      <c r="I35">
        <v>-0.105764</v>
      </c>
      <c r="J35">
        <v>-0.2015969</v>
      </c>
      <c r="K35">
        <v>-0.15746080000000001</v>
      </c>
      <c r="L35">
        <v>-6.8829100000000004E-2</v>
      </c>
      <c r="M35">
        <v>1.42912E-2</v>
      </c>
      <c r="N35">
        <v>-1.75541E-2</v>
      </c>
      <c r="O35">
        <v>-1.38031E-2</v>
      </c>
      <c r="P35">
        <v>4.2026899999999999E-2</v>
      </c>
      <c r="Q35">
        <v>-1.08731E-2</v>
      </c>
      <c r="R35" s="159">
        <v>-6.8113300000000002E-2</v>
      </c>
      <c r="T35" s="305" t="s">
        <v>214</v>
      </c>
      <c r="U35" s="326">
        <v>2</v>
      </c>
      <c r="V35" s="36">
        <v>5.8513011235955016E-3</v>
      </c>
      <c r="W35" s="36">
        <v>3.5740029999999983E-3</v>
      </c>
      <c r="X35" s="36">
        <v>4.4842029999999948E-3</v>
      </c>
      <c r="Y35" s="36">
        <v>5.5527029999999948E-3</v>
      </c>
      <c r="Z35" s="36">
        <v>1.4678010989010995E-3</v>
      </c>
      <c r="AA35" s="36">
        <v>3.893200999999998E-3</v>
      </c>
      <c r="AB35" s="36">
        <v>5.0275000000000025E-3</v>
      </c>
      <c r="AC35" s="36">
        <v>6.0253999999999959E-3</v>
      </c>
      <c r="AD35" s="36">
        <v>5.4057020408163287E-3</v>
      </c>
      <c r="AE35" s="36">
        <v>3.4431970000000029E-3</v>
      </c>
      <c r="AF35" s="36">
        <v>5.4185019999999952E-3</v>
      </c>
      <c r="AG35" s="36">
        <v>6.3410421052631592E-4</v>
      </c>
      <c r="AH35" s="36">
        <v>4.4262050505050462E-3</v>
      </c>
      <c r="AI35" s="36">
        <v>3.2237004000000009E-3</v>
      </c>
      <c r="AJ35" s="36">
        <v>5.0303040404040414E-3</v>
      </c>
      <c r="AK35" s="36">
        <v>2.3496040816326533E-3</v>
      </c>
      <c r="AL35" s="36">
        <v>9.3950978260869521E-3</v>
      </c>
      <c r="AM35" s="36">
        <v>1.7103020408163268E-3</v>
      </c>
      <c r="AN35" s="36">
        <v>6.5755041666666642E-3</v>
      </c>
      <c r="AO35" s="36">
        <v>3.2923962025316464E-3</v>
      </c>
      <c r="AP35" s="36">
        <v>9.7901022727272715E-3</v>
      </c>
      <c r="AQ35" s="36">
        <v>1.6425948979591851E-3</v>
      </c>
      <c r="AR35" s="36">
        <v>3.4450957894736839E-3</v>
      </c>
      <c r="AS35" s="36">
        <v>0</v>
      </c>
      <c r="AT35" s="36">
        <v>0</v>
      </c>
      <c r="AU35" s="36">
        <v>3.9111000000000033E-3</v>
      </c>
      <c r="AW35" s="235">
        <v>13</v>
      </c>
      <c r="AX35" t="s">
        <v>214</v>
      </c>
      <c r="AY35" s="159">
        <v>2</v>
      </c>
      <c r="AZ35" s="235">
        <v>0.180342686684026</v>
      </c>
      <c r="BA35" s="156">
        <v>3.7379903743095903E-2</v>
      </c>
      <c r="BB35" s="156">
        <v>7.0495073121313395E-2</v>
      </c>
      <c r="BC35" s="156">
        <v>0.18966201660819901</v>
      </c>
      <c r="BD35" s="156">
        <v>1.3674988989268199E-2</v>
      </c>
      <c r="BE35" s="156">
        <v>5.3744244114197502E-2</v>
      </c>
      <c r="BF35" s="156">
        <v>6.4130827920140202E-2</v>
      </c>
      <c r="BG35" s="156">
        <v>3.7513197939646803E-2</v>
      </c>
      <c r="BH35" s="156">
        <v>0.11588995278943701</v>
      </c>
      <c r="BI35" s="156">
        <v>1.49780928994979E-2</v>
      </c>
      <c r="BJ35" s="156">
        <v>2.74545407990954E-2</v>
      </c>
      <c r="BK35" s="156">
        <v>5.2309056474648397E-2</v>
      </c>
      <c r="BL35" s="156">
        <v>5.3212086348117396E-3</v>
      </c>
      <c r="BM35" s="156">
        <v>5.1457223435550398E-2</v>
      </c>
      <c r="BN35" s="156">
        <v>8.5852175590715504E-3</v>
      </c>
      <c r="BO35" s="159">
        <v>7.7061768288001195E-2</v>
      </c>
      <c r="BP35" s="416">
        <f t="shared" si="0"/>
        <v>1.0000000000000007</v>
      </c>
    </row>
    <row r="36" spans="2:68" ht="14.5">
      <c r="B36" s="158" t="s">
        <v>275</v>
      </c>
      <c r="C36">
        <v>0.33785989999999999</v>
      </c>
      <c r="D36">
        <v>-0.11715250000000001</v>
      </c>
      <c r="E36">
        <v>0.50912880000000005</v>
      </c>
      <c r="F36">
        <v>-9.00561E-2</v>
      </c>
      <c r="G36">
        <v>-4.2317199999999999E-2</v>
      </c>
      <c r="H36">
        <v>-5.9764999999999999E-2</v>
      </c>
      <c r="I36">
        <v>-0.53831859999999998</v>
      </c>
      <c r="J36">
        <v>0.2326937</v>
      </c>
      <c r="K36">
        <v>0.14673800000000001</v>
      </c>
      <c r="L36">
        <v>1.6065000000000001E-3</v>
      </c>
      <c r="M36">
        <v>-1.03993E-2</v>
      </c>
      <c r="N36">
        <v>-6.1363000000000001E-2</v>
      </c>
      <c r="O36">
        <v>-8.5556E-3</v>
      </c>
      <c r="P36">
        <v>0.18923180000000001</v>
      </c>
      <c r="Q36">
        <v>-7.5697899999999999E-2</v>
      </c>
      <c r="R36" s="159">
        <v>0.3131061</v>
      </c>
      <c r="T36" s="305" t="s">
        <v>215</v>
      </c>
      <c r="U36" s="326">
        <v>2</v>
      </c>
      <c r="V36" s="36">
        <v>1.1246011235955013E-3</v>
      </c>
      <c r="W36" s="36">
        <v>9.4200299999999844E-4</v>
      </c>
      <c r="X36" s="36">
        <v>1.6326029999999951E-3</v>
      </c>
      <c r="Y36" s="36">
        <v>2.7436029999999951E-3</v>
      </c>
      <c r="Z36" s="36">
        <v>1.7028010989010994E-3</v>
      </c>
      <c r="AA36" s="36">
        <v>1.1201009999999983E-3</v>
      </c>
      <c r="AB36" s="36">
        <v>1.1155000000000021E-3</v>
      </c>
      <c r="AC36" s="36">
        <v>1.9235999999999956E-3</v>
      </c>
      <c r="AD36" s="36">
        <v>2.3750204081632886E-4</v>
      </c>
      <c r="AE36" s="36">
        <v>4.8829700000000266E-4</v>
      </c>
      <c r="AF36" s="36">
        <v>1.0175019999999957E-3</v>
      </c>
      <c r="AG36" s="36">
        <v>7.6104210526315919E-5</v>
      </c>
      <c r="AH36" s="36">
        <v>1.5886050505050466E-3</v>
      </c>
      <c r="AI36" s="36">
        <v>5.3850040000000092E-4</v>
      </c>
      <c r="AJ36" s="36">
        <v>1.0853040404040417E-3</v>
      </c>
      <c r="AK36" s="36">
        <v>1.9620408163265317E-4</v>
      </c>
      <c r="AL36" s="36">
        <v>9.3309782608695278E-4</v>
      </c>
      <c r="AM36" s="36">
        <v>1.7170204081632659E-4</v>
      </c>
      <c r="AN36" s="36">
        <v>2.3660416666666448E-4</v>
      </c>
      <c r="AO36" s="36">
        <v>0</v>
      </c>
      <c r="AP36" s="36">
        <v>1.386802272727273E-3</v>
      </c>
      <c r="AQ36" s="36">
        <v>2.937948979591852E-4</v>
      </c>
      <c r="AR36" s="36">
        <v>5.49095789473684E-4</v>
      </c>
      <c r="AS36" s="36">
        <v>0</v>
      </c>
      <c r="AT36" s="36">
        <v>0</v>
      </c>
      <c r="AU36" s="36">
        <v>1.0142000000000033E-3</v>
      </c>
      <c r="AW36" s="235">
        <v>14</v>
      </c>
      <c r="AX36" t="s">
        <v>215</v>
      </c>
      <c r="AY36" s="159">
        <v>2</v>
      </c>
      <c r="AZ36" s="235">
        <v>0.18146998253049401</v>
      </c>
      <c r="BA36" s="156">
        <v>4.3157048946314898E-2</v>
      </c>
      <c r="BB36" s="156">
        <v>7.1977552740595696E-2</v>
      </c>
      <c r="BC36" s="156">
        <v>0.18792875130176101</v>
      </c>
      <c r="BD36" s="156">
        <v>1.4706474881064399E-2</v>
      </c>
      <c r="BE36" s="156">
        <v>5.8243716648447602E-2</v>
      </c>
      <c r="BF36" s="156">
        <v>7.87245953750315E-2</v>
      </c>
      <c r="BG36" s="156">
        <v>3.6926308700506297E-2</v>
      </c>
      <c r="BH36" s="156">
        <v>9.7829020186964197E-2</v>
      </c>
      <c r="BI36" s="156">
        <v>4.9198294039991099E-3</v>
      </c>
      <c r="BJ36" s="156">
        <v>3.8858578961778703E-2</v>
      </c>
      <c r="BK36" s="156">
        <v>5.1829849153540497E-2</v>
      </c>
      <c r="BL36" s="156">
        <v>6.5798691001821502E-3</v>
      </c>
      <c r="BM36" s="156">
        <v>2.2981026162866E-2</v>
      </c>
      <c r="BN36" s="156">
        <v>5.3860759120446904E-3</v>
      </c>
      <c r="BO36" s="159">
        <v>9.8481319994409205E-2</v>
      </c>
      <c r="BP36" s="416">
        <f t="shared" si="0"/>
        <v>1</v>
      </c>
    </row>
    <row r="37" spans="2:68" ht="14.5">
      <c r="B37" s="158" t="s">
        <v>276</v>
      </c>
      <c r="C37">
        <v>-2.0402640000000001</v>
      </c>
      <c r="D37">
        <v>-0.17723369999999999</v>
      </c>
      <c r="E37">
        <v>0.30108889999999999</v>
      </c>
      <c r="F37">
        <v>-0.15217249999999999</v>
      </c>
      <c r="G37">
        <v>6.5587800000000002E-2</v>
      </c>
      <c r="H37">
        <v>1.5286900000000001E-2</v>
      </c>
      <c r="I37">
        <v>-0.1953993</v>
      </c>
      <c r="J37">
        <v>-1.8741600000000001E-2</v>
      </c>
      <c r="K37">
        <v>-8.0915200000000007E-2</v>
      </c>
      <c r="L37">
        <v>-2.2876400000000002E-2</v>
      </c>
      <c r="M37">
        <v>-1.1140499999999999E-2</v>
      </c>
      <c r="N37">
        <v>-2.7016100000000001E-2</v>
      </c>
      <c r="O37">
        <v>1.27934E-2</v>
      </c>
      <c r="P37">
        <v>-0.2160483</v>
      </c>
      <c r="Q37">
        <v>-0.13634779999999999</v>
      </c>
      <c r="R37" s="159">
        <v>0.14850140000000001</v>
      </c>
      <c r="T37" s="305" t="s">
        <v>216</v>
      </c>
      <c r="U37" s="326">
        <v>2</v>
      </c>
      <c r="V37" s="36">
        <v>5.2914501123595505E-2</v>
      </c>
      <c r="W37" s="36">
        <v>1.3986402999999998E-2</v>
      </c>
      <c r="X37" s="36">
        <v>3.3374702999999999E-2</v>
      </c>
      <c r="Y37" s="36">
        <v>1.5862202999999995E-2</v>
      </c>
      <c r="Z37" s="36">
        <v>6.9630301098901101E-2</v>
      </c>
      <c r="AA37" s="36">
        <v>2.9028701000000001E-2</v>
      </c>
      <c r="AB37" s="36">
        <v>2.8106300000000004E-2</v>
      </c>
      <c r="AC37" s="36">
        <v>1.6217299999999997E-2</v>
      </c>
      <c r="AD37" s="36">
        <v>5.2930202040816325E-2</v>
      </c>
      <c r="AE37" s="36">
        <v>4.7306970000000025E-3</v>
      </c>
      <c r="AF37" s="36">
        <v>2.8830801999999996E-2</v>
      </c>
      <c r="AG37" s="36">
        <v>1.7898042105263159E-3</v>
      </c>
      <c r="AH37" s="36">
        <v>4.5843905050505049E-2</v>
      </c>
      <c r="AI37" s="36">
        <v>7.4987004000000006E-3</v>
      </c>
      <c r="AJ37" s="36">
        <v>2.1125104040404043E-2</v>
      </c>
      <c r="AK37" s="36">
        <v>5.1414040816326534E-3</v>
      </c>
      <c r="AL37" s="36">
        <v>1.8904297826086953E-2</v>
      </c>
      <c r="AM37" s="36">
        <v>6.0980204081632656E-4</v>
      </c>
      <c r="AN37" s="36">
        <v>7.8038041666666641E-3</v>
      </c>
      <c r="AO37" s="36">
        <v>0</v>
      </c>
      <c r="AP37" s="36">
        <v>2.3953102272727275E-2</v>
      </c>
      <c r="AQ37" s="36">
        <v>1.1836948979591852E-3</v>
      </c>
      <c r="AR37" s="36">
        <v>1.8688957894736841E-3</v>
      </c>
      <c r="AS37" s="36">
        <v>1.8017975609756112E-3</v>
      </c>
      <c r="AT37" s="36">
        <v>0</v>
      </c>
      <c r="AU37" s="36">
        <v>2.2144600000000004E-2</v>
      </c>
      <c r="AW37" s="235">
        <v>15</v>
      </c>
      <c r="AX37" t="s">
        <v>216</v>
      </c>
      <c r="AY37" s="159">
        <v>2</v>
      </c>
      <c r="AZ37" s="235">
        <v>0.233194880822582</v>
      </c>
      <c r="BA37" s="156">
        <v>5.37724196685559E-2</v>
      </c>
      <c r="BB37" s="156">
        <v>6.3110722257106899E-2</v>
      </c>
      <c r="BC37" s="156">
        <v>0.16633012276569101</v>
      </c>
      <c r="BD37" s="156">
        <v>1.7900564331588702E-2</v>
      </c>
      <c r="BE37" s="156">
        <v>4.3944714362358701E-2</v>
      </c>
      <c r="BF37" s="156">
        <v>5.2718131802726997E-2</v>
      </c>
      <c r="BG37" s="156">
        <v>3.1319762606841599E-2</v>
      </c>
      <c r="BH37" s="156">
        <v>0.104936481324215</v>
      </c>
      <c r="BI37" s="156">
        <v>1.58116580288888E-2</v>
      </c>
      <c r="BJ37" s="156">
        <v>2.9818404273513999E-2</v>
      </c>
      <c r="BK37" s="156">
        <v>3.9223912830893E-2</v>
      </c>
      <c r="BL37" s="156">
        <v>1.07389614513177E-2</v>
      </c>
      <c r="BM37" s="156">
        <v>3.9401062617922797E-2</v>
      </c>
      <c r="BN37" s="156">
        <v>1.70105213644931E-2</v>
      </c>
      <c r="BO37" s="159">
        <v>8.0767679491303104E-2</v>
      </c>
      <c r="BP37" s="416">
        <f t="shared" si="0"/>
        <v>0.99999999999999922</v>
      </c>
    </row>
    <row r="38" spans="2:68" ht="14.5">
      <c r="B38" s="158" t="s">
        <v>277</v>
      </c>
      <c r="C38">
        <v>-0.35580990000000001</v>
      </c>
      <c r="D38">
        <v>6.6614599999999996E-2</v>
      </c>
      <c r="E38">
        <v>-0.67364020000000002</v>
      </c>
      <c r="F38">
        <v>0.95872690000000005</v>
      </c>
      <c r="G38">
        <v>-2.5365100000000002E-2</v>
      </c>
      <c r="H38">
        <v>-1.8934200000000002E-2</v>
      </c>
      <c r="I38">
        <v>2.28043E-2</v>
      </c>
      <c r="J38">
        <v>-6.5745999999999999E-3</v>
      </c>
      <c r="K38">
        <v>0.1010412</v>
      </c>
      <c r="L38">
        <v>-3.0991999999999999E-3</v>
      </c>
      <c r="M38">
        <v>-1.35218E-2</v>
      </c>
      <c r="N38">
        <v>-6.90746E-2</v>
      </c>
      <c r="O38">
        <v>-4.7178999999999997E-3</v>
      </c>
      <c r="P38">
        <v>0.14607629999999999</v>
      </c>
      <c r="Q38">
        <v>-4.1641600000000001E-2</v>
      </c>
      <c r="R38" s="159">
        <v>0.4611924</v>
      </c>
      <c r="T38" s="305" t="s">
        <v>217</v>
      </c>
      <c r="U38" s="326">
        <v>2</v>
      </c>
      <c r="V38" s="36">
        <v>1.4314401123595501E-2</v>
      </c>
      <c r="W38" s="36">
        <v>6.8786029999999988E-3</v>
      </c>
      <c r="X38" s="36">
        <v>2.5518402999999995E-2</v>
      </c>
      <c r="Y38" s="36">
        <v>1.2016902999999995E-2</v>
      </c>
      <c r="Z38" s="36">
        <v>1.47289010989011E-2</v>
      </c>
      <c r="AA38" s="36">
        <v>2.0110100999999998E-2</v>
      </c>
      <c r="AB38" s="36">
        <v>1.3635200000000002E-2</v>
      </c>
      <c r="AC38" s="36">
        <v>1.5124599999999995E-2</v>
      </c>
      <c r="AD38" s="36">
        <v>2.281160204081633E-2</v>
      </c>
      <c r="AE38" s="36">
        <v>3.3919970000000029E-3</v>
      </c>
      <c r="AF38" s="36">
        <v>2.1055501999999997E-2</v>
      </c>
      <c r="AG38" s="36">
        <v>1.3354042105263159E-3</v>
      </c>
      <c r="AH38" s="36">
        <v>2.1730605050505045E-2</v>
      </c>
      <c r="AI38" s="36">
        <v>9.1817003999999994E-3</v>
      </c>
      <c r="AJ38" s="36">
        <v>1.2273104040404041E-2</v>
      </c>
      <c r="AK38" s="36">
        <v>4.9248040816326534E-3</v>
      </c>
      <c r="AL38" s="36">
        <v>1.6300397826086954E-2</v>
      </c>
      <c r="AM38" s="36">
        <v>2.2237020408163266E-3</v>
      </c>
      <c r="AN38" s="36">
        <v>6.6220041666666648E-3</v>
      </c>
      <c r="AO38" s="36">
        <v>7.483962025316461E-4</v>
      </c>
      <c r="AP38" s="36">
        <v>2.7559022727272728E-3</v>
      </c>
      <c r="AQ38" s="36">
        <v>2.6969948979591856E-3</v>
      </c>
      <c r="AR38" s="36">
        <v>1.5945395789473682E-2</v>
      </c>
      <c r="AS38" s="36">
        <v>0</v>
      </c>
      <c r="AT38" s="36">
        <v>0</v>
      </c>
      <c r="AU38" s="36">
        <v>1.7825600000000004E-2</v>
      </c>
      <c r="AW38" s="235">
        <v>16</v>
      </c>
      <c r="AX38" t="s">
        <v>217</v>
      </c>
      <c r="AY38" s="159">
        <v>2</v>
      </c>
      <c r="AZ38" s="235">
        <v>0.198633613208717</v>
      </c>
      <c r="BA38" s="156">
        <v>5.4420246542119202E-2</v>
      </c>
      <c r="BB38" s="156">
        <v>6.3129538726143603E-2</v>
      </c>
      <c r="BC38" s="156">
        <v>0.17583662006711001</v>
      </c>
      <c r="BD38" s="156">
        <v>2.2812763692618299E-2</v>
      </c>
      <c r="BE38" s="156">
        <v>5.1969497461738699E-2</v>
      </c>
      <c r="BF38" s="156">
        <v>4.7645996689227602E-2</v>
      </c>
      <c r="BG38" s="156">
        <v>3.3431065550074898E-2</v>
      </c>
      <c r="BH38" s="156">
        <v>9.8102848833983694E-2</v>
      </c>
      <c r="BI38" s="156">
        <v>1.0400793849072699E-2</v>
      </c>
      <c r="BJ38" s="156">
        <v>3.0027490340659501E-2</v>
      </c>
      <c r="BK38" s="156">
        <v>4.8544428891265097E-2</v>
      </c>
      <c r="BL38" s="156">
        <v>1.2694430793436901E-2</v>
      </c>
      <c r="BM38" s="156">
        <v>5.61145873578347E-2</v>
      </c>
      <c r="BN38" s="156">
        <v>8.7358957088662405E-3</v>
      </c>
      <c r="BO38" s="159">
        <v>8.7500182287132106E-2</v>
      </c>
      <c r="BP38" s="416">
        <f t="shared" si="0"/>
        <v>1.0000000000000004</v>
      </c>
    </row>
    <row r="39" spans="2:68" ht="14.5">
      <c r="B39" s="158" t="s">
        <v>278</v>
      </c>
      <c r="C39">
        <v>1.035471</v>
      </c>
      <c r="D39">
        <v>2.2238500000000001E-2</v>
      </c>
      <c r="E39">
        <v>0.45282220000000001</v>
      </c>
      <c r="F39">
        <v>0.64655850000000004</v>
      </c>
      <c r="G39">
        <v>-0.12754450000000001</v>
      </c>
      <c r="H39">
        <v>3.09019E-2</v>
      </c>
      <c r="I39">
        <v>0.37132969999999998</v>
      </c>
      <c r="J39">
        <v>0.1793033</v>
      </c>
      <c r="K39">
        <v>0.20062930000000001</v>
      </c>
      <c r="L39">
        <v>6.1717999999999999E-3</v>
      </c>
      <c r="M39">
        <v>-3.4175400000000002E-2</v>
      </c>
      <c r="N39">
        <v>1.33426E-2</v>
      </c>
      <c r="O39">
        <v>2.95827E-2</v>
      </c>
      <c r="P39">
        <v>0.29992990000000003</v>
      </c>
      <c r="Q39">
        <v>-4.53818E-2</v>
      </c>
      <c r="R39" s="159">
        <v>5.7101199999999998E-2</v>
      </c>
      <c r="T39" s="305" t="s">
        <v>225</v>
      </c>
      <c r="U39" s="326">
        <v>2</v>
      </c>
      <c r="V39" s="36">
        <v>5.4152011235955016E-3</v>
      </c>
      <c r="W39" s="36">
        <v>3.2213029999999983E-3</v>
      </c>
      <c r="X39" s="36">
        <v>2.582302999999995E-3</v>
      </c>
      <c r="Y39" s="36">
        <v>3.0974029999999951E-3</v>
      </c>
      <c r="Z39" s="36">
        <v>1.3877010989010994E-3</v>
      </c>
      <c r="AA39" s="36">
        <v>2.2583009999999982E-3</v>
      </c>
      <c r="AB39" s="36">
        <v>2.5868000000000024E-3</v>
      </c>
      <c r="AC39" s="36">
        <v>1.6665999999999957E-3</v>
      </c>
      <c r="AD39" s="36">
        <v>4.6972020408163288E-3</v>
      </c>
      <c r="AE39" s="36">
        <v>4.8889700000000267E-4</v>
      </c>
      <c r="AF39" s="36">
        <v>3.5666019999999955E-3</v>
      </c>
      <c r="AG39" s="36">
        <v>0</v>
      </c>
      <c r="AH39" s="36">
        <v>2.3963050505050468E-3</v>
      </c>
      <c r="AI39" s="36">
        <v>1.7298004000000011E-3</v>
      </c>
      <c r="AJ39" s="36">
        <v>1.9156040404040417E-3</v>
      </c>
      <c r="AK39" s="36">
        <v>0</v>
      </c>
      <c r="AL39" s="36">
        <v>8.9139782608695279E-4</v>
      </c>
      <c r="AM39" s="36">
        <v>2.8450204081632656E-4</v>
      </c>
      <c r="AN39" s="36">
        <v>0</v>
      </c>
      <c r="AO39" s="36">
        <v>0</v>
      </c>
      <c r="AP39" s="36">
        <v>0</v>
      </c>
      <c r="AQ39" s="36">
        <v>3.139948979591852E-4</v>
      </c>
      <c r="AR39" s="36">
        <v>1.3466957894736841E-3</v>
      </c>
      <c r="AS39" s="36">
        <v>1.1038975609756112E-3</v>
      </c>
      <c r="AT39" s="36">
        <v>0</v>
      </c>
      <c r="AU39" s="36">
        <v>2.0783000000000034E-3</v>
      </c>
      <c r="AW39" s="235">
        <v>17</v>
      </c>
      <c r="AX39" t="s">
        <v>225</v>
      </c>
      <c r="AY39" s="159">
        <v>2</v>
      </c>
      <c r="AZ39" s="235">
        <v>0.20457947688802999</v>
      </c>
      <c r="BA39" s="156">
        <v>5.4135806471219801E-2</v>
      </c>
      <c r="BB39" s="156">
        <v>6.8231803822288495E-2</v>
      </c>
      <c r="BC39" s="156">
        <v>0.13393167678116599</v>
      </c>
      <c r="BD39" s="156">
        <v>1.41936574898696E-2</v>
      </c>
      <c r="BE39" s="156">
        <v>6.3127437818363497E-2</v>
      </c>
      <c r="BF39" s="156">
        <v>5.2779723645925598E-2</v>
      </c>
      <c r="BG39" s="156">
        <v>3.6107224077814797E-2</v>
      </c>
      <c r="BH39" s="156">
        <v>0.105301533831276</v>
      </c>
      <c r="BI39" s="156">
        <v>1.5069613063141999E-2</v>
      </c>
      <c r="BJ39" s="156">
        <v>2.71327089482419E-2</v>
      </c>
      <c r="BK39" s="156">
        <v>5.7543470755623598E-2</v>
      </c>
      <c r="BL39" s="156">
        <v>1.26697831081611E-2</v>
      </c>
      <c r="BM39" s="156">
        <v>4.7083250501523899E-2</v>
      </c>
      <c r="BN39" s="156">
        <v>1.5717908196622301E-2</v>
      </c>
      <c r="BO39" s="159">
        <v>9.2394924600731398E-2</v>
      </c>
      <c r="BP39" s="416">
        <f t="shared" si="0"/>
        <v>1</v>
      </c>
    </row>
    <row r="40" spans="2:68" ht="14.5">
      <c r="B40" s="158" t="s">
        <v>279</v>
      </c>
      <c r="C40">
        <v>-0.74182619999999999</v>
      </c>
      <c r="D40">
        <v>-6.1726299999999998E-2</v>
      </c>
      <c r="E40">
        <v>-2.4012599999999999E-2</v>
      </c>
      <c r="F40">
        <v>-0.6922912</v>
      </c>
      <c r="G40">
        <v>-1.16439E-2</v>
      </c>
      <c r="H40">
        <v>2.7469500000000001E-2</v>
      </c>
      <c r="I40">
        <v>0.1148684</v>
      </c>
      <c r="J40">
        <v>9.6701099999999998E-2</v>
      </c>
      <c r="K40">
        <v>-0.21179500000000001</v>
      </c>
      <c r="L40">
        <v>-4.0457899999999998E-2</v>
      </c>
      <c r="M40">
        <v>6.0147699999999998E-2</v>
      </c>
      <c r="N40">
        <v>8.9750700000000003E-2</v>
      </c>
      <c r="O40">
        <v>-1.7403399999999999E-2</v>
      </c>
      <c r="P40">
        <v>0.1268021</v>
      </c>
      <c r="Q40">
        <v>-2.0436200000000002E-2</v>
      </c>
      <c r="R40" s="159">
        <v>-0.28421350000000001</v>
      </c>
      <c r="T40" s="305" t="s">
        <v>219</v>
      </c>
      <c r="U40" s="326">
        <v>2</v>
      </c>
      <c r="V40" s="36">
        <v>1.1850101123595502E-2</v>
      </c>
      <c r="W40" s="36">
        <v>8.611002999999999E-3</v>
      </c>
      <c r="X40" s="36">
        <v>7.5583029999999945E-3</v>
      </c>
      <c r="Y40" s="36">
        <v>7.5950029999999951E-3</v>
      </c>
      <c r="Z40" s="36">
        <v>1.10391010989011E-2</v>
      </c>
      <c r="AA40" s="36">
        <v>7.695300999999999E-3</v>
      </c>
      <c r="AB40" s="36">
        <v>6.895100000000003E-3</v>
      </c>
      <c r="AC40" s="36">
        <v>6.4210999999999956E-3</v>
      </c>
      <c r="AD40" s="36">
        <v>1.3492702040816328E-2</v>
      </c>
      <c r="AE40" s="36">
        <v>2.5734970000000027E-3</v>
      </c>
      <c r="AF40" s="36">
        <v>1.4994401999999995E-2</v>
      </c>
      <c r="AG40" s="36">
        <v>9.2304210526315906E-5</v>
      </c>
      <c r="AH40" s="36">
        <v>1.5604605050505047E-2</v>
      </c>
      <c r="AI40" s="36">
        <v>5.1332004000000011E-3</v>
      </c>
      <c r="AJ40" s="36">
        <v>6.9397040404040418E-3</v>
      </c>
      <c r="AK40" s="36">
        <v>2.7903040816326533E-3</v>
      </c>
      <c r="AL40" s="36">
        <v>1.6551097826086953E-2</v>
      </c>
      <c r="AM40" s="36">
        <v>3.282020408163266E-4</v>
      </c>
      <c r="AN40" s="36">
        <v>6.7455041666666642E-3</v>
      </c>
      <c r="AO40" s="36">
        <v>0</v>
      </c>
      <c r="AP40" s="36">
        <v>5.3126022727272727E-3</v>
      </c>
      <c r="AQ40" s="36">
        <v>5.8759489795918518E-4</v>
      </c>
      <c r="AR40" s="36">
        <v>6.1869578947368407E-4</v>
      </c>
      <c r="AS40" s="36">
        <v>1.7713975609756111E-3</v>
      </c>
      <c r="AT40" s="36">
        <v>0</v>
      </c>
      <c r="AU40" s="36">
        <v>6.5014000000000035E-3</v>
      </c>
      <c r="AW40" s="235">
        <v>18</v>
      </c>
      <c r="AX40" t="s">
        <v>219</v>
      </c>
      <c r="AY40" s="159">
        <v>2</v>
      </c>
      <c r="AZ40" s="235">
        <v>0.21271267702754099</v>
      </c>
      <c r="BA40" s="156">
        <v>5.7023947544171803E-2</v>
      </c>
      <c r="BB40" s="156">
        <v>6.1508364745445701E-2</v>
      </c>
      <c r="BC40" s="156">
        <v>0.16653988187100499</v>
      </c>
      <c r="BD40" s="156">
        <v>1.5644813728175101E-2</v>
      </c>
      <c r="BE40" s="156">
        <v>6.8714387998196305E-2</v>
      </c>
      <c r="BF40" s="156">
        <v>5.7281369282614999E-2</v>
      </c>
      <c r="BG40" s="156">
        <v>3.4440983776023497E-2</v>
      </c>
      <c r="BH40" s="156">
        <v>8.9721719148622495E-2</v>
      </c>
      <c r="BI40" s="156">
        <v>1.35785495871433E-2</v>
      </c>
      <c r="BJ40" s="156">
        <v>3.3283048737016402E-2</v>
      </c>
      <c r="BK40" s="156">
        <v>5.3777020227164199E-2</v>
      </c>
      <c r="BL40" s="156">
        <v>6.2826799583484E-3</v>
      </c>
      <c r="BM40" s="156">
        <v>4.0365678567019003E-2</v>
      </c>
      <c r="BN40" s="156">
        <v>8.0077791959488505E-3</v>
      </c>
      <c r="BO40" s="159">
        <v>8.1117098605563404E-2</v>
      </c>
      <c r="BP40" s="416">
        <f t="shared" si="0"/>
        <v>0.99999999999999933</v>
      </c>
    </row>
    <row r="41" spans="2:68" ht="14.5">
      <c r="B41" s="158" t="s">
        <v>280</v>
      </c>
      <c r="C41">
        <v>7.2170000000000003E-4</v>
      </c>
      <c r="D41">
        <v>6.6392300000000001E-2</v>
      </c>
      <c r="E41">
        <v>0.79212289999999996</v>
      </c>
      <c r="F41">
        <v>1.4755900000000001E-2</v>
      </c>
      <c r="G41">
        <v>-3.4678199999999999E-2</v>
      </c>
      <c r="H41">
        <v>-1.9622799999999999E-2</v>
      </c>
      <c r="I41">
        <v>0.41203909999999999</v>
      </c>
      <c r="J41">
        <v>2.15096E-2</v>
      </c>
      <c r="K41">
        <v>0.1557518</v>
      </c>
      <c r="L41">
        <v>5.8433000000000001E-3</v>
      </c>
      <c r="M41">
        <v>-2.03254E-2</v>
      </c>
      <c r="N41">
        <v>-5.6737799999999998E-2</v>
      </c>
      <c r="O41">
        <v>-7.7445999999999999E-3</v>
      </c>
      <c r="P41">
        <v>-0.32239079999999998</v>
      </c>
      <c r="Q41">
        <v>-8.7906499999999999E-2</v>
      </c>
      <c r="R41" s="159">
        <v>0.3240461</v>
      </c>
      <c r="T41" s="305" t="s">
        <v>220</v>
      </c>
      <c r="U41" s="326">
        <v>2</v>
      </c>
      <c r="V41" s="36">
        <v>4.4091301123595501E-2</v>
      </c>
      <c r="W41" s="36">
        <v>9.0589029999999984E-3</v>
      </c>
      <c r="X41" s="36">
        <v>3.6644503000000002E-2</v>
      </c>
      <c r="Y41" s="36">
        <v>1.6886402999999994E-2</v>
      </c>
      <c r="Z41" s="36">
        <v>4.2712201098901101E-2</v>
      </c>
      <c r="AA41" s="36">
        <v>2.8052700999999999E-2</v>
      </c>
      <c r="AB41" s="36">
        <v>1.9657000000000004E-2</v>
      </c>
      <c r="AC41" s="36">
        <v>1.6358899999999996E-2</v>
      </c>
      <c r="AD41" s="36">
        <v>4.4244202040816326E-2</v>
      </c>
      <c r="AE41" s="36">
        <v>4.1500970000000028E-3</v>
      </c>
      <c r="AF41" s="36">
        <v>1.7680801999999995E-2</v>
      </c>
      <c r="AG41" s="36">
        <v>1.7609042105263158E-3</v>
      </c>
      <c r="AH41" s="36">
        <v>2.7180805050505047E-2</v>
      </c>
      <c r="AI41" s="36">
        <v>5.8962004000000009E-3</v>
      </c>
      <c r="AJ41" s="36">
        <v>5.949304040404042E-3</v>
      </c>
      <c r="AK41" s="36">
        <v>1.2505040816326533E-3</v>
      </c>
      <c r="AL41" s="36">
        <v>1.6674997826086953E-2</v>
      </c>
      <c r="AM41" s="36">
        <v>1.4982020408163268E-3</v>
      </c>
      <c r="AN41" s="36">
        <v>9.6504041666666644E-3</v>
      </c>
      <c r="AO41" s="36">
        <v>0</v>
      </c>
      <c r="AP41" s="36">
        <v>1.1904202272727272E-2</v>
      </c>
      <c r="AQ41" s="36">
        <v>1.4364948979591853E-3</v>
      </c>
      <c r="AR41" s="36">
        <v>1.1601595789473684E-2</v>
      </c>
      <c r="AS41" s="36">
        <v>9.8609756097561103E-4</v>
      </c>
      <c r="AT41" s="36">
        <v>0</v>
      </c>
      <c r="AU41" s="36">
        <v>2.4325600000000003E-2</v>
      </c>
      <c r="AW41" s="235">
        <v>19</v>
      </c>
      <c r="AX41" t="s">
        <v>220</v>
      </c>
      <c r="AY41" s="159">
        <v>2</v>
      </c>
      <c r="AZ41" s="235">
        <v>0.207224936074482</v>
      </c>
      <c r="BA41" s="156">
        <v>6.23518148112812E-2</v>
      </c>
      <c r="BB41" s="156">
        <v>5.7269263327320102E-2</v>
      </c>
      <c r="BC41" s="156">
        <v>0.17491508346679899</v>
      </c>
      <c r="BD41" s="156">
        <v>2.04518880130393E-2</v>
      </c>
      <c r="BE41" s="156">
        <v>6.6594708960045504E-2</v>
      </c>
      <c r="BF41" s="156">
        <v>5.09101810188438E-2</v>
      </c>
      <c r="BG41" s="156">
        <v>2.9233029950356201E-2</v>
      </c>
      <c r="BH41" s="156">
        <v>0.100362018689038</v>
      </c>
      <c r="BI41" s="156">
        <v>8.7112541436124204E-3</v>
      </c>
      <c r="BJ41" s="156">
        <v>3.0294260072280501E-2</v>
      </c>
      <c r="BK41" s="156">
        <v>3.4640246961556501E-2</v>
      </c>
      <c r="BL41" s="156">
        <v>6.89446118814422E-3</v>
      </c>
      <c r="BM41" s="156">
        <v>4.9516919427252302E-2</v>
      </c>
      <c r="BN41" s="156">
        <v>9.6580221460355106E-3</v>
      </c>
      <c r="BO41" s="159">
        <v>9.0971911749914203E-2</v>
      </c>
      <c r="BP41" s="416">
        <f t="shared" si="0"/>
        <v>1.0000000000000009</v>
      </c>
    </row>
    <row r="42" spans="2:68" ht="14.5">
      <c r="B42" s="160" t="s">
        <v>281</v>
      </c>
      <c r="C42" s="237">
        <v>1.029145</v>
      </c>
      <c r="D42" s="237">
        <v>-0.16045980000000001</v>
      </c>
      <c r="E42" s="237">
        <v>-7.7328099999999997E-2</v>
      </c>
      <c r="F42" s="237">
        <v>-0.16844010000000001</v>
      </c>
      <c r="G42" s="237">
        <v>3.2138899999999998E-2</v>
      </c>
      <c r="H42" s="237">
        <v>3.8415400000000002E-2</v>
      </c>
      <c r="I42" s="237">
        <v>0.2430793</v>
      </c>
      <c r="J42" s="237">
        <v>0.1019935</v>
      </c>
      <c r="K42" s="237">
        <v>0.1765726</v>
      </c>
      <c r="L42" s="237">
        <v>-3.6476700000000001E-2</v>
      </c>
      <c r="M42" s="237">
        <v>5.0679700000000001E-2</v>
      </c>
      <c r="N42" s="237">
        <v>0.1310115</v>
      </c>
      <c r="O42" s="237">
        <v>-4.9690000000000003E-3</v>
      </c>
      <c r="P42" s="237">
        <v>1.7287E-2</v>
      </c>
      <c r="Q42" s="237">
        <v>-0.19892570000000001</v>
      </c>
      <c r="R42" s="161">
        <v>-0.23857719999999999</v>
      </c>
      <c r="T42" s="307" t="s">
        <v>221</v>
      </c>
      <c r="U42" s="327">
        <v>2</v>
      </c>
      <c r="V42" s="36">
        <v>1.0709901123595501E-2</v>
      </c>
      <c r="W42" s="36">
        <v>6.604002999999998E-3</v>
      </c>
      <c r="X42" s="36">
        <v>8.2943029999999942E-3</v>
      </c>
      <c r="Y42" s="36">
        <v>8.2163029999999942E-3</v>
      </c>
      <c r="Z42" s="36">
        <v>8.2157010989010997E-3</v>
      </c>
      <c r="AA42" s="36">
        <v>8.0885009999999979E-3</v>
      </c>
      <c r="AB42" s="36">
        <v>3.4434000000000023E-3</v>
      </c>
      <c r="AC42" s="36">
        <v>7.8979999999999953E-3</v>
      </c>
      <c r="AD42" s="36">
        <v>9.6159020408163286E-3</v>
      </c>
      <c r="AE42" s="36">
        <v>1.9103970000000027E-3</v>
      </c>
      <c r="AF42" s="36">
        <v>7.4561019999999957E-3</v>
      </c>
      <c r="AG42" s="36">
        <v>2.6114042105263159E-3</v>
      </c>
      <c r="AH42" s="36">
        <v>6.6885050505050463E-3</v>
      </c>
      <c r="AI42" s="36">
        <v>2.835700400000001E-3</v>
      </c>
      <c r="AJ42" s="36">
        <v>8.089104040404041E-3</v>
      </c>
      <c r="AK42" s="36">
        <v>1.3715040816326533E-3</v>
      </c>
      <c r="AL42" s="36">
        <v>3.881497826086953E-3</v>
      </c>
      <c r="AM42" s="36">
        <v>7.5780204081632658E-4</v>
      </c>
      <c r="AN42" s="36">
        <v>4.2649041666666648E-3</v>
      </c>
      <c r="AO42" s="36">
        <v>2.0059962025316463E-3</v>
      </c>
      <c r="AP42" s="36">
        <v>5.8553022727272728E-3</v>
      </c>
      <c r="AQ42" s="36">
        <v>7.152948979591852E-4</v>
      </c>
      <c r="AR42" s="36">
        <v>1.1576095789473684E-2</v>
      </c>
      <c r="AS42" s="36">
        <v>0</v>
      </c>
      <c r="AT42" s="36">
        <v>0</v>
      </c>
      <c r="AU42" s="36">
        <v>5.6143000000000035E-3</v>
      </c>
      <c r="AW42" s="236">
        <v>20</v>
      </c>
      <c r="AX42" s="237" t="s">
        <v>221</v>
      </c>
      <c r="AY42" s="161">
        <v>2</v>
      </c>
      <c r="AZ42" s="236">
        <v>0.18454381410499099</v>
      </c>
      <c r="BA42" s="237">
        <v>5.81350679274635E-2</v>
      </c>
      <c r="BB42" s="237">
        <v>6.0396047294495402E-2</v>
      </c>
      <c r="BC42" s="237">
        <v>0.17156386616448099</v>
      </c>
      <c r="BD42" s="237">
        <v>1.6614253282479299E-2</v>
      </c>
      <c r="BE42" s="237">
        <v>4.9808130427710998E-2</v>
      </c>
      <c r="BF42" s="237">
        <v>4.7437087661943801E-2</v>
      </c>
      <c r="BG42" s="237">
        <v>3.2573699665012397E-2</v>
      </c>
      <c r="BH42" s="237">
        <v>0.11222977287802401</v>
      </c>
      <c r="BI42" s="237">
        <v>9.2868965875320501E-3</v>
      </c>
      <c r="BJ42" s="237">
        <v>2.9943021251405699E-2</v>
      </c>
      <c r="BK42" s="237">
        <v>5.0129503884961298E-2</v>
      </c>
      <c r="BL42" s="237">
        <v>5.3236989165502402E-3</v>
      </c>
      <c r="BM42" s="237">
        <v>5.7188532837348802E-2</v>
      </c>
      <c r="BN42" s="237">
        <v>9.8892596645364598E-3</v>
      </c>
      <c r="BO42" s="161">
        <v>0.10493734745106401</v>
      </c>
      <c r="BP42" s="416">
        <f t="shared" si="0"/>
        <v>1</v>
      </c>
    </row>
    <row r="43" spans="2:68" ht="14.5">
      <c r="B43" s="238" t="s">
        <v>282</v>
      </c>
      <c r="C43" s="42">
        <v>-1.0535490000000001</v>
      </c>
      <c r="D43" s="42">
        <v>-1.10375E-2</v>
      </c>
      <c r="E43" s="42">
        <v>7.3455400000000004E-2</v>
      </c>
      <c r="F43" s="42">
        <v>-3.5086089999999999</v>
      </c>
      <c r="G43" s="42">
        <v>-6.6359100000000004E-2</v>
      </c>
      <c r="H43" s="42">
        <v>2.24157E-2</v>
      </c>
      <c r="I43" s="42">
        <v>0.70000209999999996</v>
      </c>
      <c r="J43" s="42">
        <v>1.45655E-2</v>
      </c>
      <c r="K43" s="42">
        <v>-3.9037099999999998E-2</v>
      </c>
      <c r="L43" s="42">
        <v>-4.5510999999999998E-3</v>
      </c>
      <c r="M43" s="42">
        <v>5.8712E-3</v>
      </c>
      <c r="N43" s="42">
        <v>0.1106114</v>
      </c>
      <c r="O43" s="42">
        <v>-1.11112E-2</v>
      </c>
      <c r="P43" s="42">
        <v>0.18664610000000001</v>
      </c>
      <c r="Q43">
        <v>-4.44096E-2</v>
      </c>
      <c r="R43" s="159">
        <v>7.2759099999999993E-2</v>
      </c>
      <c r="T43" s="305" t="s">
        <v>204</v>
      </c>
      <c r="U43" s="326">
        <v>3</v>
      </c>
      <c r="V43" s="36">
        <v>5.9588011235955016E-3</v>
      </c>
      <c r="W43" s="36">
        <v>2.3913902999999997E-2</v>
      </c>
      <c r="X43" s="36">
        <v>9.6585029999999954E-3</v>
      </c>
      <c r="Y43" s="36">
        <v>2.0852302999999996E-2</v>
      </c>
      <c r="Z43" s="36">
        <v>1.5595010989010994E-3</v>
      </c>
      <c r="AA43" s="36">
        <v>1.8084700999999998E-2</v>
      </c>
      <c r="AB43" s="36">
        <v>9.4698000000000022E-3</v>
      </c>
      <c r="AC43" s="36">
        <v>2.1244099999999995E-2</v>
      </c>
      <c r="AD43" s="36">
        <v>6.9145020408163281E-3</v>
      </c>
      <c r="AE43" s="36">
        <v>1.7916597000000003E-2</v>
      </c>
      <c r="AF43" s="36">
        <v>1.1609301999999995E-2</v>
      </c>
      <c r="AG43" s="36">
        <v>8.741304210526317E-3</v>
      </c>
      <c r="AH43" s="36">
        <v>6.2659050505050459E-3</v>
      </c>
      <c r="AI43" s="36">
        <v>1.6025100400000002E-2</v>
      </c>
      <c r="AJ43" s="36">
        <v>1.7700204040404042E-2</v>
      </c>
      <c r="AK43" s="36">
        <v>1.2993204081632653E-2</v>
      </c>
      <c r="AL43" s="36">
        <v>6.3653978260869533E-3</v>
      </c>
      <c r="AM43" s="36">
        <v>9.6019020408163267E-3</v>
      </c>
      <c r="AN43" s="36">
        <v>1.0976604166666664E-2</v>
      </c>
      <c r="AO43" s="36">
        <v>2.441962025316462E-4</v>
      </c>
      <c r="AP43" s="36">
        <v>7.7078022727272728E-3</v>
      </c>
      <c r="AQ43" s="36">
        <v>8.9903948979591867E-3</v>
      </c>
      <c r="AR43" s="36">
        <v>1.6447295789473685E-2</v>
      </c>
      <c r="AS43" s="36">
        <v>1.2504975609756112E-3</v>
      </c>
      <c r="AT43" s="36">
        <v>0</v>
      </c>
      <c r="AU43" s="36">
        <v>1.1346900000000004E-2</v>
      </c>
      <c r="AW43" s="235">
        <v>1</v>
      </c>
      <c r="AX43" t="s">
        <v>204</v>
      </c>
      <c r="AY43" s="159">
        <v>3</v>
      </c>
      <c r="AZ43" s="233">
        <v>0.156884521813277</v>
      </c>
      <c r="BA43" s="42">
        <v>4.1490006383816599E-2</v>
      </c>
      <c r="BB43" s="42">
        <v>6.3048426919202497E-2</v>
      </c>
      <c r="BC43" s="42">
        <v>0.14778350885578001</v>
      </c>
      <c r="BD43" s="42">
        <v>2.7296430144947401E-2</v>
      </c>
      <c r="BE43" s="42">
        <v>3.8770187224765801E-2</v>
      </c>
      <c r="BF43" s="42">
        <v>6.0627302699916001E-2</v>
      </c>
      <c r="BG43" s="42">
        <v>3.00019438844603E-2</v>
      </c>
      <c r="BH43" s="42">
        <v>0.10422417878148001</v>
      </c>
      <c r="BI43" s="42">
        <v>1.31790503446112E-2</v>
      </c>
      <c r="BJ43" s="42">
        <v>3.2796288192198798E-2</v>
      </c>
      <c r="BK43" s="42">
        <v>8.4085655777134505E-2</v>
      </c>
      <c r="BL43" s="42">
        <v>1.01473041203717E-2</v>
      </c>
      <c r="BM43" s="42">
        <v>8.4219187411154903E-2</v>
      </c>
      <c r="BN43" s="42">
        <v>1.07358269465938E-2</v>
      </c>
      <c r="BO43" s="234">
        <v>9.4710180500289107E-2</v>
      </c>
      <c r="BP43" s="416">
        <f t="shared" si="0"/>
        <v>0.99999999999999967</v>
      </c>
    </row>
    <row r="44" spans="2:68" ht="14.5">
      <c r="B44" s="158" t="s">
        <v>283</v>
      </c>
      <c r="C44">
        <v>-0.5352654</v>
      </c>
      <c r="D44">
        <v>0.1474356</v>
      </c>
      <c r="E44">
        <v>0.2465243</v>
      </c>
      <c r="F44">
        <v>-0.30177179999999998</v>
      </c>
      <c r="G44">
        <v>5.0077000000000003E-3</v>
      </c>
      <c r="H44">
        <v>-1.0355E-2</v>
      </c>
      <c r="I44">
        <v>-3.9005999999999999E-2</v>
      </c>
      <c r="J44">
        <v>0.1306215</v>
      </c>
      <c r="K44">
        <v>0.13425390000000001</v>
      </c>
      <c r="L44">
        <v>3.8747E-3</v>
      </c>
      <c r="M44">
        <v>3.8600000000000003E-5</v>
      </c>
      <c r="N44">
        <v>8.2454899999999998E-2</v>
      </c>
      <c r="O44">
        <v>1.49176E-2</v>
      </c>
      <c r="P44">
        <v>-2.8899500000000002E-2</v>
      </c>
      <c r="Q44">
        <v>0.14403969999999999</v>
      </c>
      <c r="R44" s="159">
        <v>1.3399899999999999E-2</v>
      </c>
      <c r="T44" s="305" t="s">
        <v>223</v>
      </c>
      <c r="U44" s="326">
        <v>3</v>
      </c>
      <c r="V44" s="36">
        <v>0</v>
      </c>
      <c r="W44" s="36">
        <v>4.498029999999984E-4</v>
      </c>
      <c r="X44" s="36">
        <v>1.978029999999951E-4</v>
      </c>
      <c r="Y44" s="36">
        <v>5.6740299999999508E-4</v>
      </c>
      <c r="Z44" s="36">
        <v>1.9700109890109953E-4</v>
      </c>
      <c r="AA44" s="36">
        <v>8.3060099999999841E-4</v>
      </c>
      <c r="AB44" s="36">
        <v>0</v>
      </c>
      <c r="AC44" s="36">
        <v>6.3889999999999553E-4</v>
      </c>
      <c r="AD44" s="36">
        <v>0</v>
      </c>
      <c r="AE44" s="36">
        <v>5.8179700000000271E-4</v>
      </c>
      <c r="AF44" s="36">
        <v>1.2140199999999561E-4</v>
      </c>
      <c r="AG44" s="36">
        <v>0</v>
      </c>
      <c r="AH44" s="36">
        <v>3.7260505050504673E-4</v>
      </c>
      <c r="AI44" s="36">
        <v>2.654004000000009E-4</v>
      </c>
      <c r="AJ44" s="36">
        <v>0</v>
      </c>
      <c r="AK44" s="36">
        <v>4.7604081632653179E-5</v>
      </c>
      <c r="AL44" s="36">
        <v>0</v>
      </c>
      <c r="AM44" s="36">
        <v>4.5840204081632656E-4</v>
      </c>
      <c r="AN44" s="36">
        <v>1.2550416666666446E-4</v>
      </c>
      <c r="AO44" s="36">
        <v>0</v>
      </c>
      <c r="AP44" s="36">
        <v>0</v>
      </c>
      <c r="AQ44" s="36">
        <v>1.5219489795918523E-4</v>
      </c>
      <c r="AR44" s="36">
        <v>0</v>
      </c>
      <c r="AS44" s="36">
        <v>2.1589756097561104E-4</v>
      </c>
      <c r="AT44" s="36">
        <v>0</v>
      </c>
      <c r="AU44" s="36">
        <v>4.9080000000000336E-4</v>
      </c>
      <c r="AW44" s="235">
        <v>2</v>
      </c>
      <c r="AX44" t="s">
        <v>223</v>
      </c>
      <c r="AY44" s="159">
        <v>3</v>
      </c>
      <c r="AZ44" s="235">
        <v>0.102842326810481</v>
      </c>
      <c r="BA44" s="156">
        <v>2.6260095996775201E-2</v>
      </c>
      <c r="BB44" s="156">
        <v>4.1590968866709897E-2</v>
      </c>
      <c r="BC44" s="156">
        <v>0.18700380683186499</v>
      </c>
      <c r="BD44" s="156">
        <v>2.4729930991250901E-2</v>
      </c>
      <c r="BE44" s="156">
        <v>4.19153133455673E-2</v>
      </c>
      <c r="BF44" s="156">
        <v>5.8424171314954303E-2</v>
      </c>
      <c r="BG44" s="156">
        <v>4.22460411535487E-2</v>
      </c>
      <c r="BH44" s="156">
        <v>0.108784531823179</v>
      </c>
      <c r="BI44" s="156">
        <v>1.08217208791323E-2</v>
      </c>
      <c r="BJ44" s="156">
        <v>2.72738291653793E-2</v>
      </c>
      <c r="BK44" s="156">
        <v>5.9075531500365902E-2</v>
      </c>
      <c r="BL44" s="156">
        <v>8.4594887260583708E-3</v>
      </c>
      <c r="BM44" s="156">
        <v>0.16870506582654099</v>
      </c>
      <c r="BN44" s="156">
        <v>1.11899760362356E-2</v>
      </c>
      <c r="BO44" s="159">
        <v>8.0677200731956306E-2</v>
      </c>
      <c r="BP44" s="416">
        <f t="shared" si="0"/>
        <v>1.0000000000000002</v>
      </c>
    </row>
    <row r="45" spans="2:68" ht="14.5">
      <c r="B45" s="158" t="s">
        <v>284</v>
      </c>
      <c r="C45">
        <v>-0.39575260000000001</v>
      </c>
      <c r="D45">
        <v>-3.0961300000000001E-2</v>
      </c>
      <c r="E45">
        <v>0.30296659999999997</v>
      </c>
      <c r="F45">
        <v>-5.8693109999999997</v>
      </c>
      <c r="G45">
        <v>2.0347899999999999E-2</v>
      </c>
      <c r="H45">
        <v>3.7702600000000003E-2</v>
      </c>
      <c r="I45">
        <v>0.19069990000000001</v>
      </c>
      <c r="J45">
        <v>0.17520279999999999</v>
      </c>
      <c r="K45">
        <v>-0.14376249999999999</v>
      </c>
      <c r="L45">
        <v>-2.5274600000000001E-2</v>
      </c>
      <c r="M45">
        <v>9.5616999999999994E-3</v>
      </c>
      <c r="N45">
        <v>0.2282314</v>
      </c>
      <c r="O45">
        <v>1.8233800000000001E-2</v>
      </c>
      <c r="P45">
        <v>0.2053045</v>
      </c>
      <c r="Q45">
        <v>0.24202270000000001</v>
      </c>
      <c r="R45" s="159">
        <v>0.13193959999999999</v>
      </c>
      <c r="T45" s="305" t="s">
        <v>205</v>
      </c>
      <c r="U45" s="326">
        <v>3</v>
      </c>
      <c r="V45" s="36">
        <v>8.9582011235955009E-3</v>
      </c>
      <c r="W45" s="36">
        <v>4.1684802999999999E-2</v>
      </c>
      <c r="X45" s="36">
        <v>1.8963402999999993E-2</v>
      </c>
      <c r="Y45" s="36">
        <v>3.7088003000000001E-2</v>
      </c>
      <c r="Z45" s="36">
        <v>7.6278010989010991E-3</v>
      </c>
      <c r="AA45" s="36">
        <v>3.5486901000000001E-2</v>
      </c>
      <c r="AB45" s="36">
        <v>2.9007600000000005E-2</v>
      </c>
      <c r="AC45" s="36">
        <v>3.8636999999999991E-2</v>
      </c>
      <c r="AD45" s="36">
        <v>1.3212102040816328E-2</v>
      </c>
      <c r="AE45" s="36">
        <v>5.1114297000000003E-2</v>
      </c>
      <c r="AF45" s="36">
        <v>2.0931801999999996E-2</v>
      </c>
      <c r="AG45" s="36">
        <v>3.1359304210526316E-2</v>
      </c>
      <c r="AH45" s="36">
        <v>1.5602405050505048E-2</v>
      </c>
      <c r="AI45" s="36">
        <v>4.0546000399999997E-2</v>
      </c>
      <c r="AJ45" s="36">
        <v>4.2784804040404037E-2</v>
      </c>
      <c r="AK45" s="36">
        <v>4.2919704081632648E-2</v>
      </c>
      <c r="AL45" s="36">
        <v>1.1844897826086952E-2</v>
      </c>
      <c r="AM45" s="36">
        <v>2.9020002040816326E-2</v>
      </c>
      <c r="AN45" s="36">
        <v>2.5190104166666664E-2</v>
      </c>
      <c r="AO45" s="36">
        <v>2.5027296202531645E-2</v>
      </c>
      <c r="AP45" s="36">
        <v>1.6074602272727275E-2</v>
      </c>
      <c r="AQ45" s="36">
        <v>3.1399094897959182E-2</v>
      </c>
      <c r="AR45" s="36">
        <v>5.9928995789473687E-2</v>
      </c>
      <c r="AS45" s="36">
        <v>1.4707997560975612E-2</v>
      </c>
      <c r="AT45" s="36">
        <v>0</v>
      </c>
      <c r="AU45" s="36">
        <v>2.9182500000000004E-2</v>
      </c>
      <c r="AW45" s="235">
        <v>3</v>
      </c>
      <c r="AX45" t="s">
        <v>205</v>
      </c>
      <c r="AY45" s="159">
        <v>3</v>
      </c>
      <c r="AZ45" s="235">
        <v>0.14568762314129799</v>
      </c>
      <c r="BA45" s="156">
        <v>4.0359061850320101E-2</v>
      </c>
      <c r="BB45" s="156">
        <v>5.5576048973463001E-2</v>
      </c>
      <c r="BC45" s="156">
        <v>0.179597706372044</v>
      </c>
      <c r="BD45" s="156">
        <v>2.08147044423545E-2</v>
      </c>
      <c r="BE45" s="156">
        <v>4.0995061801709101E-2</v>
      </c>
      <c r="BF45" s="156">
        <v>4.8509274028279301E-2</v>
      </c>
      <c r="BG45" s="156">
        <v>2.88645147788468E-2</v>
      </c>
      <c r="BH45" s="156">
        <v>9.9380004091720306E-2</v>
      </c>
      <c r="BI45" s="156">
        <v>1.7588362609877801E-2</v>
      </c>
      <c r="BJ45" s="156">
        <v>3.6099488171724203E-2</v>
      </c>
      <c r="BK45" s="156">
        <v>7.7352016995502995E-2</v>
      </c>
      <c r="BL45" s="156">
        <v>1.01569344320623E-2</v>
      </c>
      <c r="BM45" s="156">
        <v>9.5218427468654596E-2</v>
      </c>
      <c r="BN45" s="156">
        <v>1.09545231293438E-2</v>
      </c>
      <c r="BO45" s="159">
        <v>9.2846247712799507E-2</v>
      </c>
      <c r="BP45" s="416">
        <f t="shared" si="0"/>
        <v>1.0000000000000002</v>
      </c>
    </row>
    <row r="46" spans="2:68" ht="14.5">
      <c r="B46" s="158" t="s">
        <v>285</v>
      </c>
      <c r="C46">
        <v>0.5662509</v>
      </c>
      <c r="D46">
        <v>-2.10873E-2</v>
      </c>
      <c r="E46">
        <v>0.33512649999999999</v>
      </c>
      <c r="F46">
        <v>-0.70383099999999998</v>
      </c>
      <c r="G46">
        <v>-2.0709000000000001E-3</v>
      </c>
      <c r="H46">
        <v>3.1085399999999999E-2</v>
      </c>
      <c r="I46">
        <v>-8.1384700000000004E-2</v>
      </c>
      <c r="J46">
        <v>0.20493259999999999</v>
      </c>
      <c r="K46">
        <v>0.14829419999999999</v>
      </c>
      <c r="L46">
        <v>2.4834700000000001E-2</v>
      </c>
      <c r="M46">
        <v>8.4744E-3</v>
      </c>
      <c r="N46">
        <v>-5.91741E-2</v>
      </c>
      <c r="O46">
        <v>-1.0254999999999999E-3</v>
      </c>
      <c r="P46">
        <v>0.84124600000000005</v>
      </c>
      <c r="Q46">
        <v>0.15010109999999999</v>
      </c>
      <c r="R46" s="159">
        <v>-0.65711889999999995</v>
      </c>
      <c r="T46" s="305" t="s">
        <v>206</v>
      </c>
      <c r="U46" s="326">
        <v>3</v>
      </c>
      <c r="V46" s="36">
        <v>0</v>
      </c>
      <c r="W46" s="36">
        <v>2.7453029999999984E-3</v>
      </c>
      <c r="X46" s="36">
        <v>2.1799029999999948E-3</v>
      </c>
      <c r="Y46" s="36">
        <v>3.3811029999999951E-3</v>
      </c>
      <c r="Z46" s="36">
        <v>2.5910109890109957E-4</v>
      </c>
      <c r="AA46" s="36">
        <v>2.3879009999999983E-3</v>
      </c>
      <c r="AB46" s="36">
        <v>3.659900000000002E-3</v>
      </c>
      <c r="AC46" s="36">
        <v>3.8157999999999955E-3</v>
      </c>
      <c r="AD46" s="36">
        <v>4.2340204081632886E-4</v>
      </c>
      <c r="AE46" s="36">
        <v>6.3534970000000022E-3</v>
      </c>
      <c r="AF46" s="36">
        <v>3.6017019999999957E-3</v>
      </c>
      <c r="AG46" s="36">
        <v>5.3843042105263155E-3</v>
      </c>
      <c r="AH46" s="36">
        <v>1.1727050505050468E-3</v>
      </c>
      <c r="AI46" s="36">
        <v>5.1620004000000009E-3</v>
      </c>
      <c r="AJ46" s="36">
        <v>3.1554040404040418E-3</v>
      </c>
      <c r="AK46" s="36">
        <v>4.8953040816326534E-3</v>
      </c>
      <c r="AL46" s="36">
        <v>0</v>
      </c>
      <c r="AM46" s="36">
        <v>2.7207020408163266E-3</v>
      </c>
      <c r="AN46" s="36">
        <v>1.7619041666666645E-3</v>
      </c>
      <c r="AO46" s="36">
        <v>1.3651962025316461E-3</v>
      </c>
      <c r="AP46" s="36">
        <v>0</v>
      </c>
      <c r="AQ46" s="36">
        <v>2.4373948979591856E-3</v>
      </c>
      <c r="AR46" s="36">
        <v>6.5934957894736848E-3</v>
      </c>
      <c r="AS46" s="36">
        <v>0</v>
      </c>
      <c r="AT46" s="36">
        <v>0</v>
      </c>
      <c r="AU46" s="36">
        <v>4.2275000000000038E-3</v>
      </c>
      <c r="AW46" s="235">
        <v>4</v>
      </c>
      <c r="AX46" t="s">
        <v>206</v>
      </c>
      <c r="AY46" s="159">
        <v>3</v>
      </c>
      <c r="AZ46" s="235">
        <v>9.5939829769790194E-2</v>
      </c>
      <c r="BA46" s="156">
        <v>2.60450810329621E-2</v>
      </c>
      <c r="BB46" s="156">
        <v>5.33212194332814E-2</v>
      </c>
      <c r="BC46" s="156">
        <v>0.159603894712216</v>
      </c>
      <c r="BD46" s="156">
        <v>1.7175720222399101E-2</v>
      </c>
      <c r="BE46" s="156">
        <v>2.75592488937604E-2</v>
      </c>
      <c r="BF46" s="156">
        <v>5.0503249567232102E-2</v>
      </c>
      <c r="BG46" s="156">
        <v>2.7697658382462301E-2</v>
      </c>
      <c r="BH46" s="156">
        <v>7.8501386630007094E-2</v>
      </c>
      <c r="BI46" s="156">
        <v>1.8054041955418699E-2</v>
      </c>
      <c r="BJ46" s="156">
        <v>2.58661263692661E-2</v>
      </c>
      <c r="BK46" s="156">
        <v>7.3482680296567293E-2</v>
      </c>
      <c r="BL46" s="156">
        <v>8.9396792966172697E-3</v>
      </c>
      <c r="BM46" s="156">
        <v>0.25289904689789799</v>
      </c>
      <c r="BN46" s="156">
        <v>6.23902661642722E-3</v>
      </c>
      <c r="BO46" s="159">
        <v>7.8172109923694902E-2</v>
      </c>
      <c r="BP46" s="416">
        <f t="shared" si="0"/>
        <v>1.0000000000000002</v>
      </c>
    </row>
    <row r="47" spans="2:68" ht="14.5">
      <c r="B47" s="158" t="s">
        <v>286</v>
      </c>
      <c r="C47">
        <v>0.65839159999999997</v>
      </c>
      <c r="D47">
        <v>5.7850400000000003E-2</v>
      </c>
      <c r="E47">
        <v>0.1130671</v>
      </c>
      <c r="F47">
        <v>0.1246309</v>
      </c>
      <c r="G47">
        <v>-5.744E-3</v>
      </c>
      <c r="H47">
        <v>7.4799999999999997E-4</v>
      </c>
      <c r="I47">
        <v>0.19038150000000001</v>
      </c>
      <c r="J47">
        <v>-0.20345530000000001</v>
      </c>
      <c r="K47">
        <v>-7.7244000000000002E-3</v>
      </c>
      <c r="L47">
        <v>-1.4358299999999999E-2</v>
      </c>
      <c r="M47">
        <v>6.0432000000000003E-3</v>
      </c>
      <c r="N47">
        <v>-5.0070499999999997E-2</v>
      </c>
      <c r="O47">
        <v>1.0378E-2</v>
      </c>
      <c r="P47">
        <v>0.54724300000000003</v>
      </c>
      <c r="Q47">
        <v>-0.15487670000000001</v>
      </c>
      <c r="R47" s="159">
        <v>2.9231099999999999E-2</v>
      </c>
      <c r="T47" s="305" t="s">
        <v>207</v>
      </c>
      <c r="U47" s="326">
        <v>3</v>
      </c>
      <c r="V47" s="36">
        <v>2.2917011235955012E-3</v>
      </c>
      <c r="W47" s="36">
        <v>2.7140602999999999E-2</v>
      </c>
      <c r="X47" s="36">
        <v>1.7070102999999996E-2</v>
      </c>
      <c r="Y47" s="36">
        <v>1.7472902999999994E-2</v>
      </c>
      <c r="Z47" s="36">
        <v>8.7300109890109953E-4</v>
      </c>
      <c r="AA47" s="36">
        <v>2.3085400999999998E-2</v>
      </c>
      <c r="AB47" s="36">
        <v>1.6275100000000004E-2</v>
      </c>
      <c r="AC47" s="36">
        <v>2.0532799999999997E-2</v>
      </c>
      <c r="AD47" s="36">
        <v>5.9978020408163286E-3</v>
      </c>
      <c r="AE47" s="36">
        <v>2.1076597000000002E-2</v>
      </c>
      <c r="AF47" s="36">
        <v>1.4886601999999995E-2</v>
      </c>
      <c r="AG47" s="36">
        <v>6.7606042105263159E-3</v>
      </c>
      <c r="AH47" s="36">
        <v>3.6489050505050468E-3</v>
      </c>
      <c r="AI47" s="36">
        <v>2.1912800400000002E-2</v>
      </c>
      <c r="AJ47" s="36">
        <v>1.0081004040404041E-2</v>
      </c>
      <c r="AK47" s="36">
        <v>1.3089904081632653E-2</v>
      </c>
      <c r="AL47" s="36">
        <v>7.0932978260869533E-3</v>
      </c>
      <c r="AM47" s="36">
        <v>8.6259020408163273E-3</v>
      </c>
      <c r="AN47" s="36">
        <v>1.4766404166666665E-2</v>
      </c>
      <c r="AO47" s="36">
        <v>1.010896202531646E-3</v>
      </c>
      <c r="AP47" s="36">
        <v>5.2101022727272725E-3</v>
      </c>
      <c r="AQ47" s="36">
        <v>6.2176948979591846E-3</v>
      </c>
      <c r="AR47" s="36">
        <v>2.0154395789473683E-2</v>
      </c>
      <c r="AS47" s="36">
        <v>3.890597560975611E-3</v>
      </c>
      <c r="AT47" s="36">
        <v>0</v>
      </c>
      <c r="AU47" s="36">
        <v>1.3774500000000004E-2</v>
      </c>
      <c r="AW47" s="235">
        <v>5</v>
      </c>
      <c r="AX47" t="s">
        <v>207</v>
      </c>
      <c r="AY47" s="159">
        <v>3</v>
      </c>
      <c r="AZ47" s="235">
        <v>0.134270158452829</v>
      </c>
      <c r="BA47" s="156">
        <v>3.4620243708552503E-2</v>
      </c>
      <c r="BB47" s="156">
        <v>6.2193924027152098E-2</v>
      </c>
      <c r="BC47" s="156">
        <v>0.162532844638793</v>
      </c>
      <c r="BD47" s="156">
        <v>1.2767851625188301E-2</v>
      </c>
      <c r="BE47" s="156">
        <v>4.4163477153279E-2</v>
      </c>
      <c r="BF47" s="156">
        <v>5.2400253679304898E-2</v>
      </c>
      <c r="BG47" s="156">
        <v>3.7781493562852798E-2</v>
      </c>
      <c r="BH47" s="156">
        <v>0.100835178595775</v>
      </c>
      <c r="BI47" s="156">
        <v>1.32732619793491E-2</v>
      </c>
      <c r="BJ47" s="156">
        <v>3.0860034340294398E-2</v>
      </c>
      <c r="BK47" s="156">
        <v>7.4486204331210198E-2</v>
      </c>
      <c r="BL47" s="156">
        <v>1.19579446593992E-2</v>
      </c>
      <c r="BM47" s="156">
        <v>0.120723233949226</v>
      </c>
      <c r="BN47" s="156">
        <v>1.2987561259688999E-2</v>
      </c>
      <c r="BO47" s="159">
        <v>9.4146334037105803E-2</v>
      </c>
      <c r="BP47" s="416">
        <f t="shared" si="0"/>
        <v>1.0000000000000002</v>
      </c>
    </row>
    <row r="48" spans="2:68" ht="14.5">
      <c r="B48" s="158" t="s">
        <v>287</v>
      </c>
      <c r="C48">
        <v>0.1616976</v>
      </c>
      <c r="D48">
        <v>2.7924500000000001E-2</v>
      </c>
      <c r="E48">
        <v>-0.108954</v>
      </c>
      <c r="F48">
        <v>-0.13383030000000001</v>
      </c>
      <c r="G48">
        <v>-1.9492200000000001E-2</v>
      </c>
      <c r="H48">
        <v>6.7291E-3</v>
      </c>
      <c r="I48">
        <v>0.70543789999999995</v>
      </c>
      <c r="J48">
        <v>-3.9536700000000001E-2</v>
      </c>
      <c r="K48">
        <v>-0.1167082</v>
      </c>
      <c r="L48">
        <v>1.85454E-2</v>
      </c>
      <c r="M48">
        <v>1.7262300000000001E-2</v>
      </c>
      <c r="N48">
        <v>9.6033199999999999E-2</v>
      </c>
      <c r="O48">
        <v>-3.0333999999999999E-3</v>
      </c>
      <c r="P48">
        <v>0.22011729999999999</v>
      </c>
      <c r="Q48">
        <v>-0.55072620000000005</v>
      </c>
      <c r="R48" s="159">
        <v>-4.7262400000000003E-2</v>
      </c>
      <c r="T48" s="305" t="s">
        <v>208</v>
      </c>
      <c r="U48" s="326">
        <v>3</v>
      </c>
      <c r="V48" s="36">
        <v>5.4140112359550129E-4</v>
      </c>
      <c r="W48" s="36">
        <v>5.9031029999999981E-3</v>
      </c>
      <c r="X48" s="36">
        <v>3.019802999999995E-3</v>
      </c>
      <c r="Y48" s="36">
        <v>4.1937029999999948E-3</v>
      </c>
      <c r="Z48" s="36">
        <v>7.5200109890109952E-4</v>
      </c>
      <c r="AA48" s="36">
        <v>2.5174009999999981E-3</v>
      </c>
      <c r="AB48" s="36">
        <v>3.9863000000000025E-3</v>
      </c>
      <c r="AC48" s="36">
        <v>4.1046999999999959E-3</v>
      </c>
      <c r="AD48" s="36">
        <v>2.162902040816329E-3</v>
      </c>
      <c r="AE48" s="36">
        <v>5.3396970000000026E-3</v>
      </c>
      <c r="AF48" s="36">
        <v>2.9633019999999954E-3</v>
      </c>
      <c r="AG48" s="36">
        <v>4.8590042105263152E-3</v>
      </c>
      <c r="AH48" s="36">
        <v>1.2752050505050467E-3</v>
      </c>
      <c r="AI48" s="36">
        <v>6.638400400000001E-3</v>
      </c>
      <c r="AJ48" s="36">
        <v>5.4527040404040421E-3</v>
      </c>
      <c r="AK48" s="36">
        <v>4.7972040816326531E-3</v>
      </c>
      <c r="AL48" s="36">
        <v>2.030097826086953E-3</v>
      </c>
      <c r="AM48" s="36">
        <v>5.9863020408163267E-3</v>
      </c>
      <c r="AN48" s="36">
        <v>4.7106041666666642E-3</v>
      </c>
      <c r="AO48" s="36">
        <v>4.0982962025316464E-3</v>
      </c>
      <c r="AP48" s="36">
        <v>0</v>
      </c>
      <c r="AQ48" s="36">
        <v>4.342794897959185E-3</v>
      </c>
      <c r="AR48" s="36">
        <v>4.9739957894736845E-3</v>
      </c>
      <c r="AS48" s="36">
        <v>1.0191975609756111E-3</v>
      </c>
      <c r="AT48" s="36">
        <v>0</v>
      </c>
      <c r="AU48" s="36">
        <v>5.299200000000003E-3</v>
      </c>
      <c r="AW48" s="235">
        <v>6</v>
      </c>
      <c r="AX48" t="s">
        <v>208</v>
      </c>
      <c r="AY48" s="159">
        <v>3</v>
      </c>
      <c r="AZ48" s="235">
        <v>0.146747949635127</v>
      </c>
      <c r="BA48" s="156">
        <v>3.1831375606700303E-2</v>
      </c>
      <c r="BB48" s="156">
        <v>6.3302943215379895E-2</v>
      </c>
      <c r="BC48" s="156">
        <v>0.161979515798931</v>
      </c>
      <c r="BD48" s="156">
        <v>1.58445581564086E-2</v>
      </c>
      <c r="BE48" s="156">
        <v>3.8624646942885497E-2</v>
      </c>
      <c r="BF48" s="156">
        <v>5.5323821328948398E-2</v>
      </c>
      <c r="BG48" s="156">
        <v>5.2611127159528703E-2</v>
      </c>
      <c r="BH48" s="156">
        <v>0.10437120653441299</v>
      </c>
      <c r="BI48" s="156">
        <v>1.5877784085107802E-2</v>
      </c>
      <c r="BJ48" s="156">
        <v>2.90476727856138E-2</v>
      </c>
      <c r="BK48" s="156">
        <v>7.40388198816163E-2</v>
      </c>
      <c r="BL48" s="156">
        <v>9.4702290983958003E-3</v>
      </c>
      <c r="BM48" s="156">
        <v>9.0495947190200404E-2</v>
      </c>
      <c r="BN48" s="156">
        <v>1.7793519423191399E-2</v>
      </c>
      <c r="BO48" s="159">
        <v>9.2638883157552199E-2</v>
      </c>
      <c r="BP48" s="416">
        <f t="shared" si="0"/>
        <v>1</v>
      </c>
    </row>
    <row r="49" spans="2:68" ht="14.5">
      <c r="B49" s="158" t="s">
        <v>288</v>
      </c>
      <c r="C49">
        <v>-0.72821519999999995</v>
      </c>
      <c r="D49">
        <v>-3.4705399999999997E-2</v>
      </c>
      <c r="E49">
        <v>-1.2991900000000001E-2</v>
      </c>
      <c r="F49">
        <v>3.7334040000000002</v>
      </c>
      <c r="G49">
        <v>5.07371E-2</v>
      </c>
      <c r="H49">
        <v>-1.34628E-2</v>
      </c>
      <c r="I49">
        <v>-0.14388699999999999</v>
      </c>
      <c r="J49">
        <v>5.7259400000000002E-2</v>
      </c>
      <c r="K49">
        <v>9.2738100000000004E-2</v>
      </c>
      <c r="L49">
        <v>-6.1123999999999996E-3</v>
      </c>
      <c r="M49">
        <v>4.0789999999999999E-4</v>
      </c>
      <c r="N49">
        <v>-1.9018899999999998E-2</v>
      </c>
      <c r="O49">
        <v>2.5817099999999999E-2</v>
      </c>
      <c r="P49">
        <v>-0.34170519999999999</v>
      </c>
      <c r="Q49">
        <v>-7.9273700000000002E-2</v>
      </c>
      <c r="R49" s="159">
        <v>-0.2392697</v>
      </c>
      <c r="T49" s="305" t="s">
        <v>209</v>
      </c>
      <c r="U49" s="326">
        <v>3</v>
      </c>
      <c r="V49" s="36">
        <v>1.9325011235955013E-3</v>
      </c>
      <c r="W49" s="36">
        <v>6.8042029999999983E-3</v>
      </c>
      <c r="X49" s="36">
        <v>3.7577029999999951E-3</v>
      </c>
      <c r="Y49" s="36">
        <v>7.0055029999999945E-3</v>
      </c>
      <c r="Z49" s="36">
        <v>6.5370109890109957E-4</v>
      </c>
      <c r="AA49" s="36">
        <v>5.4313009999999986E-3</v>
      </c>
      <c r="AB49" s="36">
        <v>4.5787000000000024E-3</v>
      </c>
      <c r="AC49" s="36">
        <v>6.263299999999996E-3</v>
      </c>
      <c r="AD49" s="36">
        <v>1.5618020408163288E-3</v>
      </c>
      <c r="AE49" s="36">
        <v>8.5414970000000038E-3</v>
      </c>
      <c r="AF49" s="36">
        <v>6.1133019999999958E-3</v>
      </c>
      <c r="AG49" s="36">
        <v>8.503404210526316E-3</v>
      </c>
      <c r="AH49" s="36">
        <v>3.1092050505050466E-3</v>
      </c>
      <c r="AI49" s="36">
        <v>6.8451004000000008E-3</v>
      </c>
      <c r="AJ49" s="36">
        <v>5.1612040404040421E-3</v>
      </c>
      <c r="AK49" s="36">
        <v>8.8632040816326533E-3</v>
      </c>
      <c r="AL49" s="36">
        <v>2.3549978260869529E-3</v>
      </c>
      <c r="AM49" s="36">
        <v>5.0853020408163268E-3</v>
      </c>
      <c r="AN49" s="36">
        <v>4.6285041666666643E-3</v>
      </c>
      <c r="AO49" s="36">
        <v>2.5915962025316462E-3</v>
      </c>
      <c r="AP49" s="36">
        <v>0</v>
      </c>
      <c r="AQ49" s="36">
        <v>3.2841948979591856E-3</v>
      </c>
      <c r="AR49" s="36">
        <v>1.5955957894736841E-3</v>
      </c>
      <c r="AS49" s="36">
        <v>3.3214975609756107E-3</v>
      </c>
      <c r="AT49" s="36">
        <v>0</v>
      </c>
      <c r="AU49" s="36">
        <v>4.8822000000000032E-3</v>
      </c>
      <c r="AW49" s="235">
        <v>7</v>
      </c>
      <c r="AX49" t="s">
        <v>209</v>
      </c>
      <c r="AY49" s="159">
        <v>3</v>
      </c>
      <c r="AZ49" s="235">
        <v>0.159641411615249</v>
      </c>
      <c r="BA49" s="156">
        <v>4.4085530972593101E-2</v>
      </c>
      <c r="BB49" s="156">
        <v>4.5195168790802903E-2</v>
      </c>
      <c r="BC49" s="156">
        <v>0.211475131268864</v>
      </c>
      <c r="BD49" s="156">
        <v>3.4398206935379198E-2</v>
      </c>
      <c r="BE49" s="156">
        <v>3.7685179915519902E-2</v>
      </c>
      <c r="BF49" s="156">
        <v>4.1918956502474097E-2</v>
      </c>
      <c r="BG49" s="156">
        <v>3.0087268438486199E-2</v>
      </c>
      <c r="BH49" s="156">
        <v>8.3937200123674796E-2</v>
      </c>
      <c r="BI49" s="156">
        <v>2.10839166582098E-2</v>
      </c>
      <c r="BJ49" s="156">
        <v>2.3708562438816E-2</v>
      </c>
      <c r="BK49" s="156">
        <v>5.5819948721199997E-2</v>
      </c>
      <c r="BL49" s="156">
        <v>6.0788062490765397E-3</v>
      </c>
      <c r="BM49" s="156">
        <v>9.5952013214991402E-2</v>
      </c>
      <c r="BN49" s="156">
        <v>1.63365415554983E-2</v>
      </c>
      <c r="BO49" s="159">
        <v>9.2596156599164897E-2</v>
      </c>
      <c r="BP49" s="416">
        <f t="shared" si="0"/>
        <v>1.0000000000000002</v>
      </c>
    </row>
    <row r="50" spans="2:68" ht="14.5">
      <c r="B50" s="158" t="s">
        <v>289</v>
      </c>
      <c r="C50">
        <v>-0.73478529999999997</v>
      </c>
      <c r="D50">
        <v>9.8741000000000002E-3</v>
      </c>
      <c r="E50">
        <v>-7.1987499999999996E-2</v>
      </c>
      <c r="F50">
        <v>-0.2291474</v>
      </c>
      <c r="G50">
        <v>-3.9398599999999999E-2</v>
      </c>
      <c r="H50">
        <v>4.1430300000000003E-2</v>
      </c>
      <c r="I50">
        <v>-0.182561</v>
      </c>
      <c r="J50">
        <v>-0.11723409999999999</v>
      </c>
      <c r="K50">
        <v>-7.7445600000000003E-2</v>
      </c>
      <c r="L50">
        <v>-2.3552400000000001E-2</v>
      </c>
      <c r="M50">
        <v>-4.4834999999999996E-3</v>
      </c>
      <c r="N50">
        <v>-2.0508700000000001E-2</v>
      </c>
      <c r="O50">
        <v>-1.52079E-2</v>
      </c>
      <c r="P50">
        <v>0.29064849999999998</v>
      </c>
      <c r="Q50">
        <v>-7.0057800000000003E-2</v>
      </c>
      <c r="R50" s="159">
        <v>0.34959380000000001</v>
      </c>
      <c r="T50" s="305" t="s">
        <v>224</v>
      </c>
      <c r="U50" s="326">
        <v>3</v>
      </c>
      <c r="V50" s="36">
        <v>3.4154011235955012E-3</v>
      </c>
      <c r="W50" s="36">
        <v>1.6613902999999999E-2</v>
      </c>
      <c r="X50" s="36">
        <v>5.3722029999999947E-3</v>
      </c>
      <c r="Y50" s="36">
        <v>1.6650102999999996E-2</v>
      </c>
      <c r="Z50" s="36">
        <v>6.2090109890109953E-4</v>
      </c>
      <c r="AA50" s="36">
        <v>1.3708600999999997E-2</v>
      </c>
      <c r="AB50" s="36">
        <v>1.2569700000000001E-2</v>
      </c>
      <c r="AC50" s="36">
        <v>1.5230499999999994E-2</v>
      </c>
      <c r="AD50" s="36">
        <v>7.8196020408163279E-3</v>
      </c>
      <c r="AE50" s="36">
        <v>2.7780997000000002E-2</v>
      </c>
      <c r="AF50" s="36">
        <v>7.4810019999999953E-3</v>
      </c>
      <c r="AG50" s="36">
        <v>1.6166204210526315E-2</v>
      </c>
      <c r="AH50" s="36">
        <v>4.8519050505050464E-3</v>
      </c>
      <c r="AI50" s="36">
        <v>2.0039100400000003E-2</v>
      </c>
      <c r="AJ50" s="36">
        <v>1.293720404040404E-2</v>
      </c>
      <c r="AK50" s="36">
        <v>1.5841404081632652E-2</v>
      </c>
      <c r="AL50" s="36">
        <v>4.6073978260869532E-3</v>
      </c>
      <c r="AM50" s="36">
        <v>2.0389402040816323E-2</v>
      </c>
      <c r="AN50" s="36">
        <v>3.2696041666666646E-3</v>
      </c>
      <c r="AO50" s="36">
        <v>1.0074196202531647E-2</v>
      </c>
      <c r="AP50" s="36">
        <v>1.6863502272727274E-2</v>
      </c>
      <c r="AQ50" s="36">
        <v>9.3951948979591852E-3</v>
      </c>
      <c r="AR50" s="36">
        <v>1.7945695789473682E-2</v>
      </c>
      <c r="AS50" s="36">
        <v>7.2847975609756114E-3</v>
      </c>
      <c r="AT50" s="36">
        <v>0</v>
      </c>
      <c r="AU50" s="36">
        <v>1.2112100000000004E-2</v>
      </c>
      <c r="AW50" s="235">
        <v>8</v>
      </c>
      <c r="AX50" t="s">
        <v>224</v>
      </c>
      <c r="AY50" s="159">
        <v>3</v>
      </c>
      <c r="AZ50" s="235">
        <v>0.129236871301802</v>
      </c>
      <c r="BA50" s="156">
        <v>3.9556209907714697E-2</v>
      </c>
      <c r="BB50" s="156">
        <v>6.2039551124169902E-2</v>
      </c>
      <c r="BC50" s="156">
        <v>0.17461238077965999</v>
      </c>
      <c r="BD50" s="156">
        <v>1.75070964228656E-2</v>
      </c>
      <c r="BE50" s="156">
        <v>3.7584011578464402E-2</v>
      </c>
      <c r="BF50" s="156">
        <v>5.2470016863621197E-2</v>
      </c>
      <c r="BG50" s="156">
        <v>3.3860429769953397E-2</v>
      </c>
      <c r="BH50" s="156">
        <v>0.10228824052372899</v>
      </c>
      <c r="BI50" s="156">
        <v>1.53153998817139E-2</v>
      </c>
      <c r="BJ50" s="156">
        <v>3.2577366597432898E-2</v>
      </c>
      <c r="BK50" s="156">
        <v>8.0655736993395497E-2</v>
      </c>
      <c r="BL50" s="156">
        <v>1.1448092892341799E-2</v>
      </c>
      <c r="BM50" s="156">
        <v>0.112202630504992</v>
      </c>
      <c r="BN50" s="156">
        <v>1.29941509258384E-2</v>
      </c>
      <c r="BO50" s="159">
        <v>8.56518139323037E-2</v>
      </c>
      <c r="BP50" s="416">
        <f t="shared" si="0"/>
        <v>0.99999999999999845</v>
      </c>
    </row>
    <row r="51" spans="2:68" ht="14.5">
      <c r="B51" s="158" t="s">
        <v>290</v>
      </c>
      <c r="C51">
        <v>-0.2235412</v>
      </c>
      <c r="D51">
        <v>4.72676E-2</v>
      </c>
      <c r="E51">
        <v>2.13934E-2</v>
      </c>
      <c r="F51">
        <v>0.78213529999999998</v>
      </c>
      <c r="G51">
        <v>-2.0799499999999999E-2</v>
      </c>
      <c r="H51">
        <v>6.6099599999999994E-2</v>
      </c>
      <c r="I51">
        <v>0.37672480000000003</v>
      </c>
      <c r="J51">
        <v>-1.0715499999999999E-2</v>
      </c>
      <c r="K51">
        <v>2.9752500000000001E-2</v>
      </c>
      <c r="L51">
        <v>-1.08215E-2</v>
      </c>
      <c r="M51">
        <v>-1.2264000000000001E-3</v>
      </c>
      <c r="N51">
        <v>-5.1247000000000003E-3</v>
      </c>
      <c r="O51">
        <v>-4.4120899999999998E-2</v>
      </c>
      <c r="P51">
        <v>-0.19277620000000001</v>
      </c>
      <c r="Q51">
        <v>-0.1501161</v>
      </c>
      <c r="R51" s="159">
        <v>0.29946689999999998</v>
      </c>
      <c r="T51" s="305" t="s">
        <v>210</v>
      </c>
      <c r="U51" s="326">
        <v>3</v>
      </c>
      <c r="V51" s="36">
        <v>2.3680112359550129E-4</v>
      </c>
      <c r="W51" s="36">
        <v>1.4763202999999999E-2</v>
      </c>
      <c r="X51" s="36">
        <v>9.2530029999999958E-3</v>
      </c>
      <c r="Y51" s="36">
        <v>1.8470102999999995E-2</v>
      </c>
      <c r="Z51" s="36">
        <v>2.7188010989010994E-3</v>
      </c>
      <c r="AA51" s="36">
        <v>1.1679000999999998E-2</v>
      </c>
      <c r="AB51" s="36">
        <v>9.2682000000000025E-3</v>
      </c>
      <c r="AC51" s="36">
        <v>1.7755299999999998E-2</v>
      </c>
      <c r="AD51" s="36">
        <v>7.7320020408163286E-3</v>
      </c>
      <c r="AE51" s="36">
        <v>1.7307797000000003E-2</v>
      </c>
      <c r="AF51" s="36">
        <v>8.8049019999999947E-3</v>
      </c>
      <c r="AG51" s="36">
        <v>9.7745042105263167E-3</v>
      </c>
      <c r="AH51" s="36">
        <v>5.9429050505050464E-3</v>
      </c>
      <c r="AI51" s="36">
        <v>1.4868900400000001E-2</v>
      </c>
      <c r="AJ51" s="36">
        <v>1.0857904040404041E-2</v>
      </c>
      <c r="AK51" s="36">
        <v>1.3508504081632653E-2</v>
      </c>
      <c r="AL51" s="36">
        <v>4.4045978260869529E-3</v>
      </c>
      <c r="AM51" s="36">
        <v>1.2881402040816326E-2</v>
      </c>
      <c r="AN51" s="36">
        <v>7.7626041666666642E-3</v>
      </c>
      <c r="AO51" s="36">
        <v>5.1741962025316467E-3</v>
      </c>
      <c r="AP51" s="36">
        <v>2.3376022727272729E-3</v>
      </c>
      <c r="AQ51" s="36">
        <v>8.5898948979591851E-3</v>
      </c>
      <c r="AR51" s="36">
        <v>1.4493495789473683E-2</v>
      </c>
      <c r="AS51" s="36">
        <v>4.9174975609756113E-3</v>
      </c>
      <c r="AT51" s="36">
        <v>0</v>
      </c>
      <c r="AU51" s="36">
        <v>1.0849400000000004E-2</v>
      </c>
      <c r="AW51" s="235">
        <v>9</v>
      </c>
      <c r="AX51" t="s">
        <v>210</v>
      </c>
      <c r="AY51" s="159">
        <v>3</v>
      </c>
      <c r="AZ51" s="235">
        <v>0.13990377416893299</v>
      </c>
      <c r="BA51" s="156">
        <v>4.1933638571548401E-2</v>
      </c>
      <c r="BB51" s="156">
        <v>5.5574058229233697E-2</v>
      </c>
      <c r="BC51" s="156">
        <v>0.17671989703364799</v>
      </c>
      <c r="BD51" s="156">
        <v>1.59379023790545E-2</v>
      </c>
      <c r="BE51" s="156">
        <v>3.6977945491587297E-2</v>
      </c>
      <c r="BF51" s="156">
        <v>4.4413351193777102E-2</v>
      </c>
      <c r="BG51" s="156">
        <v>3.0170283820806498E-2</v>
      </c>
      <c r="BH51" s="156">
        <v>0.109535183542527</v>
      </c>
      <c r="BI51" s="156">
        <v>1.5251716813129E-2</v>
      </c>
      <c r="BJ51" s="156">
        <v>3.4711454288871901E-2</v>
      </c>
      <c r="BK51" s="156">
        <v>6.8936407431354499E-2</v>
      </c>
      <c r="BL51" s="156">
        <v>1.3499107796875199E-2</v>
      </c>
      <c r="BM51" s="156">
        <v>0.121111299732793</v>
      </c>
      <c r="BN51" s="156">
        <v>1.0102324257563799E-2</v>
      </c>
      <c r="BO51" s="159">
        <v>8.5221655248297098E-2</v>
      </c>
      <c r="BP51" s="416">
        <f t="shared" si="0"/>
        <v>1.0000000000000002</v>
      </c>
    </row>
    <row r="52" spans="2:68" ht="14.5">
      <c r="B52" s="158" t="s">
        <v>291</v>
      </c>
      <c r="C52">
        <v>-1.5132639999999999</v>
      </c>
      <c r="D52">
        <v>-6.2845499999999999E-2</v>
      </c>
      <c r="E52">
        <v>0.39928580000000002</v>
      </c>
      <c r="F52">
        <v>-3.0521609999999999</v>
      </c>
      <c r="G52">
        <v>-3.0537399999999999E-2</v>
      </c>
      <c r="H52">
        <v>-3.4241099999999997E-2</v>
      </c>
      <c r="I52">
        <v>9.5367400000000005E-2</v>
      </c>
      <c r="J52">
        <v>5.8576799999999998E-2</v>
      </c>
      <c r="K52">
        <v>-2.8225799999999999E-2</v>
      </c>
      <c r="L52">
        <v>-1.1784299999999999E-2</v>
      </c>
      <c r="M52">
        <v>1.8295100000000002E-2</v>
      </c>
      <c r="N52">
        <v>0.1112749</v>
      </c>
      <c r="O52">
        <v>-2.8113900000000001E-2</v>
      </c>
      <c r="P52">
        <v>0.3721391</v>
      </c>
      <c r="Q52">
        <v>0.13451540000000001</v>
      </c>
      <c r="R52" s="159">
        <v>0.120319</v>
      </c>
      <c r="T52" s="305" t="s">
        <v>211</v>
      </c>
      <c r="U52" s="326">
        <v>3</v>
      </c>
      <c r="V52" s="36">
        <v>1.5668011235955013E-3</v>
      </c>
      <c r="W52" s="36">
        <v>4.9416029999999984E-3</v>
      </c>
      <c r="X52" s="36">
        <v>1.9312029999999953E-3</v>
      </c>
      <c r="Y52" s="36">
        <v>4.789402999999995E-3</v>
      </c>
      <c r="Z52" s="36">
        <v>9.0250109890109955E-4</v>
      </c>
      <c r="AA52" s="36">
        <v>2.570000999999998E-3</v>
      </c>
      <c r="AB52" s="36">
        <v>4.6677000000000029E-3</v>
      </c>
      <c r="AC52" s="36">
        <v>4.2153999999999959E-3</v>
      </c>
      <c r="AD52" s="36">
        <v>2.8290020408163288E-3</v>
      </c>
      <c r="AE52" s="36">
        <v>3.7049970000000028E-3</v>
      </c>
      <c r="AF52" s="36">
        <v>2.4195019999999957E-3</v>
      </c>
      <c r="AG52" s="36">
        <v>1.5496042105263158E-3</v>
      </c>
      <c r="AH52" s="36">
        <v>5.7840505050504669E-4</v>
      </c>
      <c r="AI52" s="36">
        <v>3.8676004000000011E-3</v>
      </c>
      <c r="AJ52" s="36">
        <v>2.4277040404040418E-3</v>
      </c>
      <c r="AK52" s="36">
        <v>3.1699040816326532E-3</v>
      </c>
      <c r="AL52" s="36">
        <v>1.957297826086953E-3</v>
      </c>
      <c r="AM52" s="36">
        <v>1.9341020408163267E-3</v>
      </c>
      <c r="AN52" s="36">
        <v>1.7982041666666645E-3</v>
      </c>
      <c r="AO52" s="36">
        <v>4.6869620253164618E-4</v>
      </c>
      <c r="AP52" s="36">
        <v>2.158302272727273E-3</v>
      </c>
      <c r="AQ52" s="36">
        <v>1.3234948979591852E-3</v>
      </c>
      <c r="AR52" s="36">
        <v>4.4899578947368412E-4</v>
      </c>
      <c r="AS52" s="36">
        <v>5.583975609756111E-4</v>
      </c>
      <c r="AT52" s="36">
        <v>0</v>
      </c>
      <c r="AU52" s="36">
        <v>3.0089000000000036E-3</v>
      </c>
      <c r="AW52" s="235">
        <v>10</v>
      </c>
      <c r="AX52" t="s">
        <v>211</v>
      </c>
      <c r="AY52" s="159">
        <v>3</v>
      </c>
      <c r="AZ52" s="235">
        <v>0.15005917430603899</v>
      </c>
      <c r="BA52" s="156">
        <v>4.1545722962041003E-2</v>
      </c>
      <c r="BB52" s="156">
        <v>7.2649022237823796E-2</v>
      </c>
      <c r="BC52" s="156">
        <v>0.161005331195713</v>
      </c>
      <c r="BD52" s="156">
        <v>1.5717139543694001E-2</v>
      </c>
      <c r="BE52" s="156">
        <v>4.2805238596192202E-2</v>
      </c>
      <c r="BF52" s="156">
        <v>5.24058311333696E-2</v>
      </c>
      <c r="BG52" s="156">
        <v>3.4589584576163797E-2</v>
      </c>
      <c r="BH52" s="156">
        <v>0.11627952441806801</v>
      </c>
      <c r="BI52" s="156">
        <v>9.2133409924325602E-3</v>
      </c>
      <c r="BJ52" s="156">
        <v>3.1107451705230101E-2</v>
      </c>
      <c r="BK52" s="156">
        <v>7.9521763606321905E-2</v>
      </c>
      <c r="BL52" s="156">
        <v>6.3868228627316798E-3</v>
      </c>
      <c r="BM52" s="156">
        <v>7.79348145377875E-2</v>
      </c>
      <c r="BN52" s="156">
        <v>1.6476210062492998E-2</v>
      </c>
      <c r="BO52" s="159">
        <v>9.2303027263899801E-2</v>
      </c>
      <c r="BP52" s="416">
        <f t="shared" si="0"/>
        <v>1.0000000000000011</v>
      </c>
    </row>
    <row r="53" spans="2:68" ht="14.5">
      <c r="B53" s="158" t="s">
        <v>292</v>
      </c>
      <c r="C53">
        <v>0.443496</v>
      </c>
      <c r="D53">
        <v>0.1097079</v>
      </c>
      <c r="E53">
        <v>0.39702900000000002</v>
      </c>
      <c r="F53">
        <v>-0.14152210000000001</v>
      </c>
      <c r="G53">
        <v>-8.9961999999999993E-3</v>
      </c>
      <c r="H53">
        <v>-2.4894900000000001E-2</v>
      </c>
      <c r="I53">
        <v>-0.1140854</v>
      </c>
      <c r="J53">
        <v>-0.15935479999999999</v>
      </c>
      <c r="K53">
        <v>-0.27928209999999998</v>
      </c>
      <c r="L53">
        <v>1.6821E-3</v>
      </c>
      <c r="M53">
        <v>-2.36975E-2</v>
      </c>
      <c r="N53">
        <v>-0.22847799999999999</v>
      </c>
      <c r="O53">
        <v>3.3165E-3</v>
      </c>
      <c r="P53">
        <v>0.11923350000000001</v>
      </c>
      <c r="Q53">
        <v>0.1666617</v>
      </c>
      <c r="R53" s="159">
        <v>-0.4940174</v>
      </c>
      <c r="T53" s="305" t="s">
        <v>212</v>
      </c>
      <c r="U53" s="326">
        <v>3</v>
      </c>
      <c r="V53" s="36">
        <v>3.3822011235955015E-3</v>
      </c>
      <c r="W53" s="36">
        <v>7.9759029999999977E-3</v>
      </c>
      <c r="X53" s="36">
        <v>3.7663029999999952E-3</v>
      </c>
      <c r="Y53" s="36">
        <v>7.7860029999999953E-3</v>
      </c>
      <c r="Z53" s="36">
        <v>9.9090109890109953E-4</v>
      </c>
      <c r="AA53" s="36">
        <v>6.0542009999999986E-3</v>
      </c>
      <c r="AB53" s="36">
        <v>3.8252000000000021E-3</v>
      </c>
      <c r="AC53" s="36">
        <v>7.3763999999999956E-3</v>
      </c>
      <c r="AD53" s="36">
        <v>3.6005020408163288E-3</v>
      </c>
      <c r="AE53" s="36">
        <v>6.7362970000000022E-3</v>
      </c>
      <c r="AF53" s="36">
        <v>2.7609019999999956E-3</v>
      </c>
      <c r="AG53" s="36">
        <v>4.3961042105263156E-3</v>
      </c>
      <c r="AH53" s="36">
        <v>3.4156050505050467E-3</v>
      </c>
      <c r="AI53" s="36">
        <v>5.3885004000000011E-3</v>
      </c>
      <c r="AJ53" s="36">
        <v>4.7261040404040413E-3</v>
      </c>
      <c r="AK53" s="36">
        <v>3.3834040816326533E-3</v>
      </c>
      <c r="AL53" s="36">
        <v>5.2229978260869532E-3</v>
      </c>
      <c r="AM53" s="36">
        <v>3.3672020408163266E-3</v>
      </c>
      <c r="AN53" s="36">
        <v>2.2810041666666645E-3</v>
      </c>
      <c r="AO53" s="36">
        <v>2.0314962025316462E-3</v>
      </c>
      <c r="AP53" s="36">
        <v>9.2433022727272714E-3</v>
      </c>
      <c r="AQ53" s="36">
        <v>3.4808948979591853E-3</v>
      </c>
      <c r="AR53" s="36">
        <v>3.671095789473684E-3</v>
      </c>
      <c r="AS53" s="36">
        <v>2.2272975609756111E-3</v>
      </c>
      <c r="AT53" s="36">
        <v>0</v>
      </c>
      <c r="AU53" s="36">
        <v>3.5937000000000035E-3</v>
      </c>
      <c r="AW53" s="235">
        <v>11</v>
      </c>
      <c r="AX53" t="s">
        <v>212</v>
      </c>
      <c r="AY53" s="159">
        <v>3</v>
      </c>
      <c r="AZ53" s="235">
        <v>0.157922293017389</v>
      </c>
      <c r="BA53" s="156">
        <v>4.2195491086477299E-2</v>
      </c>
      <c r="BB53" s="156">
        <v>6.6487309058035293E-2</v>
      </c>
      <c r="BC53" s="156">
        <v>0.17139072699957</v>
      </c>
      <c r="BD53" s="156">
        <v>1.4669349256938099E-2</v>
      </c>
      <c r="BE53" s="156">
        <v>4.4733590930218503E-2</v>
      </c>
      <c r="BF53" s="156">
        <v>5.06749277143628E-2</v>
      </c>
      <c r="BG53" s="156">
        <v>3.48384686545457E-2</v>
      </c>
      <c r="BH53" s="156">
        <v>0.131446849500166</v>
      </c>
      <c r="BI53" s="156">
        <v>1.0839267300221901E-2</v>
      </c>
      <c r="BJ53" s="156">
        <v>3.0682625158336401E-2</v>
      </c>
      <c r="BK53" s="156">
        <v>6.7379087204441204E-2</v>
      </c>
      <c r="BL53" s="156">
        <v>8.0494653993300001E-3</v>
      </c>
      <c r="BM53" s="156">
        <v>6.9611490812689095E-2</v>
      </c>
      <c r="BN53" s="156">
        <v>8.4357865126326505E-3</v>
      </c>
      <c r="BO53" s="159">
        <v>9.0643271394645605E-2</v>
      </c>
      <c r="BP53" s="416">
        <f t="shared" si="0"/>
        <v>0.99999999999999967</v>
      </c>
    </row>
    <row r="54" spans="2:68" ht="14.5">
      <c r="B54" s="158" t="s">
        <v>293</v>
      </c>
      <c r="C54">
        <v>-0.67971979999999999</v>
      </c>
      <c r="D54">
        <v>5.7915899999999999E-2</v>
      </c>
      <c r="E54">
        <v>-0.45566869999999998</v>
      </c>
      <c r="F54">
        <v>-8.85991E-2</v>
      </c>
      <c r="G54">
        <v>2.0544000000000001E-3</v>
      </c>
      <c r="H54">
        <v>-1.7173600000000001E-2</v>
      </c>
      <c r="I54">
        <v>0.65973309999999996</v>
      </c>
      <c r="J54">
        <v>-8.9220999999999995E-2</v>
      </c>
      <c r="K54">
        <v>-3.8094700000000002E-2</v>
      </c>
      <c r="L54">
        <v>1.01523E-2</v>
      </c>
      <c r="M54">
        <v>-1.7296E-3</v>
      </c>
      <c r="N54">
        <v>-3.5325700000000002E-2</v>
      </c>
      <c r="O54">
        <v>1.6319199999999999E-2</v>
      </c>
      <c r="P54">
        <v>9.9192699999999995E-2</v>
      </c>
      <c r="Q54">
        <v>-3.70633E-2</v>
      </c>
      <c r="R54" s="159">
        <v>0.10059949999999999</v>
      </c>
      <c r="T54" s="305" t="s">
        <v>213</v>
      </c>
      <c r="U54" s="326">
        <v>3</v>
      </c>
      <c r="V54" s="36">
        <v>5.3667011235955017E-3</v>
      </c>
      <c r="W54" s="36">
        <v>2.2039002999999998E-2</v>
      </c>
      <c r="X54" s="36">
        <v>1.6944302999999994E-2</v>
      </c>
      <c r="Y54" s="36">
        <v>1.5523702999999995E-2</v>
      </c>
      <c r="Z54" s="36">
        <v>5.4417010989010993E-3</v>
      </c>
      <c r="AA54" s="36">
        <v>2.0512401E-2</v>
      </c>
      <c r="AB54" s="36">
        <v>1.4998200000000001E-2</v>
      </c>
      <c r="AC54" s="36">
        <v>1.9101299999999998E-2</v>
      </c>
      <c r="AD54" s="36">
        <v>2.3467002040816327E-2</v>
      </c>
      <c r="AE54" s="36">
        <v>2.6973597000000002E-2</v>
      </c>
      <c r="AF54" s="36">
        <v>2.0962901999999995E-2</v>
      </c>
      <c r="AG54" s="36">
        <v>1.8986804210526318E-2</v>
      </c>
      <c r="AH54" s="36">
        <v>1.2837405050505048E-2</v>
      </c>
      <c r="AI54" s="36">
        <v>2.1132600400000003E-2</v>
      </c>
      <c r="AJ54" s="36">
        <v>2.0469004040404044E-2</v>
      </c>
      <c r="AK54" s="36">
        <v>1.9901304081632654E-2</v>
      </c>
      <c r="AL54" s="36">
        <v>1.7264097826086955E-2</v>
      </c>
      <c r="AM54" s="36">
        <v>1.7791002040816326E-2</v>
      </c>
      <c r="AN54" s="36">
        <v>2.0033104166666666E-2</v>
      </c>
      <c r="AO54" s="36">
        <v>3.1945962025316465E-3</v>
      </c>
      <c r="AP54" s="36">
        <v>2.1072002272727274E-2</v>
      </c>
      <c r="AQ54" s="36">
        <v>1.3751094897959186E-2</v>
      </c>
      <c r="AR54" s="36">
        <v>2.4949495789473683E-2</v>
      </c>
      <c r="AS54" s="36">
        <v>5.5721975609756115E-3</v>
      </c>
      <c r="AT54" s="36">
        <v>0</v>
      </c>
      <c r="AU54" s="36">
        <v>1.9021500000000004E-2</v>
      </c>
      <c r="AW54" s="235">
        <v>12</v>
      </c>
      <c r="AX54" t="s">
        <v>213</v>
      </c>
      <c r="AY54" s="159">
        <v>3</v>
      </c>
      <c r="AZ54" s="235">
        <v>0.15217062169644199</v>
      </c>
      <c r="BA54" s="156">
        <v>4.6828172494662902E-2</v>
      </c>
      <c r="BB54" s="156">
        <v>7.4210311853998498E-2</v>
      </c>
      <c r="BC54" s="156">
        <v>0.18318424010519899</v>
      </c>
      <c r="BD54" s="156">
        <v>1.7873893208451098E-2</v>
      </c>
      <c r="BE54" s="156">
        <v>3.0649224413461601E-2</v>
      </c>
      <c r="BF54" s="156">
        <v>4.2346582534177897E-2</v>
      </c>
      <c r="BG54" s="156">
        <v>3.17029567714762E-2</v>
      </c>
      <c r="BH54" s="156">
        <v>9.9274185243964294E-2</v>
      </c>
      <c r="BI54" s="156">
        <v>1.28281327484762E-2</v>
      </c>
      <c r="BJ54" s="156">
        <v>2.9602571650802802E-2</v>
      </c>
      <c r="BK54" s="156">
        <v>6.60040447934373E-2</v>
      </c>
      <c r="BL54" s="156">
        <v>8.5296537937045603E-3</v>
      </c>
      <c r="BM54" s="156">
        <v>0.10705049618613199</v>
      </c>
      <c r="BN54" s="156">
        <v>1.2070624199614501E-2</v>
      </c>
      <c r="BO54" s="159">
        <v>8.5674288305998506E-2</v>
      </c>
      <c r="BP54" s="416">
        <f t="shared" si="0"/>
        <v>0.99999999999999922</v>
      </c>
    </row>
    <row r="55" spans="2:68" ht="14.5">
      <c r="B55" s="158" t="s">
        <v>294</v>
      </c>
      <c r="C55">
        <v>-0.26369680000000001</v>
      </c>
      <c r="D55">
        <v>5.9946899999999997E-2</v>
      </c>
      <c r="E55">
        <v>-0.1200647</v>
      </c>
      <c r="F55">
        <v>0.50324860000000005</v>
      </c>
      <c r="G55">
        <v>-2.81193E-2</v>
      </c>
      <c r="H55">
        <v>-3.4188999999999997E-2</v>
      </c>
      <c r="I55">
        <v>6.3743499999999995E-2</v>
      </c>
      <c r="J55">
        <v>-5.3054999999999998E-2</v>
      </c>
      <c r="K55">
        <v>3.2152300000000002E-2</v>
      </c>
      <c r="L55">
        <v>1.8941400000000001E-2</v>
      </c>
      <c r="M55">
        <v>-2.42495E-2</v>
      </c>
      <c r="N55">
        <v>0.10553419999999999</v>
      </c>
      <c r="O55">
        <v>-8.7198999999999992E-3</v>
      </c>
      <c r="P55">
        <v>0.35920459999999999</v>
      </c>
      <c r="Q55">
        <v>-0.30182690000000001</v>
      </c>
      <c r="R55" s="159">
        <v>0.1314755</v>
      </c>
      <c r="T55" s="305" t="s">
        <v>214</v>
      </c>
      <c r="U55" s="326">
        <v>3</v>
      </c>
      <c r="V55" s="36">
        <v>2.9381011235955013E-3</v>
      </c>
      <c r="W55" s="36">
        <v>4.5034029999999987E-3</v>
      </c>
      <c r="X55" s="36">
        <v>3.6813029999999951E-3</v>
      </c>
      <c r="Y55" s="36">
        <v>5.808402999999995E-3</v>
      </c>
      <c r="Z55" s="36">
        <v>6.8360109890109959E-4</v>
      </c>
      <c r="AA55" s="36">
        <v>3.1935009999999983E-3</v>
      </c>
      <c r="AB55" s="36">
        <v>3.4461000000000023E-3</v>
      </c>
      <c r="AC55" s="36">
        <v>5.2387999999999957E-3</v>
      </c>
      <c r="AD55" s="36">
        <v>3.7246020408163286E-3</v>
      </c>
      <c r="AE55" s="36">
        <v>4.4435970000000023E-3</v>
      </c>
      <c r="AF55" s="36">
        <v>3.6891019999999953E-3</v>
      </c>
      <c r="AG55" s="36">
        <v>3.8061042105263163E-3</v>
      </c>
      <c r="AH55" s="36">
        <v>5.7624050505050463E-3</v>
      </c>
      <c r="AI55" s="36">
        <v>5.7720004000000012E-3</v>
      </c>
      <c r="AJ55" s="36">
        <v>9.9603040404040409E-3</v>
      </c>
      <c r="AK55" s="36">
        <v>5.0210040816326537E-3</v>
      </c>
      <c r="AL55" s="36">
        <v>6.133797826086953E-3</v>
      </c>
      <c r="AM55" s="36">
        <v>2.4808020408163267E-3</v>
      </c>
      <c r="AN55" s="36">
        <v>5.1729041666666647E-3</v>
      </c>
      <c r="AO55" s="36">
        <v>2.5040962025316463E-3</v>
      </c>
      <c r="AP55" s="36">
        <v>1.8261502272727274E-2</v>
      </c>
      <c r="AQ55" s="36">
        <v>1.9430948979591851E-3</v>
      </c>
      <c r="AR55" s="36">
        <v>4.3132957894736843E-3</v>
      </c>
      <c r="AS55" s="36">
        <v>1.4149975609756111E-3</v>
      </c>
      <c r="AT55" s="36">
        <v>0</v>
      </c>
      <c r="AU55" s="36">
        <v>3.7725000000000033E-3</v>
      </c>
      <c r="AW55" s="235">
        <v>13</v>
      </c>
      <c r="AX55" t="s">
        <v>214</v>
      </c>
      <c r="AY55" s="159">
        <v>3</v>
      </c>
      <c r="AZ55" s="235">
        <v>0.16265124867457401</v>
      </c>
      <c r="BA55" s="156">
        <v>3.9443749383808499E-2</v>
      </c>
      <c r="BB55" s="156">
        <v>7.3913770270576301E-2</v>
      </c>
      <c r="BC55" s="156">
        <v>0.16111122698022301</v>
      </c>
      <c r="BD55" s="156">
        <v>1.20231196215583E-2</v>
      </c>
      <c r="BE55" s="156">
        <v>4.1476450779866399E-2</v>
      </c>
      <c r="BF55" s="156">
        <v>6.3103375626013994E-2</v>
      </c>
      <c r="BG55" s="156">
        <v>3.3023964317537097E-2</v>
      </c>
      <c r="BH55" s="156">
        <v>0.13621297308397501</v>
      </c>
      <c r="BI55" s="156">
        <v>1.2664671806565501E-2</v>
      </c>
      <c r="BJ55" s="156">
        <v>2.7068661901129502E-2</v>
      </c>
      <c r="BK55" s="156">
        <v>6.0573927405879101E-2</v>
      </c>
      <c r="BL55" s="156">
        <v>8.6056954741224097E-3</v>
      </c>
      <c r="BM55" s="156">
        <v>6.8478814103665006E-2</v>
      </c>
      <c r="BN55" s="156">
        <v>1.2991849610749701E-2</v>
      </c>
      <c r="BO55" s="159">
        <v>8.6656500959755703E-2</v>
      </c>
      <c r="BP55" s="416">
        <f t="shared" si="0"/>
        <v>0.99999999999999956</v>
      </c>
    </row>
    <row r="56" spans="2:68" ht="14.5">
      <c r="B56" s="158" t="s">
        <v>295</v>
      </c>
      <c r="C56">
        <v>0.1035046</v>
      </c>
      <c r="D56">
        <v>-8.7168999999999996E-3</v>
      </c>
      <c r="E56">
        <v>0.14098730000000001</v>
      </c>
      <c r="F56">
        <v>1.065672</v>
      </c>
      <c r="G56">
        <v>-3.2519999999999999E-4</v>
      </c>
      <c r="H56">
        <v>-6.4102099999999995E-2</v>
      </c>
      <c r="I56">
        <v>-0.1037782</v>
      </c>
      <c r="J56">
        <v>0.1038612</v>
      </c>
      <c r="K56">
        <v>0.1393858</v>
      </c>
      <c r="L56">
        <v>-1.4805199999999999E-2</v>
      </c>
      <c r="M56">
        <v>-1.6721199999999999E-2</v>
      </c>
      <c r="N56">
        <v>-0.1148145</v>
      </c>
      <c r="O56">
        <v>-2.1619300000000001E-2</v>
      </c>
      <c r="P56">
        <v>0.33957340000000003</v>
      </c>
      <c r="Q56">
        <v>9.1959799999999994E-2</v>
      </c>
      <c r="R56" s="159">
        <v>-0.32957649999999999</v>
      </c>
      <c r="T56" s="305" t="s">
        <v>215</v>
      </c>
      <c r="U56" s="326">
        <v>3</v>
      </c>
      <c r="V56" s="36">
        <v>1.1700112359550128E-4</v>
      </c>
      <c r="W56" s="36">
        <v>6.8400299999999846E-4</v>
      </c>
      <c r="X56" s="36">
        <v>1.3987029999999951E-3</v>
      </c>
      <c r="Y56" s="36">
        <v>2.0740029999999948E-3</v>
      </c>
      <c r="Z56" s="36">
        <v>4.9830109890109959E-4</v>
      </c>
      <c r="AA56" s="36">
        <v>9.0670099999999837E-4</v>
      </c>
      <c r="AB56" s="36">
        <v>8.9620000000000227E-4</v>
      </c>
      <c r="AC56" s="36">
        <v>2.3615999999999958E-3</v>
      </c>
      <c r="AD56" s="36">
        <v>6.8560204081632883E-4</v>
      </c>
      <c r="AE56" s="36">
        <v>3.9279700000000267E-4</v>
      </c>
      <c r="AF56" s="36">
        <v>1.0051019999999958E-3</v>
      </c>
      <c r="AG56" s="36">
        <v>4.9330421052631596E-4</v>
      </c>
      <c r="AH56" s="36">
        <v>6.3060505050504677E-4</v>
      </c>
      <c r="AI56" s="36">
        <v>1.133900400000001E-3</v>
      </c>
      <c r="AJ56" s="36">
        <v>5.3440404040404159E-4</v>
      </c>
      <c r="AK56" s="36">
        <v>4.4600408163265317E-4</v>
      </c>
      <c r="AL56" s="36">
        <v>6.3189782608695283E-4</v>
      </c>
      <c r="AM56" s="36">
        <v>1.0847020408163268E-3</v>
      </c>
      <c r="AN56" s="36">
        <v>1.8380416666666447E-4</v>
      </c>
      <c r="AO56" s="36">
        <v>0</v>
      </c>
      <c r="AP56" s="36">
        <v>5.0010227272727272E-4</v>
      </c>
      <c r="AQ56" s="36">
        <v>2.6539489795918521E-4</v>
      </c>
      <c r="AR56" s="36">
        <v>6.4079578947368401E-4</v>
      </c>
      <c r="AS56" s="36">
        <v>0</v>
      </c>
      <c r="AT56" s="36">
        <v>0</v>
      </c>
      <c r="AU56" s="36">
        <v>9.1180000000000341E-4</v>
      </c>
      <c r="AW56" s="235">
        <v>14</v>
      </c>
      <c r="AX56" t="s">
        <v>215</v>
      </c>
      <c r="AY56" s="159">
        <v>3</v>
      </c>
      <c r="AZ56" s="235">
        <v>0.173081227772406</v>
      </c>
      <c r="BA56" s="156">
        <v>4.6468720329978702E-2</v>
      </c>
      <c r="BB56" s="156">
        <v>7.6963934952479093E-2</v>
      </c>
      <c r="BC56" s="156">
        <v>0.14918142289448</v>
      </c>
      <c r="BD56" s="156">
        <v>1.3590895129448201E-2</v>
      </c>
      <c r="BE56" s="156">
        <v>4.9829142546072999E-2</v>
      </c>
      <c r="BF56" s="156">
        <v>7.5979091411973301E-2</v>
      </c>
      <c r="BG56" s="156">
        <v>3.5479112431493397E-2</v>
      </c>
      <c r="BH56" s="156">
        <v>0.105585494988938</v>
      </c>
      <c r="BI56" s="156">
        <v>8.3488300546780206E-3</v>
      </c>
      <c r="BJ56" s="156">
        <v>3.4643276201666802E-2</v>
      </c>
      <c r="BK56" s="156">
        <v>5.3350998843876299E-2</v>
      </c>
      <c r="BL56" s="156">
        <v>1.3069053036524799E-2</v>
      </c>
      <c r="BM56" s="156">
        <v>3.6502955444929097E-2</v>
      </c>
      <c r="BN56" s="156">
        <v>2.6850744955467999E-2</v>
      </c>
      <c r="BO56" s="159">
        <v>0.101075099005587</v>
      </c>
      <c r="BP56" s="416">
        <f t="shared" si="0"/>
        <v>0.99999999999999978</v>
      </c>
    </row>
    <row r="57" spans="2:68" ht="14.5">
      <c r="B57" s="158" t="s">
        <v>296</v>
      </c>
      <c r="C57">
        <v>-0.48806749999999999</v>
      </c>
      <c r="D57">
        <v>2.45393E-2</v>
      </c>
      <c r="E57">
        <v>-0.86200370000000004</v>
      </c>
      <c r="F57">
        <v>-0.90608860000000002</v>
      </c>
      <c r="G57">
        <v>2.9213800000000002E-2</v>
      </c>
      <c r="H57">
        <v>-2.41695E-2</v>
      </c>
      <c r="I57">
        <v>-0.17455080000000001</v>
      </c>
      <c r="J57">
        <v>0.17647499999999999</v>
      </c>
      <c r="K57">
        <v>0.19006439999999999</v>
      </c>
      <c r="L57">
        <v>1.1509699999999999E-2</v>
      </c>
      <c r="M57">
        <v>-4.2047999999999999E-3</v>
      </c>
      <c r="N57">
        <v>-2.0808299999999998E-2</v>
      </c>
      <c r="O57">
        <v>-1.2018300000000001E-2</v>
      </c>
      <c r="P57">
        <v>-0.2143794</v>
      </c>
      <c r="Q57">
        <v>-0.2129817</v>
      </c>
      <c r="R57" s="159">
        <v>0.1598774</v>
      </c>
      <c r="T57" s="305" t="s">
        <v>216</v>
      </c>
      <c r="U57" s="326">
        <v>3</v>
      </c>
      <c r="V57" s="36">
        <v>3.35023011235955E-2</v>
      </c>
      <c r="W57" s="36">
        <v>1.7222003E-2</v>
      </c>
      <c r="X57" s="36">
        <v>3.3311702999999998E-2</v>
      </c>
      <c r="Y57" s="36">
        <v>2.3334502999999996E-2</v>
      </c>
      <c r="Z57" s="36">
        <v>3.1969701098901099E-2</v>
      </c>
      <c r="AA57" s="36">
        <v>2.4584101000000001E-2</v>
      </c>
      <c r="AB57" s="36">
        <v>2.3144400000000002E-2</v>
      </c>
      <c r="AC57" s="36">
        <v>2.1751899999999998E-2</v>
      </c>
      <c r="AD57" s="36">
        <v>3.7334702040816327E-2</v>
      </c>
      <c r="AE57" s="36">
        <v>5.1189970000000027E-3</v>
      </c>
      <c r="AF57" s="36">
        <v>3.0443601999999997E-2</v>
      </c>
      <c r="AG57" s="36">
        <v>2.117804210526316E-3</v>
      </c>
      <c r="AH57" s="36">
        <v>3.8766505050505051E-2</v>
      </c>
      <c r="AI57" s="36">
        <v>1.3659000399999999E-2</v>
      </c>
      <c r="AJ57" s="36">
        <v>1.9188904040404041E-2</v>
      </c>
      <c r="AK57" s="36">
        <v>9.4040040816326526E-3</v>
      </c>
      <c r="AL57" s="36">
        <v>1.5295597826086952E-2</v>
      </c>
      <c r="AM57" s="36">
        <v>4.1258020408163265E-3</v>
      </c>
      <c r="AN57" s="36">
        <v>9.209704166666664E-3</v>
      </c>
      <c r="AO57" s="36">
        <v>7.7719620253164615E-4</v>
      </c>
      <c r="AP57" s="36">
        <v>3.3759902272727273E-2</v>
      </c>
      <c r="AQ57" s="36">
        <v>1.1559948979591851E-3</v>
      </c>
      <c r="AR57" s="36">
        <v>9.8749957894736836E-3</v>
      </c>
      <c r="AS57" s="36">
        <v>6.6469756097561102E-4</v>
      </c>
      <c r="AT57" s="36">
        <v>0</v>
      </c>
      <c r="AU57" s="36">
        <v>2.0630500000000003E-2</v>
      </c>
      <c r="AW57" s="235">
        <v>15</v>
      </c>
      <c r="AX57" t="s">
        <v>216</v>
      </c>
      <c r="AY57" s="159">
        <v>3</v>
      </c>
      <c r="AZ57" s="235">
        <v>0.21927171726031999</v>
      </c>
      <c r="BA57" s="156">
        <v>6.0023885256940003E-2</v>
      </c>
      <c r="BB57" s="156">
        <v>7.6174384390242697E-2</v>
      </c>
      <c r="BC57" s="156">
        <v>0.14517329880615601</v>
      </c>
      <c r="BD57" s="156">
        <v>1.56377585989569E-2</v>
      </c>
      <c r="BE57" s="156">
        <v>3.2678527687223902E-2</v>
      </c>
      <c r="BF57" s="156">
        <v>6.2436128037608798E-2</v>
      </c>
      <c r="BG57" s="156">
        <v>2.81008228308126E-2</v>
      </c>
      <c r="BH57" s="156">
        <v>0.10253136455603799</v>
      </c>
      <c r="BI57" s="156">
        <v>1.53942353032446E-2</v>
      </c>
      <c r="BJ57" s="156">
        <v>2.8003706907559101E-2</v>
      </c>
      <c r="BK57" s="156">
        <v>5.3950930645565498E-2</v>
      </c>
      <c r="BL57" s="156">
        <v>1.00624515022106E-2</v>
      </c>
      <c r="BM57" s="156">
        <v>4.72551937846327E-2</v>
      </c>
      <c r="BN57" s="156">
        <v>2.2911604606588101E-2</v>
      </c>
      <c r="BO57" s="159">
        <v>8.0393989825901097E-2</v>
      </c>
      <c r="BP57" s="416">
        <f t="shared" si="0"/>
        <v>1.0000000000000004</v>
      </c>
    </row>
    <row r="58" spans="2:68" ht="14.5">
      <c r="B58" s="158" t="s">
        <v>297</v>
      </c>
      <c r="C58">
        <v>-0.2803253</v>
      </c>
      <c r="D58">
        <v>9.5215900000000006E-2</v>
      </c>
      <c r="E58">
        <v>-3.4391999999999999E-3</v>
      </c>
      <c r="F58">
        <v>0.53981670000000004</v>
      </c>
      <c r="G58">
        <v>-2.33761E-2</v>
      </c>
      <c r="H58">
        <v>-4.00837E-2</v>
      </c>
      <c r="I58">
        <v>9.2235300000000006E-2</v>
      </c>
      <c r="J58">
        <v>-6.7270300000000005E-2</v>
      </c>
      <c r="K58">
        <v>1.0154699999999999E-2</v>
      </c>
      <c r="L58">
        <v>3.3533800000000002E-2</v>
      </c>
      <c r="M58">
        <v>-1.1765400000000001E-2</v>
      </c>
      <c r="N58">
        <v>-0.13083810000000001</v>
      </c>
      <c r="O58">
        <v>-1.1827300000000001E-2</v>
      </c>
      <c r="P58">
        <v>1.9786600000000001E-2</v>
      </c>
      <c r="Q58">
        <v>-0.30472959999999999</v>
      </c>
      <c r="R58" s="159">
        <v>0.6369766</v>
      </c>
      <c r="T58" s="305" t="s">
        <v>217</v>
      </c>
      <c r="U58" s="326">
        <v>3</v>
      </c>
      <c r="V58" s="36">
        <v>5.1063011235955016E-3</v>
      </c>
      <c r="W58" s="36">
        <v>1.2436902999999999E-2</v>
      </c>
      <c r="X58" s="36">
        <v>2.1052902999999994E-2</v>
      </c>
      <c r="Y58" s="36">
        <v>1.6033002999999994E-2</v>
      </c>
      <c r="Z58" s="36">
        <v>8.3527010989010997E-3</v>
      </c>
      <c r="AA58" s="36">
        <v>1.5617000999999998E-2</v>
      </c>
      <c r="AB58" s="36">
        <v>1.3137500000000002E-2</v>
      </c>
      <c r="AC58" s="36">
        <v>1.7510399999999995E-2</v>
      </c>
      <c r="AD58" s="36">
        <v>1.6168502040816327E-2</v>
      </c>
      <c r="AE58" s="36">
        <v>5.1313970000000028E-3</v>
      </c>
      <c r="AF58" s="36">
        <v>2.0611201999999995E-2</v>
      </c>
      <c r="AG58" s="36">
        <v>5.4113042105263156E-3</v>
      </c>
      <c r="AH58" s="36">
        <v>1.7709305050505046E-2</v>
      </c>
      <c r="AI58" s="36">
        <v>1.37202004E-2</v>
      </c>
      <c r="AJ58" s="36">
        <v>1.6108004040404043E-2</v>
      </c>
      <c r="AK58" s="36">
        <v>5.5506040816326535E-3</v>
      </c>
      <c r="AL58" s="36">
        <v>1.3453097826086953E-2</v>
      </c>
      <c r="AM58" s="36">
        <v>5.2067020408163266E-3</v>
      </c>
      <c r="AN58" s="36">
        <v>1.2451404166666664E-2</v>
      </c>
      <c r="AO58" s="36">
        <v>7.0319620253164608E-4</v>
      </c>
      <c r="AP58" s="36">
        <v>3.795730227272727E-2</v>
      </c>
      <c r="AQ58" s="36">
        <v>4.2837948979591849E-3</v>
      </c>
      <c r="AR58" s="36">
        <v>1.9656995789473684E-2</v>
      </c>
      <c r="AS58" s="36">
        <v>5.874975609756111E-4</v>
      </c>
      <c r="AT58" s="36">
        <v>0</v>
      </c>
      <c r="AU58" s="36">
        <v>1.4641900000000003E-2</v>
      </c>
      <c r="AW58" s="235">
        <v>16</v>
      </c>
      <c r="AX58" t="s">
        <v>217</v>
      </c>
      <c r="AY58" s="159">
        <v>3</v>
      </c>
      <c r="AZ58" s="235">
        <v>0.187106512561236</v>
      </c>
      <c r="BA58" s="156">
        <v>5.3745115296194697E-2</v>
      </c>
      <c r="BB58" s="156">
        <v>7.0362302175720898E-2</v>
      </c>
      <c r="BC58" s="156">
        <v>0.15444276581605701</v>
      </c>
      <c r="BD58" s="156">
        <v>1.9052466974771701E-2</v>
      </c>
      <c r="BE58" s="156">
        <v>4.3836996463424503E-2</v>
      </c>
      <c r="BF58" s="156">
        <v>5.3133581767837702E-2</v>
      </c>
      <c r="BG58" s="156">
        <v>3.6524727355780801E-2</v>
      </c>
      <c r="BH58" s="156">
        <v>0.1037389841302</v>
      </c>
      <c r="BI58" s="156">
        <v>1.0744061521159001E-2</v>
      </c>
      <c r="BJ58" s="156">
        <v>2.7424112852875101E-2</v>
      </c>
      <c r="BK58" s="156">
        <v>5.9109638597708E-2</v>
      </c>
      <c r="BL58" s="156">
        <v>1.26076804913249E-2</v>
      </c>
      <c r="BM58" s="156">
        <v>6.1325000507761303E-2</v>
      </c>
      <c r="BN58" s="156">
        <v>1.6477734034540101E-2</v>
      </c>
      <c r="BO58" s="159">
        <v>9.0368319453408202E-2</v>
      </c>
      <c r="BP58" s="416">
        <f t="shared" si="0"/>
        <v>0.99999999999999989</v>
      </c>
    </row>
    <row r="59" spans="2:68" ht="14.5">
      <c r="B59" s="158" t="s">
        <v>298</v>
      </c>
      <c r="C59">
        <v>0.32103039999999999</v>
      </c>
      <c r="D59">
        <v>3.10215E-2</v>
      </c>
      <c r="E59">
        <v>0.5928658</v>
      </c>
      <c r="F59">
        <v>0.3082781</v>
      </c>
      <c r="G59">
        <v>-9.6009999999999997E-4</v>
      </c>
      <c r="H59">
        <v>8.8210499999999997E-2</v>
      </c>
      <c r="I59">
        <v>-6.4317000000000003E-3</v>
      </c>
      <c r="J59">
        <v>3.9343700000000002E-2</v>
      </c>
      <c r="K59">
        <v>0.13120599999999999</v>
      </c>
      <c r="L59">
        <v>-1.1041799999999999E-2</v>
      </c>
      <c r="M59">
        <v>-1.52771E-2</v>
      </c>
      <c r="N59">
        <v>6.912E-4</v>
      </c>
      <c r="O59">
        <v>1.1816999999999999E-2</v>
      </c>
      <c r="P59">
        <v>-0.2040151</v>
      </c>
      <c r="Q59">
        <v>-0.1561882</v>
      </c>
      <c r="R59" s="159">
        <v>3.4144000000000001E-2</v>
      </c>
      <c r="T59" s="305" t="s">
        <v>225</v>
      </c>
      <c r="U59" s="326">
        <v>3</v>
      </c>
      <c r="V59" s="36">
        <v>2.1686011235955015E-3</v>
      </c>
      <c r="W59" s="36">
        <v>1.9875029999999985E-3</v>
      </c>
      <c r="X59" s="36">
        <v>1.3956029999999953E-3</v>
      </c>
      <c r="Y59" s="36">
        <v>4.764002999999995E-3</v>
      </c>
      <c r="Z59" s="36">
        <v>1.7550010989010995E-3</v>
      </c>
      <c r="AA59" s="36">
        <v>1.6976009999999985E-3</v>
      </c>
      <c r="AB59" s="36">
        <v>1.6093000000000021E-3</v>
      </c>
      <c r="AC59" s="36">
        <v>3.8433999999999955E-3</v>
      </c>
      <c r="AD59" s="36">
        <v>2.057902040816329E-3</v>
      </c>
      <c r="AE59" s="36">
        <v>5.5959700000000271E-4</v>
      </c>
      <c r="AF59" s="36">
        <v>3.0278019999999957E-3</v>
      </c>
      <c r="AG59" s="36">
        <v>1.8710421052631589E-4</v>
      </c>
      <c r="AH59" s="36">
        <v>2.8883050505050466E-3</v>
      </c>
      <c r="AI59" s="36">
        <v>1.339200400000001E-3</v>
      </c>
      <c r="AJ59" s="36">
        <v>1.4736040404040418E-3</v>
      </c>
      <c r="AK59" s="36">
        <v>8.7380408163265316E-4</v>
      </c>
      <c r="AL59" s="36">
        <v>8.6447978260869515E-3</v>
      </c>
      <c r="AM59" s="36">
        <v>6.4840204081632663E-4</v>
      </c>
      <c r="AN59" s="36">
        <v>0</v>
      </c>
      <c r="AO59" s="36">
        <v>0</v>
      </c>
      <c r="AP59" s="36">
        <v>0</v>
      </c>
      <c r="AQ59" s="36">
        <v>7.7399489795918516E-4</v>
      </c>
      <c r="AR59" s="36">
        <v>1.9800957894736838E-3</v>
      </c>
      <c r="AS59" s="36">
        <v>6.3339756097561108E-4</v>
      </c>
      <c r="AT59" s="36">
        <v>0</v>
      </c>
      <c r="AU59" s="36">
        <v>1.3363000000000032E-3</v>
      </c>
      <c r="AW59" s="235">
        <v>17</v>
      </c>
      <c r="AX59" t="s">
        <v>225</v>
      </c>
      <c r="AY59" s="159">
        <v>3</v>
      </c>
      <c r="AZ59" s="235">
        <v>0.18254608425986901</v>
      </c>
      <c r="BA59" s="156">
        <v>5.71617990173163E-2</v>
      </c>
      <c r="BB59" s="156">
        <v>8.6274288693599793E-2</v>
      </c>
      <c r="BC59" s="156">
        <v>0.122178038577855</v>
      </c>
      <c r="BD59" s="156">
        <v>1.21885033979781E-2</v>
      </c>
      <c r="BE59" s="156">
        <v>5.1462253382728598E-2</v>
      </c>
      <c r="BF59" s="156">
        <v>5.20045185200902E-2</v>
      </c>
      <c r="BG59" s="156">
        <v>3.6264980882278697E-2</v>
      </c>
      <c r="BH59" s="156">
        <v>0.12406529015583199</v>
      </c>
      <c r="BI59" s="156">
        <v>9.2299972044633093E-3</v>
      </c>
      <c r="BJ59" s="156">
        <v>2.5719674170944899E-2</v>
      </c>
      <c r="BK59" s="156">
        <v>5.20248142971282E-2</v>
      </c>
      <c r="BL59" s="156">
        <v>1.2260647008943099E-2</v>
      </c>
      <c r="BM59" s="156">
        <v>6.1289135646800899E-2</v>
      </c>
      <c r="BN59" s="156">
        <v>1.6929615642548999E-2</v>
      </c>
      <c r="BO59" s="159">
        <v>9.8400359141623095E-2</v>
      </c>
      <c r="BP59" s="416">
        <f t="shared" si="0"/>
        <v>1.0000000000000004</v>
      </c>
    </row>
    <row r="60" spans="2:68" ht="14.5">
      <c r="B60" s="158" t="s">
        <v>299</v>
      </c>
      <c r="C60">
        <v>-0.91508710000000004</v>
      </c>
      <c r="D60">
        <v>-7.4015999999999998E-2</v>
      </c>
      <c r="E60">
        <v>-0.14210020000000001</v>
      </c>
      <c r="F60">
        <v>-0.21425859999999999</v>
      </c>
      <c r="G60">
        <v>-1.1609899999999999E-2</v>
      </c>
      <c r="H60">
        <v>-1.0036099999999999E-2</v>
      </c>
      <c r="I60">
        <v>-0.1231722</v>
      </c>
      <c r="J60">
        <v>0.19449069999999999</v>
      </c>
      <c r="K60">
        <v>-0.28398839999999997</v>
      </c>
      <c r="L60">
        <v>-8.9689999999999995E-3</v>
      </c>
      <c r="M60">
        <v>-6.7079000000000001E-3</v>
      </c>
      <c r="N60">
        <v>-0.10018639999999999</v>
      </c>
      <c r="O60">
        <v>-2.7072100000000002E-2</v>
      </c>
      <c r="P60">
        <v>0.31314900000000001</v>
      </c>
      <c r="Q60">
        <v>-7.8580899999999995E-2</v>
      </c>
      <c r="R60" s="159">
        <v>0.46317760000000002</v>
      </c>
      <c r="T60" s="305" t="s">
        <v>219</v>
      </c>
      <c r="U60" s="326">
        <v>3</v>
      </c>
      <c r="V60" s="36">
        <v>6.729601123595501E-3</v>
      </c>
      <c r="W60" s="36">
        <v>6.4408029999999984E-3</v>
      </c>
      <c r="X60" s="36">
        <v>7.5191029999999949E-3</v>
      </c>
      <c r="Y60" s="36">
        <v>1.1166302999999995E-2</v>
      </c>
      <c r="Z60" s="36">
        <v>5.6333010989010994E-3</v>
      </c>
      <c r="AA60" s="36">
        <v>5.2598009999999988E-3</v>
      </c>
      <c r="AB60" s="36">
        <v>4.3928000000000023E-3</v>
      </c>
      <c r="AC60" s="36">
        <v>1.1117499999999995E-2</v>
      </c>
      <c r="AD60" s="36">
        <v>1.2220802040816329E-2</v>
      </c>
      <c r="AE60" s="36">
        <v>4.8134970000000025E-3</v>
      </c>
      <c r="AF60" s="36">
        <v>7.9027019999999958E-3</v>
      </c>
      <c r="AG60" s="36">
        <v>3.391504210526316E-3</v>
      </c>
      <c r="AH60" s="36">
        <v>1.4810805050505048E-2</v>
      </c>
      <c r="AI60" s="36">
        <v>5.5326004000000014E-3</v>
      </c>
      <c r="AJ60" s="36">
        <v>6.6502040404040419E-3</v>
      </c>
      <c r="AK60" s="36">
        <v>3.2950040816326536E-3</v>
      </c>
      <c r="AL60" s="36">
        <v>2.6983997826086955E-2</v>
      </c>
      <c r="AM60" s="36">
        <v>1.4656020408163268E-3</v>
      </c>
      <c r="AN60" s="36">
        <v>6.7826041666666642E-3</v>
      </c>
      <c r="AO60" s="36">
        <v>0</v>
      </c>
      <c r="AP60" s="36">
        <v>2.6504902272727275E-2</v>
      </c>
      <c r="AQ60" s="36">
        <v>2.4147948979591854E-3</v>
      </c>
      <c r="AR60" s="36">
        <v>1.5877957894736843E-3</v>
      </c>
      <c r="AS60" s="36">
        <v>6.6869756097561112E-4</v>
      </c>
      <c r="AT60" s="36">
        <v>0</v>
      </c>
      <c r="AU60" s="36">
        <v>4.9033000000000037E-3</v>
      </c>
      <c r="AW60" s="235">
        <v>18</v>
      </c>
      <c r="AX60" t="s">
        <v>219</v>
      </c>
      <c r="AY60" s="159">
        <v>3</v>
      </c>
      <c r="AZ60" s="235">
        <v>0.19230050470593801</v>
      </c>
      <c r="BA60" s="156">
        <v>5.1099938306953897E-2</v>
      </c>
      <c r="BB60" s="156">
        <v>7.1781662204618693E-2</v>
      </c>
      <c r="BC60" s="156">
        <v>0.144901876633828</v>
      </c>
      <c r="BD60" s="156">
        <v>1.2876807314800599E-2</v>
      </c>
      <c r="BE60" s="156">
        <v>5.3957772179672202E-2</v>
      </c>
      <c r="BF60" s="156">
        <v>5.5736419651614397E-2</v>
      </c>
      <c r="BG60" s="156">
        <v>3.3506241112872599E-2</v>
      </c>
      <c r="BH60" s="156">
        <v>0.120769164946178</v>
      </c>
      <c r="BI60" s="156">
        <v>8.9517513759719003E-3</v>
      </c>
      <c r="BJ60" s="156">
        <v>2.45818781032691E-2</v>
      </c>
      <c r="BK60" s="156">
        <v>5.67570020799186E-2</v>
      </c>
      <c r="BL60" s="156">
        <v>7.1744166858149798E-3</v>
      </c>
      <c r="BM60" s="156">
        <v>5.7549422603857099E-2</v>
      </c>
      <c r="BN60" s="156">
        <v>2.3377316976791698E-2</v>
      </c>
      <c r="BO60" s="159">
        <v>8.4677825117901201E-2</v>
      </c>
      <c r="BP60" s="416">
        <f t="shared" si="0"/>
        <v>1.0000000000000009</v>
      </c>
    </row>
    <row r="61" spans="2:68" ht="14.5">
      <c r="B61" s="158" t="s">
        <v>300</v>
      </c>
      <c r="C61">
        <v>-0.39280749999999998</v>
      </c>
      <c r="D61">
        <v>-7.6889999999999997E-3</v>
      </c>
      <c r="E61">
        <v>1.235166</v>
      </c>
      <c r="F61">
        <v>0.69462279999999998</v>
      </c>
      <c r="G61">
        <v>-7.7669999999999996E-3</v>
      </c>
      <c r="H61">
        <v>-6.4627000000000004E-2</v>
      </c>
      <c r="I61">
        <v>0.3788936</v>
      </c>
      <c r="J61">
        <v>-5.0726500000000001E-2</v>
      </c>
      <c r="K61">
        <v>0.12210509999999999</v>
      </c>
      <c r="L61">
        <v>-4.2040599999999997E-2</v>
      </c>
      <c r="M61">
        <v>-2.19303E-2</v>
      </c>
      <c r="N61">
        <v>-0.14308290000000001</v>
      </c>
      <c r="O61">
        <v>8.1817999999999995E-3</v>
      </c>
      <c r="P61">
        <v>-0.1818254</v>
      </c>
      <c r="Q61">
        <v>-0.29418569999999999</v>
      </c>
      <c r="R61" s="159">
        <v>0.24335999999999999</v>
      </c>
      <c r="T61" s="305" t="s">
        <v>220</v>
      </c>
      <c r="U61" s="326">
        <v>3</v>
      </c>
      <c r="V61" s="36">
        <v>2.8467801123595503E-2</v>
      </c>
      <c r="W61" s="36">
        <v>1.1121302999999999E-2</v>
      </c>
      <c r="X61" s="36">
        <v>3.2721603000000002E-2</v>
      </c>
      <c r="Y61" s="36">
        <v>1.9712302999999994E-2</v>
      </c>
      <c r="Z61" s="36">
        <v>1.78646010989011E-2</v>
      </c>
      <c r="AA61" s="36">
        <v>2.1791801E-2</v>
      </c>
      <c r="AB61" s="36">
        <v>1.3161400000000002E-2</v>
      </c>
      <c r="AC61" s="36">
        <v>1.8849899999999996E-2</v>
      </c>
      <c r="AD61" s="36">
        <v>3.6481602040816331E-2</v>
      </c>
      <c r="AE61" s="36">
        <v>7.6893970000000023E-3</v>
      </c>
      <c r="AF61" s="36">
        <v>1.8994201999999995E-2</v>
      </c>
      <c r="AG61" s="36">
        <v>3.727504210526316E-3</v>
      </c>
      <c r="AH61" s="36">
        <v>3.4635705050505047E-2</v>
      </c>
      <c r="AI61" s="36">
        <v>1.4106800399999999E-2</v>
      </c>
      <c r="AJ61" s="36">
        <v>1.4504204040404041E-2</v>
      </c>
      <c r="AK61" s="36">
        <v>8.0527040816326528E-3</v>
      </c>
      <c r="AL61" s="36">
        <v>5.231519782608695E-2</v>
      </c>
      <c r="AM61" s="36">
        <v>2.6685020408163266E-3</v>
      </c>
      <c r="AN61" s="36">
        <v>1.9512904166666664E-2</v>
      </c>
      <c r="AO61" s="36">
        <v>3.2549620253164617E-4</v>
      </c>
      <c r="AP61" s="36">
        <v>1.2562902272727272E-2</v>
      </c>
      <c r="AQ61" s="36">
        <v>1.9871948979591856E-3</v>
      </c>
      <c r="AR61" s="36">
        <v>8.5138957894736831E-3</v>
      </c>
      <c r="AS61" s="36">
        <v>9.3372975609756111E-3</v>
      </c>
      <c r="AT61" s="36">
        <v>0</v>
      </c>
      <c r="AU61" s="36">
        <v>1.9601500000000004E-2</v>
      </c>
      <c r="AW61" s="235">
        <v>19</v>
      </c>
      <c r="AX61" t="s">
        <v>220</v>
      </c>
      <c r="AY61" s="159">
        <v>3</v>
      </c>
      <c r="AZ61" s="235">
        <v>0.18308527942698799</v>
      </c>
      <c r="BA61" s="156">
        <v>5.3761834437379301E-2</v>
      </c>
      <c r="BB61" s="156">
        <v>7.4436010747013698E-2</v>
      </c>
      <c r="BC61" s="156">
        <v>0.165315529046314</v>
      </c>
      <c r="BD61" s="156">
        <v>1.86668957501007E-2</v>
      </c>
      <c r="BE61" s="156">
        <v>5.6844063898412997E-2</v>
      </c>
      <c r="BF61" s="156">
        <v>5.7161564765586897E-2</v>
      </c>
      <c r="BG61" s="156">
        <v>3.0960981301961399E-2</v>
      </c>
      <c r="BH61" s="156">
        <v>9.8130271950436901E-2</v>
      </c>
      <c r="BI61" s="156">
        <v>9.1131329410134992E-3</v>
      </c>
      <c r="BJ61" s="156">
        <v>2.6790906852281599E-2</v>
      </c>
      <c r="BK61" s="156">
        <v>4.5319506103803399E-2</v>
      </c>
      <c r="BL61" s="156">
        <v>8.8259364558233005E-3</v>
      </c>
      <c r="BM61" s="156">
        <v>5.4415828629139601E-2</v>
      </c>
      <c r="BN61" s="156">
        <v>2.4213181509753798E-2</v>
      </c>
      <c r="BO61" s="159">
        <v>9.2959076183991102E-2</v>
      </c>
      <c r="BP61" s="416">
        <f t="shared" si="0"/>
        <v>1.0000000000000002</v>
      </c>
    </row>
    <row r="62" spans="2:68" ht="14.5">
      <c r="B62" s="160" t="s">
        <v>301</v>
      </c>
      <c r="C62" s="237">
        <v>-1.257436</v>
      </c>
      <c r="D62" s="237">
        <v>-6.7037600000000003E-2</v>
      </c>
      <c r="E62" s="237">
        <v>0.43779069999999998</v>
      </c>
      <c r="F62" s="237">
        <v>1.2438149999999999</v>
      </c>
      <c r="G62" s="237">
        <v>9.2397E-3</v>
      </c>
      <c r="H62" s="237">
        <v>0.1063356</v>
      </c>
      <c r="I62" s="237">
        <v>0.28682780000000002</v>
      </c>
      <c r="J62" s="237">
        <v>0.17184550000000001</v>
      </c>
      <c r="K62" s="237">
        <v>0.18308430000000001</v>
      </c>
      <c r="L62" s="237">
        <v>-3.3254999999999999E-3</v>
      </c>
      <c r="M62" s="237">
        <v>5.0645999999999998E-3</v>
      </c>
      <c r="N62" s="237">
        <v>7.7941999999999997E-2</v>
      </c>
      <c r="O62" s="237">
        <v>2.7106000000000001E-3</v>
      </c>
      <c r="P62" s="237">
        <v>-0.30386629999999998</v>
      </c>
      <c r="Q62" s="237">
        <v>-4.0937500000000002E-2</v>
      </c>
      <c r="R62" s="161">
        <v>-0.1582877</v>
      </c>
      <c r="T62" s="307" t="s">
        <v>221</v>
      </c>
      <c r="U62" s="327">
        <v>3</v>
      </c>
      <c r="V62" s="36">
        <v>4.4284011235955012E-3</v>
      </c>
      <c r="W62" s="36">
        <v>6.044202999999998E-3</v>
      </c>
      <c r="X62" s="36">
        <v>7.142702999999995E-3</v>
      </c>
      <c r="Y62" s="36">
        <v>7.8607029999999949E-3</v>
      </c>
      <c r="Z62" s="36">
        <v>8.2746010989011003E-3</v>
      </c>
      <c r="AA62" s="36">
        <v>8.375500999999997E-3</v>
      </c>
      <c r="AB62" s="36">
        <v>6.1167000000000027E-3</v>
      </c>
      <c r="AC62" s="36">
        <v>8.5285999999999956E-3</v>
      </c>
      <c r="AD62" s="36">
        <v>5.8919020408163287E-3</v>
      </c>
      <c r="AE62" s="36">
        <v>4.4604970000000025E-3</v>
      </c>
      <c r="AF62" s="36">
        <v>5.9668019999999959E-3</v>
      </c>
      <c r="AG62" s="36">
        <v>3.9497042105263161E-3</v>
      </c>
      <c r="AH62" s="36">
        <v>6.3320050505050463E-3</v>
      </c>
      <c r="AI62" s="36">
        <v>3.6747004000000009E-3</v>
      </c>
      <c r="AJ62" s="36">
        <v>5.4311040404040421E-3</v>
      </c>
      <c r="AK62" s="36">
        <v>1.5640040816326532E-3</v>
      </c>
      <c r="AL62" s="36">
        <v>1.0543978260869529E-3</v>
      </c>
      <c r="AM62" s="36">
        <v>1.7554020408163268E-3</v>
      </c>
      <c r="AN62" s="36">
        <v>3.9583041666666641E-3</v>
      </c>
      <c r="AO62" s="36">
        <v>1.1995962025316462E-3</v>
      </c>
      <c r="AP62" s="36">
        <v>3.4527022727272728E-3</v>
      </c>
      <c r="AQ62" s="36">
        <v>1.1732948979591852E-3</v>
      </c>
      <c r="AR62" s="36">
        <v>3.090395789473684E-3</v>
      </c>
      <c r="AS62" s="36">
        <v>4.31697560975611E-4</v>
      </c>
      <c r="AT62" s="36">
        <v>0</v>
      </c>
      <c r="AU62" s="36">
        <v>4.9760000000000039E-3</v>
      </c>
      <c r="AW62" s="236">
        <v>20</v>
      </c>
      <c r="AX62" s="237" t="s">
        <v>221</v>
      </c>
      <c r="AY62" s="161">
        <v>3</v>
      </c>
      <c r="AZ62" s="236">
        <v>0.16605472452020401</v>
      </c>
      <c r="BA62" s="237">
        <v>4.6121864933730702E-2</v>
      </c>
      <c r="BB62" s="237">
        <v>7.1765321976929003E-2</v>
      </c>
      <c r="BC62" s="237">
        <v>0.149919270531407</v>
      </c>
      <c r="BD62" s="237">
        <v>1.3976926460534601E-2</v>
      </c>
      <c r="BE62" s="237">
        <v>3.6100899865813101E-2</v>
      </c>
      <c r="BF62" s="237">
        <v>5.20874059513955E-2</v>
      </c>
      <c r="BG62" s="237">
        <v>3.3468448235818897E-2</v>
      </c>
      <c r="BH62" s="237">
        <v>0.102987700542941</v>
      </c>
      <c r="BI62" s="237">
        <v>1.07079280037598E-2</v>
      </c>
      <c r="BJ62" s="237">
        <v>2.7823899253269099E-2</v>
      </c>
      <c r="BK62" s="237">
        <v>6.1312774268362499E-2</v>
      </c>
      <c r="BL62" s="237">
        <v>1.5596976015047901E-2</v>
      </c>
      <c r="BM62" s="237">
        <v>0.10183408898539401</v>
      </c>
      <c r="BN62" s="237">
        <v>1.5464393446630399E-2</v>
      </c>
      <c r="BO62" s="161">
        <v>9.4777377008762403E-2</v>
      </c>
      <c r="BP62" s="416">
        <f t="shared" si="0"/>
        <v>0.99999999999999989</v>
      </c>
    </row>
    <row r="63" spans="2:68" ht="14.5">
      <c r="B63" s="238" t="s">
        <v>302</v>
      </c>
      <c r="C63" s="42">
        <v>-0.87850030000000001</v>
      </c>
      <c r="D63" s="42">
        <v>4.1279000000000003E-3</v>
      </c>
      <c r="E63" s="42">
        <v>0.2349482</v>
      </c>
      <c r="F63" s="42">
        <v>-2.6440380000000001</v>
      </c>
      <c r="G63" s="42">
        <v>-9.6598699999999996E-2</v>
      </c>
      <c r="H63" s="42">
        <v>-4.3797999999999997E-3</v>
      </c>
      <c r="I63" s="42">
        <v>0.97921480000000005</v>
      </c>
      <c r="J63" s="42">
        <v>9.52234E-2</v>
      </c>
      <c r="K63" s="42">
        <v>-9.0601200000000007E-2</v>
      </c>
      <c r="L63" s="42">
        <v>-1.2356600000000001E-2</v>
      </c>
      <c r="M63" s="42">
        <v>2.632E-4</v>
      </c>
      <c r="N63" s="42">
        <v>7.6181899999999997E-2</v>
      </c>
      <c r="O63" s="42">
        <v>-6.5616900000000006E-2</v>
      </c>
      <c r="P63" s="42">
        <v>-7.3599100000000001E-2</v>
      </c>
      <c r="Q63">
        <v>-0.2771747</v>
      </c>
      <c r="R63" s="159">
        <v>-0.15069270000000001</v>
      </c>
      <c r="T63" s="305" t="s">
        <v>204</v>
      </c>
      <c r="U63" s="326">
        <v>4</v>
      </c>
      <c r="V63" s="36">
        <v>3.1747011235955013E-3</v>
      </c>
      <c r="W63" s="36">
        <v>2.1438103E-2</v>
      </c>
      <c r="X63" s="36">
        <v>6.342802999999995E-3</v>
      </c>
      <c r="Y63" s="36">
        <v>2.2074502999999995E-2</v>
      </c>
      <c r="Z63" s="36">
        <v>2.1112010989010996E-3</v>
      </c>
      <c r="AA63" s="36">
        <v>1.5309200999999998E-2</v>
      </c>
      <c r="AB63" s="36">
        <v>9.1153000000000015E-3</v>
      </c>
      <c r="AC63" s="36">
        <v>2.0496499999999997E-2</v>
      </c>
      <c r="AD63" s="36">
        <v>2.921202040816329E-3</v>
      </c>
      <c r="AE63" s="36">
        <v>2.1577697E-2</v>
      </c>
      <c r="AF63" s="36">
        <v>7.0052019999999951E-3</v>
      </c>
      <c r="AG63" s="36">
        <v>2.9239004210526318E-2</v>
      </c>
      <c r="AH63" s="36">
        <v>6.3409050505050463E-3</v>
      </c>
      <c r="AI63" s="36">
        <v>1.7238400400000003E-2</v>
      </c>
      <c r="AJ63" s="36">
        <v>8.1645040404040407E-3</v>
      </c>
      <c r="AK63" s="36">
        <v>2.6941504081632654E-2</v>
      </c>
      <c r="AL63" s="36">
        <v>1.1365197826086953E-2</v>
      </c>
      <c r="AM63" s="36">
        <v>9.5473020408163266E-3</v>
      </c>
      <c r="AN63" s="36">
        <v>4.3912041666666641E-3</v>
      </c>
      <c r="AO63" s="36">
        <v>3.4025962025316463E-3</v>
      </c>
      <c r="AP63" s="36">
        <v>2.7056022727272727E-3</v>
      </c>
      <c r="AQ63" s="36">
        <v>1.7686294897959184E-2</v>
      </c>
      <c r="AR63" s="36">
        <v>1.4876957894736842E-3</v>
      </c>
      <c r="AS63" s="36">
        <v>8.3229975609756118E-3</v>
      </c>
      <c r="AT63" s="36">
        <v>0</v>
      </c>
      <c r="AU63" s="36">
        <v>9.9410000000000037E-3</v>
      </c>
      <c r="AW63" s="235">
        <v>1</v>
      </c>
      <c r="AX63" t="s">
        <v>204</v>
      </c>
      <c r="AY63" s="159">
        <v>4</v>
      </c>
      <c r="AZ63" s="233">
        <v>0.12665117097749801</v>
      </c>
      <c r="BA63" s="42">
        <v>4.1209178380718997E-2</v>
      </c>
      <c r="BB63" s="42">
        <v>6.8322677345588903E-2</v>
      </c>
      <c r="BC63" s="42">
        <v>0.12772861294458401</v>
      </c>
      <c r="BD63" s="42">
        <v>2.23802354819835E-2</v>
      </c>
      <c r="BE63" s="42">
        <v>3.1994485734517998E-2</v>
      </c>
      <c r="BF63" s="42">
        <v>5.8796807189626002E-2</v>
      </c>
      <c r="BG63" s="42">
        <v>2.7328562487368899E-2</v>
      </c>
      <c r="BH63" s="42">
        <v>0.13210418549500799</v>
      </c>
      <c r="BI63" s="42">
        <v>1.42491733036012E-2</v>
      </c>
      <c r="BJ63" s="42">
        <v>2.7023169647860699E-2</v>
      </c>
      <c r="BK63" s="42">
        <v>8.8711856614565293E-2</v>
      </c>
      <c r="BL63" s="42">
        <v>1.04901441869903E-2</v>
      </c>
      <c r="BM63" s="42">
        <v>9.8918660018755503E-2</v>
      </c>
      <c r="BN63" s="42">
        <v>2.8036628972921501E-2</v>
      </c>
      <c r="BO63" s="234">
        <v>9.6054451218411496E-2</v>
      </c>
      <c r="BP63" s="416">
        <f t="shared" si="0"/>
        <v>1.0000000000000002</v>
      </c>
    </row>
    <row r="64" spans="2:68" ht="14.5">
      <c r="B64" s="158" t="s">
        <v>303</v>
      </c>
      <c r="C64">
        <v>-0.77978840000000005</v>
      </c>
      <c r="D64">
        <v>5.3194699999999998E-2</v>
      </c>
      <c r="E64">
        <v>0.37259700000000001</v>
      </c>
      <c r="F64">
        <v>-1.9901519999999999</v>
      </c>
      <c r="G64">
        <v>9.8566999999999995E-3</v>
      </c>
      <c r="H64">
        <v>-7.9507999999999992E-3</v>
      </c>
      <c r="I64">
        <v>0.34688259999999999</v>
      </c>
      <c r="J64">
        <v>0.1380422</v>
      </c>
      <c r="K64">
        <v>0.38612879999999999</v>
      </c>
      <c r="L64">
        <v>-3.9845999999999996E-3</v>
      </c>
      <c r="M64">
        <v>-3.4096E-3</v>
      </c>
      <c r="N64">
        <v>0.10943840000000001</v>
      </c>
      <c r="O64">
        <v>-2.1680499999999998E-2</v>
      </c>
      <c r="P64">
        <v>-0.1314283</v>
      </c>
      <c r="Q64">
        <v>-0.46713739999999998</v>
      </c>
      <c r="R64" s="159">
        <v>0.10006669999999999</v>
      </c>
      <c r="T64" s="305" t="s">
        <v>223</v>
      </c>
      <c r="U64" s="326">
        <v>4</v>
      </c>
      <c r="V64" s="36">
        <v>1.6920112359550127E-4</v>
      </c>
      <c r="W64" s="36">
        <v>5.3930299999999847E-4</v>
      </c>
      <c r="X64" s="36">
        <v>1.7830299999999508E-4</v>
      </c>
      <c r="Y64" s="36">
        <v>5.8950299999999502E-4</v>
      </c>
      <c r="Z64" s="36">
        <v>0</v>
      </c>
      <c r="AA64" s="36">
        <v>6.853009999999984E-4</v>
      </c>
      <c r="AB64" s="36">
        <v>0</v>
      </c>
      <c r="AC64" s="36">
        <v>5.8249999999999556E-4</v>
      </c>
      <c r="AD64" s="36">
        <v>3.3460204081632887E-4</v>
      </c>
      <c r="AE64" s="36">
        <v>6.5199700000000268E-4</v>
      </c>
      <c r="AF64" s="36">
        <v>1.2390199999999562E-4</v>
      </c>
      <c r="AG64" s="36">
        <v>2.5400421052631589E-4</v>
      </c>
      <c r="AH64" s="36">
        <v>2.5370505050504672E-4</v>
      </c>
      <c r="AI64" s="36">
        <v>5.2010040000000091E-4</v>
      </c>
      <c r="AJ64" s="36">
        <v>7.8604040404041639E-5</v>
      </c>
      <c r="AK64" s="36">
        <v>2.2450408163265318E-4</v>
      </c>
      <c r="AL64" s="36">
        <v>0</v>
      </c>
      <c r="AM64" s="36">
        <v>3.3600204081632657E-4</v>
      </c>
      <c r="AN64" s="36">
        <v>0</v>
      </c>
      <c r="AO64" s="36">
        <v>1.0689620253164616E-4</v>
      </c>
      <c r="AP64" s="36">
        <v>0</v>
      </c>
      <c r="AQ64" s="36">
        <v>3.4399489795918523E-4</v>
      </c>
      <c r="AR64" s="36">
        <v>0</v>
      </c>
      <c r="AS64" s="36">
        <v>9.549756097561104E-5</v>
      </c>
      <c r="AT64" s="36">
        <v>0</v>
      </c>
      <c r="AU64" s="36">
        <v>3.2280000000000329E-4</v>
      </c>
      <c r="AW64" s="235">
        <v>2</v>
      </c>
      <c r="AX64" t="s">
        <v>223</v>
      </c>
      <c r="AY64" s="159">
        <v>4</v>
      </c>
      <c r="AZ64" s="235">
        <v>9.4398425471312802E-2</v>
      </c>
      <c r="BA64" s="156">
        <v>2.2755415113128799E-2</v>
      </c>
      <c r="BB64" s="156">
        <v>6.0343725278789402E-2</v>
      </c>
      <c r="BC64" s="156">
        <v>0.163059580262925</v>
      </c>
      <c r="BD64" s="156">
        <v>2.3510810751088601E-2</v>
      </c>
      <c r="BE64" s="156">
        <v>3.1871295776911703E-2</v>
      </c>
      <c r="BF64" s="156">
        <v>7.3245614536836298E-2</v>
      </c>
      <c r="BG64" s="156">
        <v>3.8585923195270003E-2</v>
      </c>
      <c r="BH64" s="156">
        <v>0.120844509192786</v>
      </c>
      <c r="BI64" s="156">
        <v>1.0567084144782E-2</v>
      </c>
      <c r="BJ64" s="156">
        <v>2.1153544181413499E-2</v>
      </c>
      <c r="BK64" s="156">
        <v>7.2912903894869999E-2</v>
      </c>
      <c r="BL64" s="156">
        <v>7.8913071056311897E-3</v>
      </c>
      <c r="BM64" s="156">
        <v>0.15349730716281501</v>
      </c>
      <c r="BN64" s="156">
        <v>2.5996749918035099E-2</v>
      </c>
      <c r="BO64" s="159">
        <v>7.9365804013403804E-2</v>
      </c>
      <c r="BP64" s="416">
        <f t="shared" si="0"/>
        <v>0.99999999999999933</v>
      </c>
    </row>
    <row r="65" spans="2:68" ht="14.5">
      <c r="B65" s="158" t="s">
        <v>304</v>
      </c>
      <c r="C65">
        <v>-2.9680000000000002E-3</v>
      </c>
      <c r="D65">
        <v>2.93397E-2</v>
      </c>
      <c r="E65">
        <v>0.33601490000000001</v>
      </c>
      <c r="F65">
        <v>-5.9929699999999997</v>
      </c>
      <c r="G65">
        <v>-1.2517800000000001E-2</v>
      </c>
      <c r="H65">
        <v>1.57974E-2</v>
      </c>
      <c r="I65">
        <v>0.37561060000000002</v>
      </c>
      <c r="J65">
        <v>0.150394</v>
      </c>
      <c r="K65">
        <v>-8.42532E-2</v>
      </c>
      <c r="L65">
        <v>1.9772000000000001E-3</v>
      </c>
      <c r="M65">
        <v>3.9075000000000004E-3</v>
      </c>
      <c r="N65">
        <v>0.2367938</v>
      </c>
      <c r="O65">
        <v>-5.34595E-2</v>
      </c>
      <c r="P65">
        <v>2.8453900000000001E-2</v>
      </c>
      <c r="Q65">
        <v>2.9462700000000001E-2</v>
      </c>
      <c r="R65" s="159">
        <v>0.40426279999999998</v>
      </c>
      <c r="T65" s="305" t="s">
        <v>205</v>
      </c>
      <c r="U65" s="326">
        <v>4</v>
      </c>
      <c r="V65" s="36">
        <v>2.8330112359550131E-4</v>
      </c>
      <c r="W65" s="36">
        <v>3.0262102999999999E-2</v>
      </c>
      <c r="X65" s="36">
        <v>1.3576302999999994E-2</v>
      </c>
      <c r="Y65" s="36">
        <v>2.9158002999999995E-2</v>
      </c>
      <c r="Z65" s="36">
        <v>3.7300109890109958E-4</v>
      </c>
      <c r="AA65" s="36">
        <v>2.8148000999999999E-2</v>
      </c>
      <c r="AB65" s="36">
        <v>2.9887100000000003E-2</v>
      </c>
      <c r="AC65" s="36">
        <v>2.7755799999999997E-2</v>
      </c>
      <c r="AD65" s="36">
        <v>4.8225020408163288E-3</v>
      </c>
      <c r="AE65" s="36">
        <v>5.4584697000000001E-2</v>
      </c>
      <c r="AF65" s="36">
        <v>2.2243801999999997E-2</v>
      </c>
      <c r="AG65" s="36">
        <v>5.8438604210526317E-2</v>
      </c>
      <c r="AH65" s="36">
        <v>5.9336050505050461E-3</v>
      </c>
      <c r="AI65" s="36">
        <v>4.4906700399999999E-2</v>
      </c>
      <c r="AJ65" s="36">
        <v>2.8829304040404041E-2</v>
      </c>
      <c r="AK65" s="36">
        <v>6.9326204081632661E-2</v>
      </c>
      <c r="AL65" s="36">
        <v>2.6641897826086954E-2</v>
      </c>
      <c r="AM65" s="36">
        <v>6.059520204081633E-2</v>
      </c>
      <c r="AN65" s="36">
        <v>3.3432104166666664E-2</v>
      </c>
      <c r="AO65" s="36">
        <v>4.9176596202531647E-2</v>
      </c>
      <c r="AP65" s="36">
        <v>9.2818022727272718E-3</v>
      </c>
      <c r="AQ65" s="36">
        <v>6.7911394897959179E-2</v>
      </c>
      <c r="AR65" s="36">
        <v>2.9621295789473683E-2</v>
      </c>
      <c r="AS65" s="36">
        <v>5.2290897560975609E-2</v>
      </c>
      <c r="AT65" s="36">
        <v>0</v>
      </c>
      <c r="AU65" s="36">
        <v>2.6333200000000005E-2</v>
      </c>
      <c r="AW65" s="235">
        <v>3</v>
      </c>
      <c r="AX65" t="s">
        <v>205</v>
      </c>
      <c r="AY65" s="159">
        <v>4</v>
      </c>
      <c r="AZ65" s="235">
        <v>0.12402934010976301</v>
      </c>
      <c r="BA65" s="156">
        <v>3.87065236046489E-2</v>
      </c>
      <c r="BB65" s="156">
        <v>6.4691139984438595E-2</v>
      </c>
      <c r="BC65" s="156">
        <v>0.149920592809176</v>
      </c>
      <c r="BD65" s="156">
        <v>1.8885061026771201E-2</v>
      </c>
      <c r="BE65" s="156">
        <v>3.0640730361621599E-2</v>
      </c>
      <c r="BF65" s="156">
        <v>5.5632278725389603E-2</v>
      </c>
      <c r="BG65" s="156">
        <v>3.0382224317957899E-2</v>
      </c>
      <c r="BH65" s="156">
        <v>0.11727002949686199</v>
      </c>
      <c r="BI65" s="156">
        <v>2.0119726747208098E-2</v>
      </c>
      <c r="BJ65" s="156">
        <v>3.01848635688668E-2</v>
      </c>
      <c r="BK65" s="156">
        <v>8.5266328881785106E-2</v>
      </c>
      <c r="BL65" s="156">
        <v>1.1825602330902E-2</v>
      </c>
      <c r="BM65" s="156">
        <v>0.106111524787389</v>
      </c>
      <c r="BN65" s="156">
        <v>1.7994009530905599E-2</v>
      </c>
      <c r="BO65" s="159">
        <v>9.8340023716314506E-2</v>
      </c>
      <c r="BP65" s="416">
        <f t="shared" si="0"/>
        <v>0.99999999999999978</v>
      </c>
    </row>
    <row r="66" spans="2:68" ht="14.5">
      <c r="B66" s="158" t="s">
        <v>305</v>
      </c>
      <c r="C66">
        <v>0.38455420000000001</v>
      </c>
      <c r="D66">
        <v>-2.1055899999999999E-2</v>
      </c>
      <c r="E66">
        <v>0.2537278</v>
      </c>
      <c r="F66">
        <v>-0.88510960000000005</v>
      </c>
      <c r="G66">
        <v>5.1194999999999999E-3</v>
      </c>
      <c r="H66">
        <v>1.8549E-3</v>
      </c>
      <c r="I66">
        <v>0.30772830000000001</v>
      </c>
      <c r="J66">
        <v>-0.72282040000000003</v>
      </c>
      <c r="K66">
        <v>0.27232689999999998</v>
      </c>
      <c r="L66">
        <v>-2.58642E-2</v>
      </c>
      <c r="M66">
        <v>1.66128E-2</v>
      </c>
      <c r="N66">
        <v>3.5712500000000001E-2</v>
      </c>
      <c r="O66">
        <v>2.0204099999999999E-2</v>
      </c>
      <c r="P66">
        <v>1.145932</v>
      </c>
      <c r="Q66">
        <v>-1.3994400000000001E-2</v>
      </c>
      <c r="R66" s="159">
        <v>-0.76527719999999999</v>
      </c>
      <c r="T66" s="305" t="s">
        <v>206</v>
      </c>
      <c r="U66" s="326">
        <v>4</v>
      </c>
      <c r="V66" s="36">
        <v>0</v>
      </c>
      <c r="W66" s="36">
        <v>3.3770029999999982E-3</v>
      </c>
      <c r="X66" s="36">
        <v>2.101002999999995E-3</v>
      </c>
      <c r="Y66" s="36">
        <v>3.456702999999995E-3</v>
      </c>
      <c r="Z66" s="36">
        <v>1.1360109890109953E-4</v>
      </c>
      <c r="AA66" s="36">
        <v>2.8892009999999984E-3</v>
      </c>
      <c r="AB66" s="36">
        <v>1.5047000000000023E-3</v>
      </c>
      <c r="AC66" s="36">
        <v>3.0491999999999958E-3</v>
      </c>
      <c r="AD66" s="36">
        <v>6.0190204081632891E-4</v>
      </c>
      <c r="AE66" s="36">
        <v>6.9492970000000027E-3</v>
      </c>
      <c r="AF66" s="36">
        <v>2.9042019999999955E-3</v>
      </c>
      <c r="AG66" s="36">
        <v>5.2225042105263153E-3</v>
      </c>
      <c r="AH66" s="36">
        <v>5.1070505050504673E-4</v>
      </c>
      <c r="AI66" s="36">
        <v>6.9039004000000011E-3</v>
      </c>
      <c r="AJ66" s="36">
        <v>3.4343040404040417E-3</v>
      </c>
      <c r="AK66" s="36">
        <v>3.1101040816326536E-3</v>
      </c>
      <c r="AL66" s="36">
        <v>1.3166978260869529E-3</v>
      </c>
      <c r="AM66" s="36">
        <v>3.9679020408163266E-3</v>
      </c>
      <c r="AN66" s="36">
        <v>8.6620416666666449E-4</v>
      </c>
      <c r="AO66" s="36">
        <v>2.2544962025316463E-3</v>
      </c>
      <c r="AP66" s="36">
        <v>2.1117022727272731E-3</v>
      </c>
      <c r="AQ66" s="36">
        <v>4.8223948979591851E-3</v>
      </c>
      <c r="AR66" s="36">
        <v>4.6249957894736841E-3</v>
      </c>
      <c r="AS66" s="36">
        <v>2.0378975609756109E-3</v>
      </c>
      <c r="AT66" s="36">
        <v>0</v>
      </c>
      <c r="AU66" s="36">
        <v>3.2336000000000036E-3</v>
      </c>
      <c r="AW66" s="235">
        <v>4</v>
      </c>
      <c r="AX66" t="s">
        <v>206</v>
      </c>
      <c r="AY66" s="159">
        <v>4</v>
      </c>
      <c r="AZ66" s="235">
        <v>8.4186872476000402E-2</v>
      </c>
      <c r="BA66" s="156">
        <v>2.5823463028247399E-2</v>
      </c>
      <c r="BB66" s="156">
        <v>6.2938329111389801E-2</v>
      </c>
      <c r="BC66" s="156">
        <v>0.15225175383395401</v>
      </c>
      <c r="BD66" s="156">
        <v>2.1028786921429399E-2</v>
      </c>
      <c r="BE66" s="156">
        <v>2.2713659419476399E-2</v>
      </c>
      <c r="BF66" s="156">
        <v>6.00644676767218E-2</v>
      </c>
      <c r="BG66" s="156">
        <v>2.9656630634178401E-2</v>
      </c>
      <c r="BH66" s="156">
        <v>7.1630627352124304E-2</v>
      </c>
      <c r="BI66" s="156">
        <v>1.49603287542693E-2</v>
      </c>
      <c r="BJ66" s="156">
        <v>2.3004581129919498E-2</v>
      </c>
      <c r="BK66" s="156">
        <v>7.4154063670366102E-2</v>
      </c>
      <c r="BL66" s="156">
        <v>8.8390507992462501E-3</v>
      </c>
      <c r="BM66" s="156">
        <v>0.25532269970808302</v>
      </c>
      <c r="BN66" s="156">
        <v>1.6533136069483E-2</v>
      </c>
      <c r="BO66" s="159">
        <v>7.6891549415110394E-2</v>
      </c>
      <c r="BP66" s="416">
        <f t="shared" si="0"/>
        <v>0.99999999999999978</v>
      </c>
    </row>
    <row r="67" spans="2:68" ht="14.5">
      <c r="B67" s="158" t="s">
        <v>306</v>
      </c>
      <c r="C67">
        <v>-0.1191169</v>
      </c>
      <c r="D67">
        <v>-8.0496999999999999E-3</v>
      </c>
      <c r="E67">
        <v>4.8119700000000001E-2</v>
      </c>
      <c r="F67">
        <v>-0.72723249999999995</v>
      </c>
      <c r="G67">
        <v>-1.0440700000000001E-2</v>
      </c>
      <c r="H67">
        <v>1.46014E-2</v>
      </c>
      <c r="I67">
        <v>0.38521929999999999</v>
      </c>
      <c r="J67">
        <v>8.3146100000000001E-2</v>
      </c>
      <c r="K67">
        <v>7.2400599999999996E-2</v>
      </c>
      <c r="L67">
        <v>-2.5038E-3</v>
      </c>
      <c r="M67">
        <v>-1.3010999999999999E-3</v>
      </c>
      <c r="N67">
        <v>5.2875199999999997E-2</v>
      </c>
      <c r="O67">
        <v>2.5310900000000001E-2</v>
      </c>
      <c r="P67">
        <v>0.23514570000000001</v>
      </c>
      <c r="Q67">
        <v>-7.1849300000000005E-2</v>
      </c>
      <c r="R67" s="159">
        <v>-0.2901494</v>
      </c>
      <c r="T67" s="305" t="s">
        <v>207</v>
      </c>
      <c r="U67" s="326">
        <v>4</v>
      </c>
      <c r="V67" s="36">
        <v>1.5383011235955014E-3</v>
      </c>
      <c r="W67" s="36">
        <v>2.4837102999999999E-2</v>
      </c>
      <c r="X67" s="36">
        <v>1.2304502999999994E-2</v>
      </c>
      <c r="Y67" s="36">
        <v>1.6699002999999994E-2</v>
      </c>
      <c r="Z67" s="36">
        <v>9.2901098901099533E-5</v>
      </c>
      <c r="AA67" s="36">
        <v>1.8795000999999999E-2</v>
      </c>
      <c r="AB67" s="36">
        <v>1.1997700000000002E-2</v>
      </c>
      <c r="AC67" s="36">
        <v>1.8147699999999996E-2</v>
      </c>
      <c r="AD67" s="36">
        <v>1.7933020408163289E-3</v>
      </c>
      <c r="AE67" s="36">
        <v>2.8669797E-2</v>
      </c>
      <c r="AF67" s="36">
        <v>8.8314019999999951E-3</v>
      </c>
      <c r="AG67" s="36">
        <v>1.4096304210526317E-2</v>
      </c>
      <c r="AH67" s="36">
        <v>2.9890050505050466E-3</v>
      </c>
      <c r="AI67" s="36">
        <v>2.64867004E-2</v>
      </c>
      <c r="AJ67" s="36">
        <v>1.8548604040404041E-2</v>
      </c>
      <c r="AK67" s="36">
        <v>1.9629304081632652E-2</v>
      </c>
      <c r="AL67" s="36">
        <v>1.1935597826086951E-2</v>
      </c>
      <c r="AM67" s="36">
        <v>1.2269502040816326E-2</v>
      </c>
      <c r="AN67" s="36">
        <v>9.610004166666665E-3</v>
      </c>
      <c r="AO67" s="36">
        <v>9.293796202531646E-3</v>
      </c>
      <c r="AP67" s="36">
        <v>1.4470002272727272E-2</v>
      </c>
      <c r="AQ67" s="36">
        <v>1.6657494897959185E-2</v>
      </c>
      <c r="AR67" s="36">
        <v>1.6247395789473682E-2</v>
      </c>
      <c r="AS67" s="36">
        <v>3.3126975609756109E-3</v>
      </c>
      <c r="AT67" s="36">
        <v>0</v>
      </c>
      <c r="AU67" s="36">
        <v>1.1465900000000003E-2</v>
      </c>
      <c r="AW67" s="235">
        <v>5</v>
      </c>
      <c r="AX67" t="s">
        <v>207</v>
      </c>
      <c r="AY67" s="159">
        <v>4</v>
      </c>
      <c r="AZ67" s="235">
        <v>0.117005610168417</v>
      </c>
      <c r="BA67" s="156">
        <v>3.3303883075951897E-2</v>
      </c>
      <c r="BB67" s="156">
        <v>6.69923174962513E-2</v>
      </c>
      <c r="BC67" s="156">
        <v>0.14542229542610499</v>
      </c>
      <c r="BD67" s="156">
        <v>1.18706660255557E-2</v>
      </c>
      <c r="BE67" s="156">
        <v>3.6204934582470302E-2</v>
      </c>
      <c r="BF67" s="156">
        <v>5.3518849795213902E-2</v>
      </c>
      <c r="BG67" s="156">
        <v>3.8193416656309397E-2</v>
      </c>
      <c r="BH67" s="156">
        <v>0.111755724020386</v>
      </c>
      <c r="BI67" s="156">
        <v>1.40956380379387E-2</v>
      </c>
      <c r="BJ67" s="156">
        <v>2.57092683193977E-2</v>
      </c>
      <c r="BK67" s="156">
        <v>8.10959462917097E-2</v>
      </c>
      <c r="BL67" s="156">
        <v>1.18651836792529E-2</v>
      </c>
      <c r="BM67" s="156">
        <v>0.13217915731034799</v>
      </c>
      <c r="BN67" s="156">
        <v>2.4162398102311002E-2</v>
      </c>
      <c r="BO67" s="159">
        <v>9.6624711012381598E-2</v>
      </c>
      <c r="BP67" s="416">
        <f t="shared" si="0"/>
        <v>1.0000000000000002</v>
      </c>
    </row>
    <row r="68" spans="2:68" ht="14.5">
      <c r="B68" s="158" t="s">
        <v>307</v>
      </c>
      <c r="C68">
        <v>0.21717320000000001</v>
      </c>
      <c r="D68">
        <v>4.1166700000000001E-2</v>
      </c>
      <c r="E68">
        <v>-7.4459399999999995E-2</v>
      </c>
      <c r="F68">
        <v>0.82340650000000004</v>
      </c>
      <c r="G68">
        <v>-5.4349999999999997E-3</v>
      </c>
      <c r="H68">
        <v>2.8241700000000002E-2</v>
      </c>
      <c r="I68">
        <v>0.45626810000000001</v>
      </c>
      <c r="J68">
        <v>7.7473600000000004E-2</v>
      </c>
      <c r="K68">
        <v>-4.5735000000000003E-3</v>
      </c>
      <c r="L68">
        <v>6.3494900000000007E-2</v>
      </c>
      <c r="M68">
        <v>4.3382000000000004E-3</v>
      </c>
      <c r="N68">
        <v>-3.8998699999999997E-2</v>
      </c>
      <c r="O68">
        <v>-4.21073E-2</v>
      </c>
      <c r="P68">
        <v>0.15828400000000001</v>
      </c>
      <c r="Q68">
        <v>-0.3091951</v>
      </c>
      <c r="R68" s="159">
        <v>-9.66109E-2</v>
      </c>
      <c r="T68" s="305" t="s">
        <v>208</v>
      </c>
      <c r="U68" s="326">
        <v>4</v>
      </c>
      <c r="V68" s="36">
        <v>1.0440112359550128E-4</v>
      </c>
      <c r="W68" s="36">
        <v>4.8006029999999988E-3</v>
      </c>
      <c r="X68" s="36">
        <v>1.7523029999999952E-3</v>
      </c>
      <c r="Y68" s="36">
        <v>3.6179029999999948E-3</v>
      </c>
      <c r="Z68" s="36">
        <v>0</v>
      </c>
      <c r="AA68" s="36">
        <v>2.7260009999999983E-3</v>
      </c>
      <c r="AB68" s="36">
        <v>4.3561000000000025E-3</v>
      </c>
      <c r="AC68" s="36">
        <v>4.0680999999999955E-3</v>
      </c>
      <c r="AD68" s="36">
        <v>1.4843020408163289E-3</v>
      </c>
      <c r="AE68" s="36">
        <v>6.528497000000002E-3</v>
      </c>
      <c r="AF68" s="36">
        <v>2.5184019999999955E-3</v>
      </c>
      <c r="AG68" s="36">
        <v>9.2815042105263163E-3</v>
      </c>
      <c r="AH68" s="36">
        <v>4.0660505050504675E-4</v>
      </c>
      <c r="AI68" s="36">
        <v>6.7518004000000006E-3</v>
      </c>
      <c r="AJ68" s="36">
        <v>4.3945040404040417E-3</v>
      </c>
      <c r="AK68" s="36">
        <v>8.2593040816326541E-3</v>
      </c>
      <c r="AL68" s="36">
        <v>3.8414978260869529E-3</v>
      </c>
      <c r="AM68" s="36">
        <v>8.4204020408163265E-3</v>
      </c>
      <c r="AN68" s="36">
        <v>4.5410041666666644E-3</v>
      </c>
      <c r="AO68" s="36">
        <v>4.3707962025316465E-3</v>
      </c>
      <c r="AP68" s="36">
        <v>8.580022727272728E-4</v>
      </c>
      <c r="AQ68" s="36">
        <v>6.433194897959185E-3</v>
      </c>
      <c r="AR68" s="36">
        <v>1.0375995789473683E-2</v>
      </c>
      <c r="AS68" s="36">
        <v>4.4453975609756117E-3</v>
      </c>
      <c r="AT68" s="36">
        <v>0</v>
      </c>
      <c r="AU68" s="36">
        <v>3.5349000000000036E-3</v>
      </c>
      <c r="AW68" s="235">
        <v>6</v>
      </c>
      <c r="AX68" t="s">
        <v>208</v>
      </c>
      <c r="AY68" s="159">
        <v>4</v>
      </c>
      <c r="AZ68" s="235">
        <v>0.124102326588502</v>
      </c>
      <c r="BA68" s="156">
        <v>2.7273308976973502E-2</v>
      </c>
      <c r="BB68" s="156">
        <v>6.4986114211345494E-2</v>
      </c>
      <c r="BC68" s="156">
        <v>0.14216691461247499</v>
      </c>
      <c r="BD68" s="156">
        <v>1.38823905946482E-2</v>
      </c>
      <c r="BE68" s="156">
        <v>3.2017072908349799E-2</v>
      </c>
      <c r="BF68" s="156">
        <v>5.3673060383002298E-2</v>
      </c>
      <c r="BG68" s="156">
        <v>5.3758000928378798E-2</v>
      </c>
      <c r="BH68" s="156">
        <v>0.113663264065668</v>
      </c>
      <c r="BI68" s="156">
        <v>1.8894082516666799E-2</v>
      </c>
      <c r="BJ68" s="156">
        <v>2.5383404397514901E-2</v>
      </c>
      <c r="BK68" s="156">
        <v>8.8080081904611696E-2</v>
      </c>
      <c r="BL68" s="156">
        <v>9.4027698016297401E-3</v>
      </c>
      <c r="BM68" s="156">
        <v>0.103829617483185</v>
      </c>
      <c r="BN68" s="156">
        <v>2.9449972132648199E-2</v>
      </c>
      <c r="BO68" s="159">
        <v>9.9437618494400803E-2</v>
      </c>
      <c r="BP68" s="416">
        <f t="shared" ref="BP68:BP102" si="1">SUM(AZ68:BO68)</f>
        <v>1.0000000000000002</v>
      </c>
    </row>
    <row r="69" spans="2:68" ht="14.5">
      <c r="B69" s="158" t="s">
        <v>308</v>
      </c>
      <c r="C69">
        <v>-0.44906689999999999</v>
      </c>
      <c r="D69">
        <v>-4.5084399999999997E-2</v>
      </c>
      <c r="E69">
        <v>-8.3125099999999993E-2</v>
      </c>
      <c r="F69">
        <v>1.5349889999999999</v>
      </c>
      <c r="G69">
        <v>-1.7511800000000001E-2</v>
      </c>
      <c r="H69">
        <v>1.4674E-2</v>
      </c>
      <c r="I69">
        <v>-0.25047079999999999</v>
      </c>
      <c r="J69">
        <v>-1.0229200000000001E-2</v>
      </c>
      <c r="K69">
        <v>-9.3071200000000007E-2</v>
      </c>
      <c r="L69">
        <v>-4.7028E-3</v>
      </c>
      <c r="M69">
        <v>4.2516000000000003E-3</v>
      </c>
      <c r="N69">
        <v>-5.95445E-2</v>
      </c>
      <c r="O69">
        <v>-1.38175E-2</v>
      </c>
      <c r="P69">
        <v>0.55598369999999997</v>
      </c>
      <c r="Q69">
        <v>-2.5548499999999998E-2</v>
      </c>
      <c r="R69" s="159">
        <v>-0.23850940000000001</v>
      </c>
      <c r="T69" s="305" t="s">
        <v>209</v>
      </c>
      <c r="U69" s="326">
        <v>4</v>
      </c>
      <c r="V69" s="36">
        <v>0</v>
      </c>
      <c r="W69" s="36">
        <v>4.6228029999999982E-3</v>
      </c>
      <c r="X69" s="36">
        <v>2.6471029999999948E-3</v>
      </c>
      <c r="Y69" s="36">
        <v>5.6934029999999953E-3</v>
      </c>
      <c r="Z69" s="36">
        <v>2.6940109890109955E-4</v>
      </c>
      <c r="AA69" s="36">
        <v>3.375900999999998E-3</v>
      </c>
      <c r="AB69" s="36">
        <v>3.6683000000000024E-3</v>
      </c>
      <c r="AC69" s="36">
        <v>4.0224999999999957E-3</v>
      </c>
      <c r="AD69" s="36">
        <v>2.1363020408163287E-3</v>
      </c>
      <c r="AE69" s="36">
        <v>9.752797000000004E-3</v>
      </c>
      <c r="AF69" s="36">
        <v>4.6713019999999952E-3</v>
      </c>
      <c r="AG69" s="36">
        <v>1.1571304210526316E-2</v>
      </c>
      <c r="AH69" s="36">
        <v>1.6643050505050468E-3</v>
      </c>
      <c r="AI69" s="36">
        <v>9.3497004000000009E-3</v>
      </c>
      <c r="AJ69" s="36">
        <v>5.263304040404042E-3</v>
      </c>
      <c r="AK69" s="36">
        <v>1.3311104081632653E-2</v>
      </c>
      <c r="AL69" s="36">
        <v>6.1445978260869531E-3</v>
      </c>
      <c r="AM69" s="36">
        <v>1.0575102040816327E-2</v>
      </c>
      <c r="AN69" s="36">
        <v>6.0394041666666648E-3</v>
      </c>
      <c r="AO69" s="36">
        <v>7.9383962025316463E-3</v>
      </c>
      <c r="AP69" s="36">
        <v>0</v>
      </c>
      <c r="AQ69" s="36">
        <v>8.5707948979591858E-3</v>
      </c>
      <c r="AR69" s="36">
        <v>1.6182957894736842E-3</v>
      </c>
      <c r="AS69" s="36">
        <v>4.545997560975611E-3</v>
      </c>
      <c r="AT69" s="36">
        <v>0</v>
      </c>
      <c r="AU69" s="36">
        <v>3.7466000000000036E-3</v>
      </c>
      <c r="AW69" s="235">
        <v>7</v>
      </c>
      <c r="AX69" t="s">
        <v>209</v>
      </c>
      <c r="AY69" s="159">
        <v>4</v>
      </c>
      <c r="AZ69" s="235">
        <v>0.13294136413966501</v>
      </c>
      <c r="BA69" s="156">
        <v>4.45603685362028E-2</v>
      </c>
      <c r="BB69" s="156">
        <v>5.3191384415281498E-2</v>
      </c>
      <c r="BC69" s="156">
        <v>0.18411062334467601</v>
      </c>
      <c r="BD69" s="156">
        <v>2.6798721715668699E-2</v>
      </c>
      <c r="BE69" s="156">
        <v>3.3119022593339098E-2</v>
      </c>
      <c r="BF69" s="156">
        <v>4.1727223324922798E-2</v>
      </c>
      <c r="BG69" s="156">
        <v>3.10564039371309E-2</v>
      </c>
      <c r="BH69" s="156">
        <v>9.1617129642655296E-2</v>
      </c>
      <c r="BI69" s="156">
        <v>2.0675275152536299E-2</v>
      </c>
      <c r="BJ69" s="156">
        <v>1.97677303549799E-2</v>
      </c>
      <c r="BK69" s="156">
        <v>5.8229514491322902E-2</v>
      </c>
      <c r="BL69" s="156">
        <v>6.2700386921272899E-3</v>
      </c>
      <c r="BM69" s="156">
        <v>0.130223666310017</v>
      </c>
      <c r="BN69" s="156">
        <v>3.24239663317928E-2</v>
      </c>
      <c r="BO69" s="159">
        <v>9.3287567017681899E-2</v>
      </c>
      <c r="BP69" s="416">
        <f t="shared" si="1"/>
        <v>1.0000000000000002</v>
      </c>
    </row>
    <row r="70" spans="2:68" ht="14.5">
      <c r="B70" s="158" t="s">
        <v>309</v>
      </c>
      <c r="C70">
        <v>-0.1289507</v>
      </c>
      <c r="D70">
        <v>-5.9585300000000001E-2</v>
      </c>
      <c r="E70">
        <v>-0.2051433</v>
      </c>
      <c r="F70">
        <v>0.1940636</v>
      </c>
      <c r="G70">
        <v>1.50878E-2</v>
      </c>
      <c r="H70">
        <v>1.1127000000000001E-3</v>
      </c>
      <c r="I70">
        <v>-0.28045920000000002</v>
      </c>
      <c r="J70">
        <v>0.13063060000000001</v>
      </c>
      <c r="K70">
        <v>-8.6564999999999993E-3</v>
      </c>
      <c r="L70">
        <v>-1.7926999999999999E-3</v>
      </c>
      <c r="M70">
        <v>-7.8101999999999998E-3</v>
      </c>
      <c r="N70">
        <v>-2.6392999999999998E-3</v>
      </c>
      <c r="O70">
        <v>1.3644E-2</v>
      </c>
      <c r="P70">
        <v>-7.0487499999999995E-2</v>
      </c>
      <c r="Q70">
        <v>-0.19397110000000001</v>
      </c>
      <c r="R70" s="159">
        <v>0.36790200000000001</v>
      </c>
      <c r="T70" s="305" t="s">
        <v>224</v>
      </c>
      <c r="U70" s="326">
        <v>4</v>
      </c>
      <c r="V70" s="36">
        <v>2.0974011235955015E-3</v>
      </c>
      <c r="W70" s="36">
        <v>1.5602502999999998E-2</v>
      </c>
      <c r="X70" s="36">
        <v>4.1989029999999952E-3</v>
      </c>
      <c r="Y70" s="36">
        <v>1.4997002999999995E-2</v>
      </c>
      <c r="Z70" s="36">
        <v>8.3580109890109961E-4</v>
      </c>
      <c r="AA70" s="36">
        <v>1.2781200999999997E-2</v>
      </c>
      <c r="AB70" s="36">
        <v>9.5822000000000025E-3</v>
      </c>
      <c r="AC70" s="36">
        <v>1.4465399999999995E-2</v>
      </c>
      <c r="AD70" s="36">
        <v>4.4818020408163286E-3</v>
      </c>
      <c r="AE70" s="36">
        <v>2.7369897000000001E-2</v>
      </c>
      <c r="AF70" s="36">
        <v>6.5052019999999955E-3</v>
      </c>
      <c r="AG70" s="36">
        <v>3.0853404210526316E-2</v>
      </c>
      <c r="AH70" s="36">
        <v>3.3655050505050467E-3</v>
      </c>
      <c r="AI70" s="36">
        <v>2.3418900400000001E-2</v>
      </c>
      <c r="AJ70" s="36">
        <v>8.8924040404040408E-3</v>
      </c>
      <c r="AK70" s="36">
        <v>2.7080004081632653E-2</v>
      </c>
      <c r="AL70" s="36">
        <v>2.892597826086953E-3</v>
      </c>
      <c r="AM70" s="36">
        <v>2.3504602040816325E-2</v>
      </c>
      <c r="AN70" s="36">
        <v>4.8240041666666646E-3</v>
      </c>
      <c r="AO70" s="36">
        <v>1.4310196202531647E-2</v>
      </c>
      <c r="AP70" s="36">
        <v>1.1916402272727273E-2</v>
      </c>
      <c r="AQ70" s="36">
        <v>1.9481694897959187E-2</v>
      </c>
      <c r="AR70" s="36">
        <v>1.0428495789473684E-2</v>
      </c>
      <c r="AS70" s="36">
        <v>1.4229997560975611E-2</v>
      </c>
      <c r="AT70" s="36">
        <v>0</v>
      </c>
      <c r="AU70" s="36">
        <v>9.0573000000000042E-3</v>
      </c>
      <c r="AW70" s="235">
        <v>8</v>
      </c>
      <c r="AX70" t="s">
        <v>224</v>
      </c>
      <c r="AY70" s="159">
        <v>4</v>
      </c>
      <c r="AZ70" s="235">
        <v>0.111124691325049</v>
      </c>
      <c r="BA70" s="156">
        <v>3.2621244636830901E-2</v>
      </c>
      <c r="BB70" s="156">
        <v>6.5680918557446996E-2</v>
      </c>
      <c r="BC70" s="156">
        <v>0.154631504992083</v>
      </c>
      <c r="BD70" s="156">
        <v>1.4846249834260999E-2</v>
      </c>
      <c r="BE70" s="156">
        <v>3.2823960552939201E-2</v>
      </c>
      <c r="BF70" s="156">
        <v>5.6019614372926997E-2</v>
      </c>
      <c r="BG70" s="156">
        <v>3.5750915227266998E-2</v>
      </c>
      <c r="BH70" s="156">
        <v>0.120416062672977</v>
      </c>
      <c r="BI70" s="156">
        <v>1.6313031655374899E-2</v>
      </c>
      <c r="BJ70" s="156">
        <v>2.7932574550288101E-2</v>
      </c>
      <c r="BK70" s="156">
        <v>8.3579205695081205E-2</v>
      </c>
      <c r="BL70" s="156">
        <v>1.29773363934049E-2</v>
      </c>
      <c r="BM70" s="156">
        <v>0.12356743869574</v>
      </c>
      <c r="BN70" s="156">
        <v>1.9225814228242499E-2</v>
      </c>
      <c r="BO70" s="159">
        <v>9.2489436610087294E-2</v>
      </c>
      <c r="BP70" s="416">
        <f t="shared" si="1"/>
        <v>1</v>
      </c>
    </row>
    <row r="71" spans="2:68" ht="14.5">
      <c r="B71" s="158" t="s">
        <v>310</v>
      </c>
      <c r="C71">
        <v>0.45282600000000001</v>
      </c>
      <c r="D71">
        <v>3.8516599999999998E-2</v>
      </c>
      <c r="E71">
        <v>-0.17476420000000001</v>
      </c>
      <c r="F71">
        <v>-0.65080800000000005</v>
      </c>
      <c r="G71">
        <v>-3.5888200000000002E-2</v>
      </c>
      <c r="H71">
        <v>7.2721499999999994E-2</v>
      </c>
      <c r="I71">
        <v>9.5600000000000004E-2</v>
      </c>
      <c r="J71">
        <v>0.1012396</v>
      </c>
      <c r="K71">
        <v>-6.7426899999999998E-2</v>
      </c>
      <c r="L71">
        <v>-2.87152E-2</v>
      </c>
      <c r="M71">
        <v>1.5789999999999999E-4</v>
      </c>
      <c r="N71">
        <v>5.3283999999999996E-3</v>
      </c>
      <c r="O71">
        <v>-4.3165E-3</v>
      </c>
      <c r="P71">
        <v>0.98723959999999999</v>
      </c>
      <c r="Q71">
        <v>-7.1337399999999995E-2</v>
      </c>
      <c r="R71" s="159">
        <v>0.27281490000000003</v>
      </c>
      <c r="T71" s="305" t="s">
        <v>210</v>
      </c>
      <c r="U71" s="326">
        <v>4</v>
      </c>
      <c r="V71" s="36">
        <v>1.8815011235955013E-3</v>
      </c>
      <c r="W71" s="36">
        <v>1.3429302999999998E-2</v>
      </c>
      <c r="X71" s="36">
        <v>4.8238029999999946E-3</v>
      </c>
      <c r="Y71" s="36">
        <v>1.5912602999999994E-2</v>
      </c>
      <c r="Z71" s="36">
        <v>1.5974010989010994E-3</v>
      </c>
      <c r="AA71" s="36">
        <v>1.1045700999999998E-2</v>
      </c>
      <c r="AB71" s="36">
        <v>8.568000000000001E-3</v>
      </c>
      <c r="AC71" s="36">
        <v>1.5991899999999996E-2</v>
      </c>
      <c r="AD71" s="36">
        <v>3.2781020408163288E-3</v>
      </c>
      <c r="AE71" s="36">
        <v>1.8196597000000002E-2</v>
      </c>
      <c r="AF71" s="36">
        <v>7.3900019999999953E-3</v>
      </c>
      <c r="AG71" s="36">
        <v>1.9536904210526316E-2</v>
      </c>
      <c r="AH71" s="36">
        <v>2.8081050505050467E-3</v>
      </c>
      <c r="AI71" s="36">
        <v>1.8612800400000001E-2</v>
      </c>
      <c r="AJ71" s="36">
        <v>7.9647040404040408E-3</v>
      </c>
      <c r="AK71" s="36">
        <v>2.1178704081632655E-2</v>
      </c>
      <c r="AL71" s="36">
        <v>8.1551978260869518E-3</v>
      </c>
      <c r="AM71" s="36">
        <v>1.8730802040816324E-2</v>
      </c>
      <c r="AN71" s="36">
        <v>8.1798041666666637E-3</v>
      </c>
      <c r="AO71" s="36">
        <v>1.3197196202531646E-2</v>
      </c>
      <c r="AP71" s="36">
        <v>1.1239702272727272E-2</v>
      </c>
      <c r="AQ71" s="36">
        <v>1.5986794897959185E-2</v>
      </c>
      <c r="AR71" s="36">
        <v>7.0170957894736844E-3</v>
      </c>
      <c r="AS71" s="36">
        <v>9.9381975609756108E-3</v>
      </c>
      <c r="AT71" s="36">
        <v>0</v>
      </c>
      <c r="AU71" s="36">
        <v>9.2396000000000041E-3</v>
      </c>
      <c r="AW71" s="235">
        <v>9</v>
      </c>
      <c r="AX71" t="s">
        <v>210</v>
      </c>
      <c r="AY71" s="159">
        <v>4</v>
      </c>
      <c r="AZ71" s="235">
        <v>0.123619797336944</v>
      </c>
      <c r="BA71" s="156">
        <v>3.7898214726215698E-2</v>
      </c>
      <c r="BB71" s="156">
        <v>5.7934542089143601E-2</v>
      </c>
      <c r="BC71" s="156">
        <v>0.15239299421074201</v>
      </c>
      <c r="BD71" s="156">
        <v>1.48088578006088E-2</v>
      </c>
      <c r="BE71" s="156">
        <v>3.11611614938547E-2</v>
      </c>
      <c r="BF71" s="156">
        <v>4.4371075196956503E-2</v>
      </c>
      <c r="BG71" s="156">
        <v>2.8226161135955101E-2</v>
      </c>
      <c r="BH71" s="156">
        <v>0.119774455497896</v>
      </c>
      <c r="BI71" s="156">
        <v>1.4874413204710999E-2</v>
      </c>
      <c r="BJ71" s="156">
        <v>3.0204755525870298E-2</v>
      </c>
      <c r="BK71" s="156">
        <v>7.8583103981874E-2</v>
      </c>
      <c r="BL71" s="156">
        <v>9.0729796565410907E-3</v>
      </c>
      <c r="BM71" s="156">
        <v>0.14033196594498001</v>
      </c>
      <c r="BN71" s="156">
        <v>2.58587700479227E-2</v>
      </c>
      <c r="BO71" s="159">
        <v>9.08867521497847E-2</v>
      </c>
      <c r="BP71" s="416">
        <f t="shared" si="1"/>
        <v>1</v>
      </c>
    </row>
    <row r="72" spans="2:68" ht="14.5">
      <c r="B72" s="158" t="s">
        <v>311</v>
      </c>
      <c r="C72">
        <v>-1.3564480000000001</v>
      </c>
      <c r="D72">
        <v>-8.8414800000000002E-2</v>
      </c>
      <c r="E72">
        <v>0.32060460000000002</v>
      </c>
      <c r="F72">
        <v>-3.6533120000000001</v>
      </c>
      <c r="G72">
        <v>-1.55561E-2</v>
      </c>
      <c r="H72">
        <v>9.7879999999999994E-4</v>
      </c>
      <c r="I72">
        <v>-0.41000199999999998</v>
      </c>
      <c r="J72">
        <v>7.8819E-2</v>
      </c>
      <c r="K72">
        <v>-0.42848999999999998</v>
      </c>
      <c r="L72">
        <v>-7.9929999999999997E-4</v>
      </c>
      <c r="M72">
        <v>1.1417099999999999E-2</v>
      </c>
      <c r="N72">
        <v>0.23341619999999999</v>
      </c>
      <c r="O72">
        <v>-4.3935799999999997E-2</v>
      </c>
      <c r="P72">
        <v>0.38466679999999998</v>
      </c>
      <c r="Q72">
        <v>0.26099729999999999</v>
      </c>
      <c r="R72" s="159">
        <v>-0.24274490000000001</v>
      </c>
      <c r="T72" s="305" t="s">
        <v>211</v>
      </c>
      <c r="U72" s="326">
        <v>4</v>
      </c>
      <c r="V72" s="36">
        <v>5.416011235955013E-4</v>
      </c>
      <c r="W72" s="36">
        <v>3.5914029999999982E-3</v>
      </c>
      <c r="X72" s="36">
        <v>1.7482029999999953E-3</v>
      </c>
      <c r="Y72" s="36">
        <v>4.4902029999999947E-3</v>
      </c>
      <c r="Z72" s="36">
        <v>2.2730109890109953E-4</v>
      </c>
      <c r="AA72" s="36">
        <v>2.4431009999999983E-3</v>
      </c>
      <c r="AB72" s="36">
        <v>2.637100000000002E-3</v>
      </c>
      <c r="AC72" s="36">
        <v>3.4356999999999955E-3</v>
      </c>
      <c r="AD72" s="36">
        <v>1.2010020408163289E-3</v>
      </c>
      <c r="AE72" s="36">
        <v>5.6056970000000024E-3</v>
      </c>
      <c r="AF72" s="36">
        <v>1.6431019999999957E-3</v>
      </c>
      <c r="AG72" s="36">
        <v>2.3984042105263162E-3</v>
      </c>
      <c r="AH72" s="36">
        <v>1.1400050505050467E-3</v>
      </c>
      <c r="AI72" s="36">
        <v>4.3864004000000014E-3</v>
      </c>
      <c r="AJ72" s="36">
        <v>2.2668040404040415E-3</v>
      </c>
      <c r="AK72" s="36">
        <v>4.5854040816326533E-3</v>
      </c>
      <c r="AL72" s="36">
        <v>3.9755978260869532E-3</v>
      </c>
      <c r="AM72" s="36">
        <v>3.2296020408163267E-3</v>
      </c>
      <c r="AN72" s="36">
        <v>3.6842041666666644E-3</v>
      </c>
      <c r="AO72" s="36">
        <v>5.537396202531646E-3</v>
      </c>
      <c r="AP72" s="36">
        <v>4.3125022727272732E-3</v>
      </c>
      <c r="AQ72" s="36">
        <v>2.3344948979591856E-3</v>
      </c>
      <c r="AR72" s="36">
        <v>7.1979578947368409E-4</v>
      </c>
      <c r="AS72" s="36">
        <v>5.9689756097561111E-4</v>
      </c>
      <c r="AT72" s="36">
        <v>0</v>
      </c>
      <c r="AU72" s="36">
        <v>2.7762000000000034E-3</v>
      </c>
      <c r="AW72" s="235">
        <v>10</v>
      </c>
      <c r="AX72" t="s">
        <v>211</v>
      </c>
      <c r="AY72" s="159">
        <v>4</v>
      </c>
      <c r="AZ72" s="235">
        <v>0.14478740304693499</v>
      </c>
      <c r="BA72" s="156">
        <v>4.0924463027888602E-2</v>
      </c>
      <c r="BB72" s="156">
        <v>7.2014313533254604E-2</v>
      </c>
      <c r="BC72" s="156">
        <v>0.153562500334153</v>
      </c>
      <c r="BD72" s="156">
        <v>1.47864773599385E-2</v>
      </c>
      <c r="BE72" s="156">
        <v>3.6798756057518298E-2</v>
      </c>
      <c r="BF72" s="156">
        <v>5.2966747800793502E-2</v>
      </c>
      <c r="BG72" s="156">
        <v>3.6727707624364898E-2</v>
      </c>
      <c r="BH72" s="156">
        <v>0.113280626970508</v>
      </c>
      <c r="BI72" s="156">
        <v>6.5524180068177902E-3</v>
      </c>
      <c r="BJ72" s="156">
        <v>3.0908990725326199E-2</v>
      </c>
      <c r="BK72" s="156">
        <v>8.4622725225250398E-2</v>
      </c>
      <c r="BL72" s="156">
        <v>7.4953009247357297E-3</v>
      </c>
      <c r="BM72" s="156">
        <v>8.4184170948665496E-2</v>
      </c>
      <c r="BN72" s="156">
        <v>3.0958738236687901E-2</v>
      </c>
      <c r="BO72" s="159">
        <v>8.9428660177162306E-2</v>
      </c>
      <c r="BP72" s="416">
        <f t="shared" si="1"/>
        <v>1.0000000000000002</v>
      </c>
    </row>
    <row r="73" spans="2:68" ht="14.5">
      <c r="B73" s="158" t="s">
        <v>312</v>
      </c>
      <c r="C73">
        <v>0.2329329</v>
      </c>
      <c r="D73">
        <v>6.7256300000000005E-2</v>
      </c>
      <c r="E73">
        <v>0.94238259999999996</v>
      </c>
      <c r="F73">
        <v>-0.51334369999999996</v>
      </c>
      <c r="G73">
        <v>2.5218399999999998E-2</v>
      </c>
      <c r="H73">
        <v>2.3358899999999998E-2</v>
      </c>
      <c r="I73">
        <v>6.1259300000000003E-2</v>
      </c>
      <c r="J73">
        <v>-5.8418999999999997E-3</v>
      </c>
      <c r="K73">
        <v>-0.1694534</v>
      </c>
      <c r="L73">
        <v>2.7025999999999999E-3</v>
      </c>
      <c r="M73">
        <v>-2.3638300000000001E-2</v>
      </c>
      <c r="N73">
        <v>-5.8640900000000003E-2</v>
      </c>
      <c r="O73">
        <v>7.5518E-3</v>
      </c>
      <c r="P73">
        <v>0.85969050000000002</v>
      </c>
      <c r="Q73">
        <v>-0.2268366</v>
      </c>
      <c r="R73" s="159">
        <v>-0.51011150000000005</v>
      </c>
      <c r="T73" s="305" t="s">
        <v>212</v>
      </c>
      <c r="U73" s="326">
        <v>4</v>
      </c>
      <c r="V73" s="36">
        <v>6.218011235955013E-4</v>
      </c>
      <c r="W73" s="36">
        <v>9.1858029999999976E-3</v>
      </c>
      <c r="X73" s="36">
        <v>2.524102999999995E-3</v>
      </c>
      <c r="Y73" s="36">
        <v>5.7804029999999947E-3</v>
      </c>
      <c r="Z73" s="36">
        <v>5.3540109890109957E-4</v>
      </c>
      <c r="AA73" s="36">
        <v>5.5531009999999987E-3</v>
      </c>
      <c r="AB73" s="36">
        <v>4.0179000000000022E-3</v>
      </c>
      <c r="AC73" s="36">
        <v>5.111399999999996E-3</v>
      </c>
      <c r="AD73" s="36">
        <v>2.6937020408163287E-3</v>
      </c>
      <c r="AE73" s="36">
        <v>6.123497000000002E-3</v>
      </c>
      <c r="AF73" s="36">
        <v>4.4266019999999956E-3</v>
      </c>
      <c r="AG73" s="36">
        <v>6.8645042105263156E-3</v>
      </c>
      <c r="AH73" s="36">
        <v>1.3253050505050467E-3</v>
      </c>
      <c r="AI73" s="36">
        <v>6.1894004000000013E-3</v>
      </c>
      <c r="AJ73" s="36">
        <v>4.7374040404040418E-3</v>
      </c>
      <c r="AK73" s="36">
        <v>7.5038040816326531E-3</v>
      </c>
      <c r="AL73" s="36">
        <v>5.7697978260869533E-3</v>
      </c>
      <c r="AM73" s="36">
        <v>6.1407020408163265E-3</v>
      </c>
      <c r="AN73" s="36">
        <v>1.9253041666666645E-3</v>
      </c>
      <c r="AO73" s="36">
        <v>2.8894962025316465E-3</v>
      </c>
      <c r="AP73" s="36">
        <v>2.9013022727272728E-3</v>
      </c>
      <c r="AQ73" s="36">
        <v>4.9727948979591853E-3</v>
      </c>
      <c r="AR73" s="36">
        <v>6.3916957894736845E-3</v>
      </c>
      <c r="AS73" s="36">
        <v>3.3441975609756107E-3</v>
      </c>
      <c r="AT73" s="36">
        <v>0</v>
      </c>
      <c r="AU73" s="36">
        <v>3.8358000000000034E-3</v>
      </c>
      <c r="AW73" s="235">
        <v>11</v>
      </c>
      <c r="AX73" t="s">
        <v>212</v>
      </c>
      <c r="AY73" s="159">
        <v>4</v>
      </c>
      <c r="AZ73" s="235">
        <v>0.132582023150493</v>
      </c>
      <c r="BA73" s="156">
        <v>4.1405583924622902E-2</v>
      </c>
      <c r="BB73" s="156">
        <v>7.5670972909524806E-2</v>
      </c>
      <c r="BC73" s="156">
        <v>0.14844076305857101</v>
      </c>
      <c r="BD73" s="156">
        <v>1.10223498087856E-2</v>
      </c>
      <c r="BE73" s="156">
        <v>3.2644988751325099E-2</v>
      </c>
      <c r="BF73" s="156">
        <v>4.66423206539716E-2</v>
      </c>
      <c r="BG73" s="156">
        <v>3.71009773868324E-2</v>
      </c>
      <c r="BH73" s="156">
        <v>0.13126428383477501</v>
      </c>
      <c r="BI73" s="156">
        <v>6.8258807109212996E-3</v>
      </c>
      <c r="BJ73" s="156">
        <v>3.1233674314988202E-2</v>
      </c>
      <c r="BK73" s="156">
        <v>8.2297407746743503E-2</v>
      </c>
      <c r="BL73" s="156">
        <v>1.1809433716188001E-2</v>
      </c>
      <c r="BM73" s="156">
        <v>9.0290447401347701E-2</v>
      </c>
      <c r="BN73" s="156">
        <v>1.9856733333756801E-2</v>
      </c>
      <c r="BO73" s="159">
        <v>0.100912159297154</v>
      </c>
      <c r="BP73" s="416">
        <f t="shared" si="1"/>
        <v>1.0000000000000009</v>
      </c>
    </row>
    <row r="74" spans="2:68" ht="14.5">
      <c r="B74" s="158" t="s">
        <v>313</v>
      </c>
      <c r="C74">
        <v>-0.87894459999999996</v>
      </c>
      <c r="D74">
        <v>-4.76829E-2</v>
      </c>
      <c r="E74">
        <v>-0.88363979999999998</v>
      </c>
      <c r="F74">
        <v>0.60548919999999995</v>
      </c>
      <c r="G74">
        <v>6.7336000000000002E-3</v>
      </c>
      <c r="H74">
        <v>-4.8735999999999996E-3</v>
      </c>
      <c r="I74">
        <v>-1.76966</v>
      </c>
      <c r="J74">
        <v>9.8121E-2</v>
      </c>
      <c r="K74">
        <v>0.1037744</v>
      </c>
      <c r="L74">
        <v>-4.3786199999999997E-2</v>
      </c>
      <c r="M74">
        <v>-6.8342000000000003E-3</v>
      </c>
      <c r="N74">
        <v>6.4404199999999995E-2</v>
      </c>
      <c r="O74">
        <v>4.993E-3</v>
      </c>
      <c r="P74">
        <v>-0.1235135</v>
      </c>
      <c r="Q74">
        <v>-3.6630999999999999E-3</v>
      </c>
      <c r="R74" s="159">
        <v>-0.36026190000000002</v>
      </c>
      <c r="T74" s="305" t="s">
        <v>213</v>
      </c>
      <c r="U74" s="326">
        <v>4</v>
      </c>
      <c r="V74" s="36">
        <v>3.9727011235955014E-3</v>
      </c>
      <c r="W74" s="36">
        <v>1.3111302999999998E-2</v>
      </c>
      <c r="X74" s="36">
        <v>1.1608402999999995E-2</v>
      </c>
      <c r="Y74" s="36">
        <v>1.6342302999999996E-2</v>
      </c>
      <c r="Z74" s="36">
        <v>1.2953010989010996E-3</v>
      </c>
      <c r="AA74" s="36">
        <v>1.5584000999999998E-2</v>
      </c>
      <c r="AB74" s="36">
        <v>2.0003800000000002E-2</v>
      </c>
      <c r="AC74" s="36">
        <v>1.6048799999999995E-2</v>
      </c>
      <c r="AD74" s="36">
        <v>1.2908202040816328E-2</v>
      </c>
      <c r="AE74" s="36">
        <v>2.4989697000000002E-2</v>
      </c>
      <c r="AF74" s="36">
        <v>1.6415901999999996E-2</v>
      </c>
      <c r="AG74" s="36">
        <v>3.0184004210526316E-2</v>
      </c>
      <c r="AH74" s="36">
        <v>6.7018050505050462E-3</v>
      </c>
      <c r="AI74" s="36">
        <v>2.28641004E-2</v>
      </c>
      <c r="AJ74" s="36">
        <v>2.2558004040404044E-2</v>
      </c>
      <c r="AK74" s="36">
        <v>2.4928404081632653E-2</v>
      </c>
      <c r="AL74" s="36">
        <v>2.6054197826086953E-2</v>
      </c>
      <c r="AM74" s="36">
        <v>4.5357702040816329E-2</v>
      </c>
      <c r="AN74" s="36">
        <v>1.4054904166666665E-2</v>
      </c>
      <c r="AO74" s="36">
        <v>1.3485696202531646E-2</v>
      </c>
      <c r="AP74" s="36">
        <v>2.8878902272727273E-2</v>
      </c>
      <c r="AQ74" s="36">
        <v>3.7433694897959183E-2</v>
      </c>
      <c r="AR74" s="36">
        <v>2.0694095789473683E-2</v>
      </c>
      <c r="AS74" s="36">
        <v>1.8284297560975611E-2</v>
      </c>
      <c r="AT74" s="36">
        <v>0</v>
      </c>
      <c r="AU74" s="36">
        <v>1.6445400000000002E-2</v>
      </c>
      <c r="AW74" s="235">
        <v>12</v>
      </c>
      <c r="AX74" t="s">
        <v>213</v>
      </c>
      <c r="AY74" s="159">
        <v>4</v>
      </c>
      <c r="AZ74" s="235">
        <v>0.125645624201662</v>
      </c>
      <c r="BA74" s="156">
        <v>3.9837294643842197E-2</v>
      </c>
      <c r="BB74" s="156">
        <v>6.5159884554568601E-2</v>
      </c>
      <c r="BC74" s="156">
        <v>0.17118342437365999</v>
      </c>
      <c r="BD74" s="156">
        <v>1.87064254922438E-2</v>
      </c>
      <c r="BE74" s="156">
        <v>2.33977683481136E-2</v>
      </c>
      <c r="BF74" s="156">
        <v>4.7592473346197102E-2</v>
      </c>
      <c r="BG74" s="156">
        <v>3.1660893868356701E-2</v>
      </c>
      <c r="BH74" s="156">
        <v>0.106359976859218</v>
      </c>
      <c r="BI74" s="156">
        <v>2.19280353628977E-2</v>
      </c>
      <c r="BJ74" s="156">
        <v>2.52264175549201E-2</v>
      </c>
      <c r="BK74" s="156">
        <v>7.6148089521648796E-2</v>
      </c>
      <c r="BL74" s="156">
        <v>8.5525118856171305E-3</v>
      </c>
      <c r="BM74" s="156">
        <v>0.119723923000966</v>
      </c>
      <c r="BN74" s="156">
        <v>2.62054898702773E-2</v>
      </c>
      <c r="BO74" s="159">
        <v>9.2671767115810197E-2</v>
      </c>
      <c r="BP74" s="416">
        <f t="shared" si="1"/>
        <v>0.999999999999999</v>
      </c>
    </row>
    <row r="75" spans="2:68" ht="14.5">
      <c r="B75" s="158" t="s">
        <v>314</v>
      </c>
      <c r="C75">
        <v>-1.7820200000000001E-2</v>
      </c>
      <c r="D75">
        <v>1.7595800000000002E-2</v>
      </c>
      <c r="E75">
        <v>0.1452668</v>
      </c>
      <c r="F75">
        <v>-0.3471553</v>
      </c>
      <c r="G75">
        <v>-2.37506E-2</v>
      </c>
      <c r="H75">
        <v>1.7597999999999999E-2</v>
      </c>
      <c r="I75">
        <v>-6.3737000000000002E-2</v>
      </c>
      <c r="J75">
        <v>1.7169299999999998E-2</v>
      </c>
      <c r="K75">
        <v>-4.2473400000000001E-2</v>
      </c>
      <c r="L75">
        <v>-1.9724E-3</v>
      </c>
      <c r="M75">
        <v>-1.8084200000000002E-2</v>
      </c>
      <c r="N75">
        <v>-0.1076173</v>
      </c>
      <c r="O75">
        <v>-8.0040000000000005E-4</v>
      </c>
      <c r="P75">
        <v>0.25181100000000001</v>
      </c>
      <c r="Q75">
        <v>-0.30991150000000001</v>
      </c>
      <c r="R75" s="159">
        <v>0.21879979999999999</v>
      </c>
      <c r="T75" s="305" t="s">
        <v>214</v>
      </c>
      <c r="U75" s="326">
        <v>4</v>
      </c>
      <c r="V75" s="36">
        <v>7.713011235955013E-4</v>
      </c>
      <c r="W75" s="36">
        <v>4.1891029999999987E-3</v>
      </c>
      <c r="X75" s="36">
        <v>3.0889029999999948E-3</v>
      </c>
      <c r="Y75" s="36">
        <v>4.042802999999995E-3</v>
      </c>
      <c r="Z75" s="36">
        <v>1.2224010989010995E-3</v>
      </c>
      <c r="AA75" s="36">
        <v>4.9539009999999984E-3</v>
      </c>
      <c r="AB75" s="36">
        <v>4.8572000000000025E-3</v>
      </c>
      <c r="AC75" s="36">
        <v>4.111099999999996E-3</v>
      </c>
      <c r="AD75" s="36">
        <v>4.9290204081632886E-4</v>
      </c>
      <c r="AE75" s="36">
        <v>4.4578970000000023E-3</v>
      </c>
      <c r="AF75" s="36">
        <v>2.6274019999999953E-3</v>
      </c>
      <c r="AG75" s="36">
        <v>2.8522042105263161E-3</v>
      </c>
      <c r="AH75" s="36">
        <v>1.9777050505050469E-3</v>
      </c>
      <c r="AI75" s="36">
        <v>5.9173004000000013E-3</v>
      </c>
      <c r="AJ75" s="36">
        <v>3.6335040404040417E-3</v>
      </c>
      <c r="AK75" s="36">
        <v>2.9218040816326534E-3</v>
      </c>
      <c r="AL75" s="36">
        <v>5.131897826086953E-3</v>
      </c>
      <c r="AM75" s="36">
        <v>8.2016020408163266E-3</v>
      </c>
      <c r="AN75" s="36">
        <v>7.7424041666666645E-3</v>
      </c>
      <c r="AO75" s="36">
        <v>4.039496202531646E-3</v>
      </c>
      <c r="AP75" s="36">
        <v>2.8016022727272729E-3</v>
      </c>
      <c r="AQ75" s="36">
        <v>5.7633948979591851E-3</v>
      </c>
      <c r="AR75" s="36">
        <v>7.5554957894736841E-3</v>
      </c>
      <c r="AS75" s="36">
        <v>1.530497560975611E-3</v>
      </c>
      <c r="AT75" s="36">
        <v>0</v>
      </c>
      <c r="AU75" s="36">
        <v>3.8023000000000037E-3</v>
      </c>
      <c r="AW75" s="235">
        <v>13</v>
      </c>
      <c r="AX75" t="s">
        <v>214</v>
      </c>
      <c r="AY75" s="159">
        <v>4</v>
      </c>
      <c r="AZ75" s="235">
        <v>0.14764079313288</v>
      </c>
      <c r="BA75" s="156">
        <v>4.1374377045491101E-2</v>
      </c>
      <c r="BB75" s="156">
        <v>7.7439668878106202E-2</v>
      </c>
      <c r="BC75" s="156">
        <v>0.149177442769034</v>
      </c>
      <c r="BD75" s="156">
        <v>1.08764572668055E-2</v>
      </c>
      <c r="BE75" s="156">
        <v>3.51800031674743E-2</v>
      </c>
      <c r="BF75" s="156">
        <v>8.0288013855347506E-2</v>
      </c>
      <c r="BG75" s="156">
        <v>3.1226571135100401E-2</v>
      </c>
      <c r="BH75" s="156">
        <v>0.13475904809784001</v>
      </c>
      <c r="BI75" s="156">
        <v>1.3879451706810099E-2</v>
      </c>
      <c r="BJ75" s="156">
        <v>2.6083788734394799E-2</v>
      </c>
      <c r="BK75" s="156">
        <v>6.7574223893856006E-2</v>
      </c>
      <c r="BL75" s="156">
        <v>9.9630022141781408E-3</v>
      </c>
      <c r="BM75" s="156">
        <v>7.1546523752802793E-2</v>
      </c>
      <c r="BN75" s="156">
        <v>1.43812435549831E-2</v>
      </c>
      <c r="BO75" s="159">
        <v>8.8609390794896298E-2</v>
      </c>
      <c r="BP75" s="416">
        <f t="shared" si="1"/>
        <v>1.0000000000000002</v>
      </c>
    </row>
    <row r="76" spans="2:68" ht="14.5">
      <c r="B76" s="158" t="s">
        <v>315</v>
      </c>
      <c r="C76">
        <v>-5.0843399999999997E-2</v>
      </c>
      <c r="D76">
        <v>0.14318810000000001</v>
      </c>
      <c r="E76">
        <v>0.82787440000000001</v>
      </c>
      <c r="F76">
        <v>0.83408959999999999</v>
      </c>
      <c r="G76">
        <v>-1.29956E-2</v>
      </c>
      <c r="H76">
        <v>-4.8312399999999998E-2</v>
      </c>
      <c r="I76">
        <v>2.2465300000000001E-2</v>
      </c>
      <c r="J76">
        <v>0.10380929999999999</v>
      </c>
      <c r="K76">
        <v>4.9670000000000001E-3</v>
      </c>
      <c r="L76">
        <v>2.8673000000000001E-2</v>
      </c>
      <c r="M76">
        <v>-3.0103899999999999E-2</v>
      </c>
      <c r="N76">
        <v>-3.7205000000000002E-2</v>
      </c>
      <c r="O76">
        <v>7.8136999999999998E-3</v>
      </c>
      <c r="P76">
        <v>-5.8775399999999998E-2</v>
      </c>
      <c r="Q76">
        <v>7.4321499999999999E-2</v>
      </c>
      <c r="R76" s="159">
        <v>0.50770800000000005</v>
      </c>
      <c r="T76" s="305" t="s">
        <v>215</v>
      </c>
      <c r="U76" s="326">
        <v>4</v>
      </c>
      <c r="V76" s="36">
        <v>1.7830112359550128E-4</v>
      </c>
      <c r="W76" s="36">
        <v>1.5714029999999983E-3</v>
      </c>
      <c r="X76" s="36">
        <v>7.7590299999999511E-4</v>
      </c>
      <c r="Y76" s="36">
        <v>1.2048029999999952E-3</v>
      </c>
      <c r="Z76" s="36">
        <v>5.7820109890109952E-4</v>
      </c>
      <c r="AA76" s="36">
        <v>9.3120099999999836E-4</v>
      </c>
      <c r="AB76" s="36">
        <v>1.0144000000000021E-3</v>
      </c>
      <c r="AC76" s="36">
        <v>9.2819999999999557E-4</v>
      </c>
      <c r="AD76" s="36">
        <v>1.181202040816329E-3</v>
      </c>
      <c r="AE76" s="36">
        <v>9.5029700000000261E-4</v>
      </c>
      <c r="AF76" s="36">
        <v>6.4640199999999558E-4</v>
      </c>
      <c r="AG76" s="36">
        <v>1.6212042105263158E-3</v>
      </c>
      <c r="AH76" s="36">
        <v>1.2341050505050466E-3</v>
      </c>
      <c r="AI76" s="36">
        <v>1.580700400000001E-3</v>
      </c>
      <c r="AJ76" s="36">
        <v>6.6520404040404163E-4</v>
      </c>
      <c r="AK76" s="36">
        <v>6.8650408163265322E-4</v>
      </c>
      <c r="AL76" s="36">
        <v>4.6709782608695289E-4</v>
      </c>
      <c r="AM76" s="36">
        <v>1.7502020408163266E-3</v>
      </c>
      <c r="AN76" s="36">
        <v>1.3686041666666645E-3</v>
      </c>
      <c r="AO76" s="36">
        <v>3.2749620253164617E-4</v>
      </c>
      <c r="AP76" s="36">
        <v>1.9019022727272729E-3</v>
      </c>
      <c r="AQ76" s="36">
        <v>1.0596948979591852E-3</v>
      </c>
      <c r="AR76" s="36">
        <v>4.1273957894736842E-3</v>
      </c>
      <c r="AS76" s="36">
        <v>2.0919756097561104E-4</v>
      </c>
      <c r="AT76" s="36">
        <v>0</v>
      </c>
      <c r="AU76" s="36">
        <v>1.1998000000000033E-3</v>
      </c>
      <c r="AW76" s="235">
        <v>14</v>
      </c>
      <c r="AX76" t="s">
        <v>215</v>
      </c>
      <c r="AY76" s="159">
        <v>4</v>
      </c>
      <c r="AZ76" s="235">
        <v>0.16193870297212901</v>
      </c>
      <c r="BA76" s="156">
        <v>4.0076783476413497E-2</v>
      </c>
      <c r="BB76" s="156">
        <v>7.5446985100536101E-2</v>
      </c>
      <c r="BC76" s="156">
        <v>0.142404989178778</v>
      </c>
      <c r="BD76" s="156">
        <v>1.00133575024719E-2</v>
      </c>
      <c r="BE76" s="156">
        <v>3.6027243183071003E-2</v>
      </c>
      <c r="BF76" s="156">
        <v>7.7742028686199699E-2</v>
      </c>
      <c r="BG76" s="156">
        <v>3.6464762318839203E-2</v>
      </c>
      <c r="BH76" s="156">
        <v>0.117381138612606</v>
      </c>
      <c r="BI76" s="156">
        <v>1.16086566807658E-2</v>
      </c>
      <c r="BJ76" s="156">
        <v>3.0956746646186601E-2</v>
      </c>
      <c r="BK76" s="156">
        <v>7.9741732597004997E-2</v>
      </c>
      <c r="BL76" s="156">
        <v>1.24126340603744E-2</v>
      </c>
      <c r="BM76" s="156">
        <v>4.1517369986294399E-2</v>
      </c>
      <c r="BN76" s="156">
        <v>3.1548065272164499E-2</v>
      </c>
      <c r="BO76" s="159">
        <v>9.4718803726164397E-2</v>
      </c>
      <c r="BP76" s="416">
        <f t="shared" si="1"/>
        <v>0.99999999999999956</v>
      </c>
    </row>
    <row r="77" spans="2:68" ht="14.5">
      <c r="B77" s="158" t="s">
        <v>316</v>
      </c>
      <c r="C77">
        <v>-0.98457499999999998</v>
      </c>
      <c r="D77">
        <v>3.8495799999999997E-2</v>
      </c>
      <c r="E77">
        <v>-6.7596100000000006E-2</v>
      </c>
      <c r="F77">
        <v>-1.0083709999999999</v>
      </c>
      <c r="G77">
        <v>-2.7009999999999999E-2</v>
      </c>
      <c r="H77">
        <v>-7.6733000000000001E-3</v>
      </c>
      <c r="I77">
        <v>-4.6407799999999999E-2</v>
      </c>
      <c r="J77">
        <v>4.4068999999999997E-2</v>
      </c>
      <c r="K77">
        <v>-0.1057831</v>
      </c>
      <c r="L77">
        <v>6.8459000000000002E-3</v>
      </c>
      <c r="M77">
        <v>-3.1829799999999998E-2</v>
      </c>
      <c r="N77">
        <v>2.8483000000000001E-2</v>
      </c>
      <c r="O77">
        <v>3.4030000000000002E-3</v>
      </c>
      <c r="P77">
        <v>-0.1858812</v>
      </c>
      <c r="Q77">
        <v>6.9296200000000002E-2</v>
      </c>
      <c r="R77" s="159">
        <v>0.17016870000000001</v>
      </c>
      <c r="T77" s="305" t="s">
        <v>216</v>
      </c>
      <c r="U77" s="326">
        <v>4</v>
      </c>
      <c r="V77" s="36">
        <v>1.4400301123595501E-2</v>
      </c>
      <c r="W77" s="36">
        <v>1.6854702999999999E-2</v>
      </c>
      <c r="X77" s="36">
        <v>2.7705102999999995E-2</v>
      </c>
      <c r="Y77" s="36">
        <v>2.8585102999999994E-2</v>
      </c>
      <c r="Z77" s="36">
        <v>1.78722010989011E-2</v>
      </c>
      <c r="AA77" s="36">
        <v>2.1298601E-2</v>
      </c>
      <c r="AB77" s="36">
        <v>1.6802100000000004E-2</v>
      </c>
      <c r="AC77" s="36">
        <v>2.7323599999999997E-2</v>
      </c>
      <c r="AD77" s="36">
        <v>2.5675602040816328E-2</v>
      </c>
      <c r="AE77" s="36">
        <v>1.1958097000000003E-2</v>
      </c>
      <c r="AF77" s="36">
        <v>2.4095401999999995E-2</v>
      </c>
      <c r="AG77" s="36">
        <v>7.7544042105263155E-3</v>
      </c>
      <c r="AH77" s="36">
        <v>2.9906105050505047E-2</v>
      </c>
      <c r="AI77" s="36">
        <v>1.7527300400000001E-2</v>
      </c>
      <c r="AJ77" s="36">
        <v>2.1067704040404044E-2</v>
      </c>
      <c r="AK77" s="36">
        <v>1.1868704081632653E-2</v>
      </c>
      <c r="AL77" s="36">
        <v>1.5147897826086953E-2</v>
      </c>
      <c r="AM77" s="36">
        <v>8.5506020408163269E-3</v>
      </c>
      <c r="AN77" s="36">
        <v>1.3193304166666664E-2</v>
      </c>
      <c r="AO77" s="36">
        <v>5.2994962025316467E-3</v>
      </c>
      <c r="AP77" s="36">
        <v>2.6222002272727273E-2</v>
      </c>
      <c r="AQ77" s="36">
        <v>1.0602194897959187E-2</v>
      </c>
      <c r="AR77" s="36">
        <v>1.2848295789473684E-2</v>
      </c>
      <c r="AS77" s="36">
        <v>1.4418097560975611E-2</v>
      </c>
      <c r="AT77" s="36">
        <v>0</v>
      </c>
      <c r="AU77" s="36">
        <v>1.6997100000000005E-2</v>
      </c>
      <c r="AW77" s="235">
        <v>15</v>
      </c>
      <c r="AX77" t="s">
        <v>216</v>
      </c>
      <c r="AY77" s="159">
        <v>4</v>
      </c>
      <c r="AZ77" s="235">
        <v>0.196278821210319</v>
      </c>
      <c r="BA77" s="156">
        <v>5.8014285844188197E-2</v>
      </c>
      <c r="BB77" s="156">
        <v>8.1782328524458797E-2</v>
      </c>
      <c r="BC77" s="156">
        <v>0.137447178424915</v>
      </c>
      <c r="BD77" s="156">
        <v>1.4857015766959501E-2</v>
      </c>
      <c r="BE77" s="156">
        <v>2.63162924918636E-2</v>
      </c>
      <c r="BF77" s="156">
        <v>6.0134364094133398E-2</v>
      </c>
      <c r="BG77" s="156">
        <v>2.3220952753493299E-2</v>
      </c>
      <c r="BH77" s="156">
        <v>0.10280638722433701</v>
      </c>
      <c r="BI77" s="156">
        <v>1.6929031387449799E-2</v>
      </c>
      <c r="BJ77" s="156">
        <v>2.7315215064320601E-2</v>
      </c>
      <c r="BK77" s="156">
        <v>6.6753125667853394E-2</v>
      </c>
      <c r="BL77" s="156">
        <v>1.0765682537250699E-2</v>
      </c>
      <c r="BM77" s="156">
        <v>6.3804179484490103E-2</v>
      </c>
      <c r="BN77" s="156">
        <v>2.7824941644884901E-2</v>
      </c>
      <c r="BO77" s="159">
        <v>8.5750197879083195E-2</v>
      </c>
      <c r="BP77" s="416">
        <f t="shared" si="1"/>
        <v>1.0000000000000007</v>
      </c>
    </row>
    <row r="78" spans="2:68" ht="14.5">
      <c r="B78" s="158" t="s">
        <v>317</v>
      </c>
      <c r="C78">
        <v>-0.58389060000000004</v>
      </c>
      <c r="D78">
        <v>2.7654399999999999E-2</v>
      </c>
      <c r="E78">
        <v>0.5036311</v>
      </c>
      <c r="F78">
        <v>1.419972</v>
      </c>
      <c r="G78">
        <v>-1.11098E-2</v>
      </c>
      <c r="H78">
        <v>9.2712999999999997E-3</v>
      </c>
      <c r="I78">
        <v>0.1110149</v>
      </c>
      <c r="J78">
        <v>7.5214299999999998E-2</v>
      </c>
      <c r="K78">
        <v>0.18217349999999999</v>
      </c>
      <c r="L78">
        <v>2.5017000000000001E-2</v>
      </c>
      <c r="M78">
        <v>-2.6184300000000001E-2</v>
      </c>
      <c r="N78">
        <v>-9.6682500000000005E-2</v>
      </c>
      <c r="O78">
        <v>-1.4117999999999999E-3</v>
      </c>
      <c r="P78">
        <v>9.2091900000000004E-2</v>
      </c>
      <c r="Q78">
        <v>-0.78665739999999995</v>
      </c>
      <c r="R78" s="159">
        <v>0.16135759999999999</v>
      </c>
      <c r="T78" s="305" t="s">
        <v>217</v>
      </c>
      <c r="U78" s="326">
        <v>4</v>
      </c>
      <c r="V78" s="36">
        <v>3.1486011235955015E-3</v>
      </c>
      <c r="W78" s="36">
        <v>1.1095802999999998E-2</v>
      </c>
      <c r="X78" s="36">
        <v>1.6851202999999995E-2</v>
      </c>
      <c r="Y78" s="36">
        <v>1.4985102999999994E-2</v>
      </c>
      <c r="Z78" s="36">
        <v>4.3546010989010996E-3</v>
      </c>
      <c r="AA78" s="36">
        <v>1.2431900999999997E-2</v>
      </c>
      <c r="AB78" s="36">
        <v>1.4903600000000001E-2</v>
      </c>
      <c r="AC78" s="36">
        <v>1.8620099999999997E-2</v>
      </c>
      <c r="AD78" s="36">
        <v>1.1540102040816328E-2</v>
      </c>
      <c r="AE78" s="36">
        <v>1.1094597000000003E-2</v>
      </c>
      <c r="AF78" s="36">
        <v>1.7224101999999995E-2</v>
      </c>
      <c r="AG78" s="36">
        <v>1.0924004210526316E-2</v>
      </c>
      <c r="AH78" s="36">
        <v>9.2378050505050463E-3</v>
      </c>
      <c r="AI78" s="36">
        <v>1.8493400400000002E-2</v>
      </c>
      <c r="AJ78" s="36">
        <v>1.545450404040404E-2</v>
      </c>
      <c r="AK78" s="36">
        <v>1.2577304081632653E-2</v>
      </c>
      <c r="AL78" s="36">
        <v>1.0222797826086953E-2</v>
      </c>
      <c r="AM78" s="36">
        <v>1.4746402040816326E-2</v>
      </c>
      <c r="AN78" s="36">
        <v>9.8181041666666642E-3</v>
      </c>
      <c r="AO78" s="36">
        <v>3.0696962025316462E-3</v>
      </c>
      <c r="AP78" s="36">
        <v>2.8797702272727273E-2</v>
      </c>
      <c r="AQ78" s="36">
        <v>8.3921948979591866E-3</v>
      </c>
      <c r="AR78" s="36">
        <v>3.5279957894736838E-3</v>
      </c>
      <c r="AS78" s="36">
        <v>5.1227975609756116E-3</v>
      </c>
      <c r="AT78" s="36">
        <v>0</v>
      </c>
      <c r="AU78" s="36">
        <v>1.1973400000000004E-2</v>
      </c>
      <c r="AW78" s="235">
        <v>16</v>
      </c>
      <c r="AX78" t="s">
        <v>217</v>
      </c>
      <c r="AY78" s="159">
        <v>4</v>
      </c>
      <c r="AZ78" s="235">
        <v>0.161598120595732</v>
      </c>
      <c r="BA78" s="156">
        <v>5.19750321888185E-2</v>
      </c>
      <c r="BB78" s="156">
        <v>8.4116851309276694E-2</v>
      </c>
      <c r="BC78" s="156">
        <v>0.13585968303854101</v>
      </c>
      <c r="BD78" s="156">
        <v>1.55744260893732E-2</v>
      </c>
      <c r="BE78" s="156">
        <v>3.40417159613286E-2</v>
      </c>
      <c r="BF78" s="156">
        <v>5.3105448068892301E-2</v>
      </c>
      <c r="BG78" s="156">
        <v>3.4385594042397702E-2</v>
      </c>
      <c r="BH78" s="156">
        <v>0.113146453186699</v>
      </c>
      <c r="BI78" s="156">
        <v>1.13925835845076E-2</v>
      </c>
      <c r="BJ78" s="156">
        <v>2.48394187967848E-2</v>
      </c>
      <c r="BK78" s="156">
        <v>6.2842939516771001E-2</v>
      </c>
      <c r="BL78" s="156">
        <v>1.43358987841121E-2</v>
      </c>
      <c r="BM78" s="156">
        <v>9.05625117019834E-2</v>
      </c>
      <c r="BN78" s="156">
        <v>2.1828275421710602E-2</v>
      </c>
      <c r="BO78" s="159">
        <v>9.0395047713071205E-2</v>
      </c>
      <c r="BP78" s="416">
        <f t="shared" si="1"/>
        <v>0.99999999999999967</v>
      </c>
    </row>
    <row r="79" spans="2:68" ht="14.5">
      <c r="B79" s="158" t="s">
        <v>318</v>
      </c>
      <c r="C79">
        <v>7.5125300000000006E-2</v>
      </c>
      <c r="D79">
        <v>-8.6680300000000002E-2</v>
      </c>
      <c r="E79">
        <v>0.24133399999999999</v>
      </c>
      <c r="F79">
        <v>0.24986420000000001</v>
      </c>
      <c r="G79">
        <v>-3.7612899999999998E-2</v>
      </c>
      <c r="H79">
        <v>2.23673E-2</v>
      </c>
      <c r="I79">
        <v>0.23289309999999999</v>
      </c>
      <c r="J79">
        <v>0.1338549</v>
      </c>
      <c r="K79">
        <v>3.5452200000000003E-2</v>
      </c>
      <c r="L79">
        <v>1.81838E-2</v>
      </c>
      <c r="M79">
        <v>-1.08316E-2</v>
      </c>
      <c r="N79">
        <v>-5.42435E-2</v>
      </c>
      <c r="O79">
        <v>-2.4454199999999999E-2</v>
      </c>
      <c r="P79">
        <v>0.33151580000000003</v>
      </c>
      <c r="Q79">
        <v>-8.4661500000000001E-2</v>
      </c>
      <c r="R79" s="159">
        <v>5.5748199999999998E-2</v>
      </c>
      <c r="T79" s="305" t="s">
        <v>225</v>
      </c>
      <c r="U79" s="326">
        <v>4</v>
      </c>
      <c r="V79" s="36">
        <v>3.9490112359550131E-4</v>
      </c>
      <c r="W79" s="36">
        <v>2.8602029999999982E-3</v>
      </c>
      <c r="X79" s="36">
        <v>1.7321029999999953E-3</v>
      </c>
      <c r="Y79" s="36">
        <v>3.1533029999999949E-3</v>
      </c>
      <c r="Z79" s="36">
        <v>3.5380109890109955E-4</v>
      </c>
      <c r="AA79" s="36">
        <v>2.0994009999999981E-3</v>
      </c>
      <c r="AB79" s="36">
        <v>1.7705000000000021E-3</v>
      </c>
      <c r="AC79" s="36">
        <v>1.9492999999999956E-3</v>
      </c>
      <c r="AD79" s="36">
        <v>5.4630204081632886E-4</v>
      </c>
      <c r="AE79" s="36">
        <v>1.3740970000000027E-3</v>
      </c>
      <c r="AF79" s="36">
        <v>2.5290019999999955E-3</v>
      </c>
      <c r="AG79" s="36">
        <v>1.1199042105263159E-3</v>
      </c>
      <c r="AH79" s="36">
        <v>1.3941050505050466E-3</v>
      </c>
      <c r="AI79" s="36">
        <v>3.1062004000000009E-3</v>
      </c>
      <c r="AJ79" s="36">
        <v>3.6993040404040417E-3</v>
      </c>
      <c r="AK79" s="36">
        <v>2.2588040816326534E-3</v>
      </c>
      <c r="AL79" s="36">
        <v>2.3274978260869532E-3</v>
      </c>
      <c r="AM79" s="36">
        <v>6.9730204081632657E-4</v>
      </c>
      <c r="AN79" s="36">
        <v>5.607041666666645E-4</v>
      </c>
      <c r="AO79" s="36">
        <v>0</v>
      </c>
      <c r="AP79" s="36">
        <v>2.4684022727272728E-3</v>
      </c>
      <c r="AQ79" s="36">
        <v>7.8769489795918522E-4</v>
      </c>
      <c r="AR79" s="36">
        <v>4.2021957894736841E-3</v>
      </c>
      <c r="AS79" s="36">
        <v>9.9609756097561106E-4</v>
      </c>
      <c r="AT79" s="36">
        <v>0</v>
      </c>
      <c r="AU79" s="36">
        <v>1.2648000000000032E-3</v>
      </c>
      <c r="AW79" s="235">
        <v>17</v>
      </c>
      <c r="AX79" t="s">
        <v>225</v>
      </c>
      <c r="AY79" s="159">
        <v>4</v>
      </c>
      <c r="AZ79" s="235">
        <v>0.16782817663992899</v>
      </c>
      <c r="BA79" s="156">
        <v>4.5594613012130102E-2</v>
      </c>
      <c r="BB79" s="156">
        <v>8.1976111462030501E-2</v>
      </c>
      <c r="BC79" s="156">
        <v>0.115440512687649</v>
      </c>
      <c r="BD79" s="156">
        <v>1.11373014590754E-2</v>
      </c>
      <c r="BE79" s="156">
        <v>4.2622383223477098E-2</v>
      </c>
      <c r="BF79" s="156">
        <v>5.3138060088457902E-2</v>
      </c>
      <c r="BG79" s="156">
        <v>3.8320046127777001E-2</v>
      </c>
      <c r="BH79" s="156">
        <v>0.13012187122669</v>
      </c>
      <c r="BI79" s="156">
        <v>9.8756795910837705E-3</v>
      </c>
      <c r="BJ79" s="156">
        <v>2.25745792726708E-2</v>
      </c>
      <c r="BK79" s="156">
        <v>6.8853942564093704E-2</v>
      </c>
      <c r="BL79" s="156">
        <v>1.0049747285973999E-2</v>
      </c>
      <c r="BM79" s="156">
        <v>7.1785272188381502E-2</v>
      </c>
      <c r="BN79" s="156">
        <v>2.5490127041569201E-2</v>
      </c>
      <c r="BO79" s="159">
        <v>0.10519157612901001</v>
      </c>
      <c r="BP79" s="416">
        <f t="shared" si="1"/>
        <v>0.99999999999999889</v>
      </c>
    </row>
    <row r="80" spans="2:68" ht="14.5">
      <c r="B80" s="158" t="s">
        <v>319</v>
      </c>
      <c r="C80">
        <v>0.129436</v>
      </c>
      <c r="D80">
        <v>-0.11713320000000001</v>
      </c>
      <c r="E80">
        <v>-0.24025730000000001</v>
      </c>
      <c r="F80">
        <v>-0.1580319</v>
      </c>
      <c r="G80">
        <v>-7.1342999999999997E-3</v>
      </c>
      <c r="H80">
        <v>-1.80968E-2</v>
      </c>
      <c r="I80">
        <v>-0.3099345</v>
      </c>
      <c r="J80">
        <v>0.12559400000000001</v>
      </c>
      <c r="K80">
        <v>-0.25233169999999999</v>
      </c>
      <c r="L80">
        <v>-1.04624E-2</v>
      </c>
      <c r="M80">
        <v>-3.86716E-2</v>
      </c>
      <c r="N80">
        <v>-2.4061999999999998E-3</v>
      </c>
      <c r="O80">
        <v>2.6217000000000001E-2</v>
      </c>
      <c r="P80">
        <v>-0.19168279999999999</v>
      </c>
      <c r="Q80">
        <v>7.6879500000000003E-2</v>
      </c>
      <c r="R80" s="159">
        <v>2.6047220000000002</v>
      </c>
      <c r="T80" s="305" t="s">
        <v>219</v>
      </c>
      <c r="U80" s="326">
        <v>4</v>
      </c>
      <c r="V80" s="36">
        <v>2.8011011235955013E-3</v>
      </c>
      <c r="W80" s="36">
        <v>5.5294029999999987E-3</v>
      </c>
      <c r="X80" s="36">
        <v>7.1239029999999948E-3</v>
      </c>
      <c r="Y80" s="36">
        <v>8.2671029999999944E-3</v>
      </c>
      <c r="Z80" s="36">
        <v>1.6081010989010994E-3</v>
      </c>
      <c r="AA80" s="36">
        <v>6.1461009999999984E-3</v>
      </c>
      <c r="AB80" s="36">
        <v>4.7957000000000026E-3</v>
      </c>
      <c r="AC80" s="36">
        <v>1.2392299999999995E-2</v>
      </c>
      <c r="AD80" s="36">
        <v>7.1343020408163281E-3</v>
      </c>
      <c r="AE80" s="36">
        <v>4.2002970000000021E-3</v>
      </c>
      <c r="AF80" s="36">
        <v>9.1676019999999952E-3</v>
      </c>
      <c r="AG80" s="36">
        <v>2.9254042105263159E-3</v>
      </c>
      <c r="AH80" s="36">
        <v>6.0072050505050462E-3</v>
      </c>
      <c r="AI80" s="36">
        <v>6.254000400000001E-3</v>
      </c>
      <c r="AJ80" s="36">
        <v>9.6030040404040413E-3</v>
      </c>
      <c r="AK80" s="36">
        <v>4.4501040816326536E-3</v>
      </c>
      <c r="AL80" s="36">
        <v>2.6152497826086953E-2</v>
      </c>
      <c r="AM80" s="36">
        <v>6.368602040816327E-3</v>
      </c>
      <c r="AN80" s="36">
        <v>1.0174604166666665E-2</v>
      </c>
      <c r="AO80" s="36">
        <v>9.9959620253164613E-4</v>
      </c>
      <c r="AP80" s="36">
        <v>1.7724702272727273E-2</v>
      </c>
      <c r="AQ80" s="36">
        <v>4.8521948979591851E-3</v>
      </c>
      <c r="AR80" s="36">
        <v>1.8459695789473683E-2</v>
      </c>
      <c r="AS80" s="36">
        <v>5.7182975609756112E-3</v>
      </c>
      <c r="AT80" s="36">
        <v>0</v>
      </c>
      <c r="AU80" s="36">
        <v>4.1635000000000031E-3</v>
      </c>
      <c r="AW80" s="235">
        <v>18</v>
      </c>
      <c r="AX80" t="s">
        <v>219</v>
      </c>
      <c r="AY80" s="159">
        <v>4</v>
      </c>
      <c r="AZ80" s="235">
        <v>0.17899309926050899</v>
      </c>
      <c r="BA80" s="156">
        <v>4.9652139623655903E-2</v>
      </c>
      <c r="BB80" s="156">
        <v>8.2513675736014203E-2</v>
      </c>
      <c r="BC80" s="156">
        <v>0.119519524369682</v>
      </c>
      <c r="BD80" s="156">
        <v>1.04842443827022E-2</v>
      </c>
      <c r="BE80" s="156">
        <v>4.18856990871848E-2</v>
      </c>
      <c r="BF80" s="156">
        <v>6.2018143303295303E-2</v>
      </c>
      <c r="BG80" s="156">
        <v>3.6240512861909997E-2</v>
      </c>
      <c r="BH80" s="156">
        <v>0.111713815902842</v>
      </c>
      <c r="BI80" s="156">
        <v>1.1424756904674401E-2</v>
      </c>
      <c r="BJ80" s="156">
        <v>2.6742034484761101E-2</v>
      </c>
      <c r="BK80" s="156">
        <v>7.1177158609062596E-2</v>
      </c>
      <c r="BL80" s="156">
        <v>8.6420231720991097E-3</v>
      </c>
      <c r="BM80" s="156">
        <v>6.1208092760672503E-2</v>
      </c>
      <c r="BN80" s="156">
        <v>4.0055164188119503E-2</v>
      </c>
      <c r="BO80" s="159">
        <v>8.7729915352815005E-2</v>
      </c>
      <c r="BP80" s="416">
        <f t="shared" si="1"/>
        <v>0.99999999999999956</v>
      </c>
    </row>
    <row r="81" spans="2:68" ht="14.5">
      <c r="B81" s="158" t="s">
        <v>320</v>
      </c>
      <c r="C81">
        <v>-0.18200540000000001</v>
      </c>
      <c r="D81">
        <v>-9.1109300000000004E-2</v>
      </c>
      <c r="E81">
        <v>4.7899600000000001E-2</v>
      </c>
      <c r="F81">
        <v>-0.22867100000000001</v>
      </c>
      <c r="G81">
        <v>-4.3258000000000003E-3</v>
      </c>
      <c r="H81">
        <v>-1.26576E-2</v>
      </c>
      <c r="I81">
        <v>1.57933E-2</v>
      </c>
      <c r="J81">
        <v>0.1321222</v>
      </c>
      <c r="K81">
        <v>0.10860980000000001</v>
      </c>
      <c r="L81">
        <v>2.59887E-2</v>
      </c>
      <c r="M81">
        <v>-4.7794499999999997E-2</v>
      </c>
      <c r="N81">
        <v>-0.14442679999999999</v>
      </c>
      <c r="O81">
        <v>-9.7797000000000005E-3</v>
      </c>
      <c r="P81">
        <v>6.6422900000000007E-2</v>
      </c>
      <c r="Q81">
        <v>-5.85928E-2</v>
      </c>
      <c r="R81" s="159">
        <v>-8.9518200000000006E-2</v>
      </c>
      <c r="T81" s="305" t="s">
        <v>220</v>
      </c>
      <c r="U81" s="326">
        <v>4</v>
      </c>
      <c r="V81" s="36">
        <v>1.8479901123595502E-2</v>
      </c>
      <c r="W81" s="36">
        <v>1.2012302999999998E-2</v>
      </c>
      <c r="X81" s="36">
        <v>2.4229702999999995E-2</v>
      </c>
      <c r="Y81" s="36">
        <v>1.8978902999999995E-2</v>
      </c>
      <c r="Z81" s="36">
        <v>8.6293010989010998E-3</v>
      </c>
      <c r="AA81" s="36">
        <v>2.0506600999999999E-2</v>
      </c>
      <c r="AB81" s="36">
        <v>1.5197100000000002E-2</v>
      </c>
      <c r="AC81" s="36">
        <v>2.1060799999999998E-2</v>
      </c>
      <c r="AD81" s="36">
        <v>1.7488002040816329E-2</v>
      </c>
      <c r="AE81" s="36">
        <v>1.7868097000000003E-2</v>
      </c>
      <c r="AF81" s="36">
        <v>2.4126801999999996E-2</v>
      </c>
      <c r="AG81" s="36">
        <v>1.2460004210526317E-2</v>
      </c>
      <c r="AH81" s="36">
        <v>2.4074105050505046E-2</v>
      </c>
      <c r="AI81" s="36">
        <v>2.1014800400000002E-2</v>
      </c>
      <c r="AJ81" s="36">
        <v>1.2607004040404041E-2</v>
      </c>
      <c r="AK81" s="36">
        <v>1.3200704081632653E-2</v>
      </c>
      <c r="AL81" s="36">
        <v>2.1374797826086953E-2</v>
      </c>
      <c r="AM81" s="36">
        <v>5.7436020408163264E-3</v>
      </c>
      <c r="AN81" s="36">
        <v>2.4648604166666664E-2</v>
      </c>
      <c r="AO81" s="36">
        <v>7.899896202531646E-3</v>
      </c>
      <c r="AP81" s="36">
        <v>2.1462802272727274E-2</v>
      </c>
      <c r="AQ81" s="36">
        <v>1.3725294897959185E-2</v>
      </c>
      <c r="AR81" s="36">
        <v>1.9215495789473683E-2</v>
      </c>
      <c r="AS81" s="36">
        <v>4.8151975609756117E-3</v>
      </c>
      <c r="AT81" s="36">
        <v>0</v>
      </c>
      <c r="AU81" s="36">
        <v>1.3150700000000003E-2</v>
      </c>
      <c r="AW81" s="235">
        <v>19</v>
      </c>
      <c r="AX81" t="s">
        <v>220</v>
      </c>
      <c r="AY81" s="159">
        <v>4</v>
      </c>
      <c r="AZ81" s="235">
        <v>0.165089547297223</v>
      </c>
      <c r="BA81" s="156">
        <v>4.9726074740164203E-2</v>
      </c>
      <c r="BB81" s="156">
        <v>7.8990421010089101E-2</v>
      </c>
      <c r="BC81" s="156">
        <v>0.15330396056971701</v>
      </c>
      <c r="BD81" s="156">
        <v>1.5165919869925101E-2</v>
      </c>
      <c r="BE81" s="156">
        <v>5.1738987121368797E-2</v>
      </c>
      <c r="BF81" s="156">
        <v>5.5366220815300099E-2</v>
      </c>
      <c r="BG81" s="156">
        <v>2.7476321580314801E-2</v>
      </c>
      <c r="BH81" s="156">
        <v>0.100919715479185</v>
      </c>
      <c r="BI81" s="156">
        <v>1.26174531014616E-2</v>
      </c>
      <c r="BJ81" s="156">
        <v>2.6064007968399101E-2</v>
      </c>
      <c r="BK81" s="156">
        <v>5.2771121136549103E-2</v>
      </c>
      <c r="BL81" s="156">
        <v>9.8441187110620502E-3</v>
      </c>
      <c r="BM81" s="156">
        <v>7.3127592754148096E-2</v>
      </c>
      <c r="BN81" s="156">
        <v>2.3627790307473601E-2</v>
      </c>
      <c r="BO81" s="159">
        <v>0.10417074753762</v>
      </c>
      <c r="BP81" s="416">
        <f t="shared" si="1"/>
        <v>1.0000000000000007</v>
      </c>
    </row>
    <row r="82" spans="2:68" ht="14.5">
      <c r="B82" s="160" t="s">
        <v>321</v>
      </c>
      <c r="C82" s="237">
        <v>1.02976</v>
      </c>
      <c r="D82" s="237">
        <v>2.7128800000000002E-2</v>
      </c>
      <c r="E82" s="237">
        <v>0.1552414</v>
      </c>
      <c r="F82" s="237">
        <v>-8.5685999999999991E-3</v>
      </c>
      <c r="G82" s="237">
        <v>1.3729099999999999E-2</v>
      </c>
      <c r="H82" s="237">
        <v>8.5159899999999997E-2</v>
      </c>
      <c r="I82" s="237">
        <v>0.27132270000000003</v>
      </c>
      <c r="J82" s="237">
        <v>7.9828200000000002E-2</v>
      </c>
      <c r="K82" s="237">
        <v>0.38336229999999999</v>
      </c>
      <c r="L82" s="237">
        <v>-3.5491799999999997E-2</v>
      </c>
      <c r="M82" s="237">
        <v>3.1796400000000002E-2</v>
      </c>
      <c r="N82" s="237">
        <v>8.1227400000000005E-2</v>
      </c>
      <c r="O82" s="237">
        <v>-4.3324000000000001E-3</v>
      </c>
      <c r="P82" s="237">
        <v>0.2632467</v>
      </c>
      <c r="Q82" s="237">
        <v>0.11692809999999999</v>
      </c>
      <c r="R82" s="161">
        <v>-0.17908740000000001</v>
      </c>
      <c r="T82" s="307" t="s">
        <v>221</v>
      </c>
      <c r="U82" s="327">
        <v>4</v>
      </c>
      <c r="V82" s="36">
        <v>1.8798011235955014E-3</v>
      </c>
      <c r="W82" s="36">
        <v>7.452702999999998E-3</v>
      </c>
      <c r="X82" s="36">
        <v>6.055802999999995E-3</v>
      </c>
      <c r="Y82" s="36">
        <v>7.9564029999999956E-3</v>
      </c>
      <c r="Z82" s="36">
        <v>2.6766010989010994E-3</v>
      </c>
      <c r="AA82" s="36">
        <v>7.8739009999999974E-3</v>
      </c>
      <c r="AB82" s="36">
        <v>3.9001000000000023E-3</v>
      </c>
      <c r="AC82" s="36">
        <v>8.7443999999999942E-3</v>
      </c>
      <c r="AD82" s="36">
        <v>4.5411020408163286E-3</v>
      </c>
      <c r="AE82" s="36">
        <v>5.7220970000000024E-3</v>
      </c>
      <c r="AF82" s="36">
        <v>4.7720019999999957E-3</v>
      </c>
      <c r="AG82" s="36">
        <v>7.1797042105263154E-3</v>
      </c>
      <c r="AH82" s="36">
        <v>3.9326050505050459E-3</v>
      </c>
      <c r="AI82" s="36">
        <v>5.1198004000000009E-3</v>
      </c>
      <c r="AJ82" s="36">
        <v>3.3835040404040415E-3</v>
      </c>
      <c r="AK82" s="36">
        <v>4.1230040816326533E-3</v>
      </c>
      <c r="AL82" s="36">
        <v>9.3416978260869518E-3</v>
      </c>
      <c r="AM82" s="36">
        <v>4.2027020408163269E-3</v>
      </c>
      <c r="AN82" s="36">
        <v>1.0454504166666665E-2</v>
      </c>
      <c r="AO82" s="36">
        <v>4.5423962025316466E-3</v>
      </c>
      <c r="AP82" s="36">
        <v>8.1152022727272715E-3</v>
      </c>
      <c r="AQ82" s="36">
        <v>2.7087948979591854E-3</v>
      </c>
      <c r="AR82" s="36">
        <v>5.1503957894736847E-3</v>
      </c>
      <c r="AS82" s="36">
        <v>6.6399756097561106E-4</v>
      </c>
      <c r="AT82" s="36">
        <v>0</v>
      </c>
      <c r="AU82" s="36">
        <v>3.6029000000000035E-3</v>
      </c>
      <c r="AW82" s="236">
        <v>20</v>
      </c>
      <c r="AX82" s="237" t="s">
        <v>221</v>
      </c>
      <c r="AY82" s="161">
        <v>4</v>
      </c>
      <c r="AZ82" s="236">
        <v>0.15199240867616101</v>
      </c>
      <c r="BA82" s="237">
        <v>4.6405968562478903E-2</v>
      </c>
      <c r="BB82" s="237">
        <v>8.4840998642160506E-2</v>
      </c>
      <c r="BC82" s="237">
        <v>0.13179914406697099</v>
      </c>
      <c r="BD82" s="237">
        <v>1.16130376888603E-2</v>
      </c>
      <c r="BE82" s="237">
        <v>3.0266680762709299E-2</v>
      </c>
      <c r="BF82" s="237">
        <v>5.2109436585366702E-2</v>
      </c>
      <c r="BG82" s="237">
        <v>2.9940161715760201E-2</v>
      </c>
      <c r="BH82" s="237">
        <v>0.12883217441132999</v>
      </c>
      <c r="BI82" s="237">
        <v>1.2857275921428799E-2</v>
      </c>
      <c r="BJ82" s="237">
        <v>2.56993694642711E-2</v>
      </c>
      <c r="BK82" s="237">
        <v>6.2786575297970701E-2</v>
      </c>
      <c r="BL82" s="237">
        <v>7.14631202843884E-3</v>
      </c>
      <c r="BM82" s="237">
        <v>0.110242070097042</v>
      </c>
      <c r="BN82" s="237">
        <v>1.46114160574045E-2</v>
      </c>
      <c r="BO82" s="161">
        <v>9.8856970021646798E-2</v>
      </c>
      <c r="BP82" s="416">
        <f t="shared" si="1"/>
        <v>1.0000000000000007</v>
      </c>
    </row>
    <row r="83" spans="2:68" ht="14.5">
      <c r="B83" s="238" t="s">
        <v>322</v>
      </c>
      <c r="C83" s="42">
        <v>-0.2201263</v>
      </c>
      <c r="D83" s="42">
        <v>-2.4366100000000002E-2</v>
      </c>
      <c r="E83" s="42">
        <v>0.39950200000000002</v>
      </c>
      <c r="F83" s="42">
        <v>-1.43791</v>
      </c>
      <c r="G83" s="42">
        <v>-0.1199732</v>
      </c>
      <c r="H83" s="42">
        <v>1.781E-3</v>
      </c>
      <c r="I83" s="42">
        <v>-0.24126810000000001</v>
      </c>
      <c r="J83" s="42">
        <v>-0.1125714</v>
      </c>
      <c r="K83" s="42">
        <v>0.17272589999999999</v>
      </c>
      <c r="L83" s="42">
        <v>-5.7946600000000001E-2</v>
      </c>
      <c r="M83" s="42">
        <v>-3.1197E-3</v>
      </c>
      <c r="N83" s="42">
        <v>3.8827100000000003E-2</v>
      </c>
      <c r="O83" s="42">
        <v>-7.2052400000000003E-2</v>
      </c>
      <c r="P83" s="42">
        <v>2.2870999999999998E-3</v>
      </c>
      <c r="Q83">
        <v>-0.24945719999999999</v>
      </c>
      <c r="R83" s="159">
        <v>-0.34011849999999999</v>
      </c>
      <c r="T83" s="305" t="s">
        <v>204</v>
      </c>
      <c r="U83" s="326">
        <v>5</v>
      </c>
      <c r="V83" s="36">
        <v>2.3972011235955013E-3</v>
      </c>
      <c r="W83" s="36">
        <v>1.4872402999999998E-2</v>
      </c>
      <c r="X83" s="36">
        <v>4.0166029999999953E-3</v>
      </c>
      <c r="Y83" s="36">
        <v>1.0577502999999995E-2</v>
      </c>
      <c r="Z83" s="36">
        <v>1.0894010989010994E-3</v>
      </c>
      <c r="AA83" s="36">
        <v>8.7629009999999983E-3</v>
      </c>
      <c r="AB83" s="36">
        <v>1.1853100000000002E-2</v>
      </c>
      <c r="AC83" s="36">
        <v>9.7041999999999944E-3</v>
      </c>
      <c r="AD83" s="36">
        <v>1.509302040816329E-3</v>
      </c>
      <c r="AE83" s="36">
        <v>1.9738297000000002E-2</v>
      </c>
      <c r="AF83" s="36">
        <v>9.1184019999999959E-3</v>
      </c>
      <c r="AG83" s="36">
        <v>4.4760904210526316E-2</v>
      </c>
      <c r="AH83" s="36">
        <v>4.4100050505050462E-3</v>
      </c>
      <c r="AI83" s="36">
        <v>1.8851400400000003E-2</v>
      </c>
      <c r="AJ83" s="36">
        <v>7.8554040404040411E-3</v>
      </c>
      <c r="AK83" s="36">
        <v>3.416040408163265E-2</v>
      </c>
      <c r="AL83" s="36">
        <v>2.7979978260869532E-3</v>
      </c>
      <c r="AM83" s="36">
        <v>2.8337402040816324E-2</v>
      </c>
      <c r="AN83" s="36">
        <v>1.2408704166666664E-2</v>
      </c>
      <c r="AO83" s="36">
        <v>5.7962496202531646E-2</v>
      </c>
      <c r="AP83" s="36">
        <v>4.197302272727273E-3</v>
      </c>
      <c r="AQ83" s="36">
        <v>3.4174994897959179E-2</v>
      </c>
      <c r="AR83" s="36">
        <v>8.7589957894736829E-3</v>
      </c>
      <c r="AS83" s="36">
        <v>6.2649497560975612E-2</v>
      </c>
      <c r="AT83" s="36">
        <v>5.2588490000000009E-2</v>
      </c>
      <c r="AU83" s="36">
        <v>1.0140000000000003E-2</v>
      </c>
      <c r="AW83" s="235">
        <v>1</v>
      </c>
      <c r="AX83" t="s">
        <v>204</v>
      </c>
      <c r="AY83" s="159">
        <v>5</v>
      </c>
      <c r="AZ83" s="233">
        <v>8.8176551276795995E-2</v>
      </c>
      <c r="BA83" s="42">
        <v>3.1400058515694197E-2</v>
      </c>
      <c r="BB83" s="42">
        <v>7.3264970540676599E-2</v>
      </c>
      <c r="BC83" s="42">
        <v>0.123356012769513</v>
      </c>
      <c r="BD83" s="42">
        <v>1.5834813640893199E-2</v>
      </c>
      <c r="BE83" s="42">
        <v>2.38259841106985E-2</v>
      </c>
      <c r="BF83" s="42">
        <v>6.1085684283191902E-2</v>
      </c>
      <c r="BG83" s="42">
        <v>3.4657831953102E-2</v>
      </c>
      <c r="BH83" s="42">
        <v>0.148860474398958</v>
      </c>
      <c r="BI83" s="42">
        <v>2.3812569731355902E-2</v>
      </c>
      <c r="BJ83" s="42">
        <v>2.2299065560422601E-2</v>
      </c>
      <c r="BK83" s="42">
        <v>0.113456486259825</v>
      </c>
      <c r="BL83" s="42">
        <v>1.14433058553293E-2</v>
      </c>
      <c r="BM83" s="42">
        <v>9.8669795002837193E-2</v>
      </c>
      <c r="BN83" s="42">
        <v>2.8609549047837201E-2</v>
      </c>
      <c r="BO83" s="234">
        <v>0.10124684705287</v>
      </c>
      <c r="BP83" s="416">
        <f t="shared" si="1"/>
        <v>1.0000000000000004</v>
      </c>
    </row>
    <row r="84" spans="2:68" ht="14.5">
      <c r="B84" s="158" t="s">
        <v>323</v>
      </c>
      <c r="C84">
        <v>1.0353540000000001</v>
      </c>
      <c r="D84">
        <v>0.23042840000000001</v>
      </c>
      <c r="E84">
        <v>1.1494770000000001</v>
      </c>
      <c r="F84">
        <v>-0.1122244</v>
      </c>
      <c r="G84">
        <v>5.0603999999999996E-3</v>
      </c>
      <c r="H84">
        <v>2.0259200000000002E-2</v>
      </c>
      <c r="I84">
        <v>0.4494456</v>
      </c>
      <c r="J84">
        <v>0.52301430000000004</v>
      </c>
      <c r="K84">
        <v>0.171401</v>
      </c>
      <c r="L84">
        <v>8.1484999999999995E-3</v>
      </c>
      <c r="M84">
        <v>-7.0536000000000001E-3</v>
      </c>
      <c r="N84">
        <v>0.3135579</v>
      </c>
      <c r="O84">
        <v>2.52695E-2</v>
      </c>
      <c r="P84">
        <v>-0.39096360000000002</v>
      </c>
      <c r="Q84">
        <v>-0.1559458</v>
      </c>
      <c r="R84" s="159">
        <v>0.27944859999999999</v>
      </c>
      <c r="T84" s="305" t="s">
        <v>223</v>
      </c>
      <c r="U84" s="326">
        <v>5</v>
      </c>
      <c r="V84" s="36">
        <v>2.7401123595501283E-5</v>
      </c>
      <c r="W84" s="36">
        <v>6.6630299999999841E-4</v>
      </c>
      <c r="X84" s="36">
        <v>1.576029999999951E-4</v>
      </c>
      <c r="Y84" s="36">
        <v>2.5950299999999513E-4</v>
      </c>
      <c r="Z84" s="36">
        <v>0</v>
      </c>
      <c r="AA84" s="36">
        <v>6.7220099999999836E-4</v>
      </c>
      <c r="AB84" s="36">
        <v>3.2620000000000229E-4</v>
      </c>
      <c r="AC84" s="36">
        <v>4.1419999999999554E-4</v>
      </c>
      <c r="AD84" s="36">
        <v>0</v>
      </c>
      <c r="AE84" s="36">
        <v>4.2039700000000264E-4</v>
      </c>
      <c r="AF84" s="36">
        <v>3.3850199999999563E-4</v>
      </c>
      <c r="AG84" s="36">
        <v>1.7700421052631589E-4</v>
      </c>
      <c r="AH84" s="36">
        <v>0</v>
      </c>
      <c r="AI84" s="36">
        <v>4.2420040000000091E-4</v>
      </c>
      <c r="AJ84" s="36">
        <v>9.8704040404041639E-5</v>
      </c>
      <c r="AK84" s="36">
        <v>3.5500408163265318E-4</v>
      </c>
      <c r="AL84" s="36">
        <v>0</v>
      </c>
      <c r="AM84" s="36">
        <v>8.1670204081632654E-4</v>
      </c>
      <c r="AN84" s="36">
        <v>4.8304166666664475E-5</v>
      </c>
      <c r="AO84" s="36">
        <v>3.9399620253164616E-4</v>
      </c>
      <c r="AP84" s="36">
        <v>0</v>
      </c>
      <c r="AQ84" s="36">
        <v>1.1084948979591851E-3</v>
      </c>
      <c r="AR84" s="36">
        <v>0</v>
      </c>
      <c r="AS84" s="36">
        <v>1.3069975609756111E-3</v>
      </c>
      <c r="AT84" s="36">
        <v>1.7329000000000527E-4</v>
      </c>
      <c r="AU84" s="36">
        <v>1.8810000000000333E-4</v>
      </c>
      <c r="AW84" s="235">
        <v>2</v>
      </c>
      <c r="AX84" t="s">
        <v>223</v>
      </c>
      <c r="AY84" s="159">
        <v>5</v>
      </c>
      <c r="AZ84" s="235">
        <v>8.0025615561630001E-2</v>
      </c>
      <c r="BA84" s="156">
        <v>2.0715681305840901E-2</v>
      </c>
      <c r="BB84" s="156">
        <v>6.6687887090119302E-2</v>
      </c>
      <c r="BC84" s="156">
        <v>0.16411239065525399</v>
      </c>
      <c r="BD84" s="156">
        <v>1.7643965712936999E-2</v>
      </c>
      <c r="BE84" s="156">
        <v>2.40618427534771E-2</v>
      </c>
      <c r="BF84" s="156">
        <v>8.5916699392055401E-2</v>
      </c>
      <c r="BG84" s="156">
        <v>4.7404476839600897E-2</v>
      </c>
      <c r="BH84" s="156">
        <v>0.123830855216554</v>
      </c>
      <c r="BI84" s="156">
        <v>1.44972604701622E-2</v>
      </c>
      <c r="BJ84" s="156">
        <v>1.92365686249239E-2</v>
      </c>
      <c r="BK84" s="156">
        <v>7.5698788792690402E-2</v>
      </c>
      <c r="BL84" s="156">
        <v>4.9243483055226803E-3</v>
      </c>
      <c r="BM84" s="156">
        <v>0.14170001265638399</v>
      </c>
      <c r="BN84" s="156">
        <v>3.01869692924846E-2</v>
      </c>
      <c r="BO84" s="159">
        <v>8.3356637330363997E-2</v>
      </c>
      <c r="BP84" s="416">
        <f t="shared" si="1"/>
        <v>1.0000000000000004</v>
      </c>
    </row>
    <row r="85" spans="2:68" ht="14.5">
      <c r="B85" s="158" t="s">
        <v>324</v>
      </c>
      <c r="C85">
        <v>-0.1084725</v>
      </c>
      <c r="D85">
        <v>-4.9714E-3</v>
      </c>
      <c r="E85">
        <v>-0.22574430000000001</v>
      </c>
      <c r="F85">
        <v>-6.1668209999999997</v>
      </c>
      <c r="G85">
        <v>-6.3829300000000005E-2</v>
      </c>
      <c r="H85">
        <v>4.8835999999999997E-2</v>
      </c>
      <c r="I85">
        <v>1.187862</v>
      </c>
      <c r="J85">
        <v>1.0152100000000001E-2</v>
      </c>
      <c r="K85">
        <v>-0.12315950000000001</v>
      </c>
      <c r="L85">
        <v>-2.7866599999999998E-2</v>
      </c>
      <c r="M85">
        <v>2.0863000000000001E-3</v>
      </c>
      <c r="N85">
        <v>5.1648600000000003E-2</v>
      </c>
      <c r="O85">
        <v>-6.0897300000000001E-2</v>
      </c>
      <c r="P85">
        <v>-0.209035</v>
      </c>
      <c r="Q85">
        <v>0.29812450000000001</v>
      </c>
      <c r="R85" s="159">
        <v>1.2326630000000001</v>
      </c>
      <c r="T85" s="305" t="s">
        <v>205</v>
      </c>
      <c r="U85" s="326">
        <v>5</v>
      </c>
      <c r="V85" s="36">
        <v>1.0359011235955013E-3</v>
      </c>
      <c r="W85" s="36">
        <v>1.5911302999999998E-2</v>
      </c>
      <c r="X85" s="36">
        <v>1.0498602999999995E-2</v>
      </c>
      <c r="Y85" s="36">
        <v>1.4518702999999996E-2</v>
      </c>
      <c r="Z85" s="36">
        <v>1.7874010989010994E-3</v>
      </c>
      <c r="AA85" s="36">
        <v>1.1328600999999997E-2</v>
      </c>
      <c r="AB85" s="36">
        <v>2.7447300000000004E-2</v>
      </c>
      <c r="AC85" s="36">
        <v>1.3694499999999995E-2</v>
      </c>
      <c r="AD85" s="36">
        <v>7.9379020408163279E-3</v>
      </c>
      <c r="AE85" s="36">
        <v>3.5530196999999999E-2</v>
      </c>
      <c r="AF85" s="36">
        <v>2.9732501999999994E-2</v>
      </c>
      <c r="AG85" s="36">
        <v>8.420070421052632E-2</v>
      </c>
      <c r="AH85" s="36">
        <v>3.3910050505050466E-3</v>
      </c>
      <c r="AI85" s="36">
        <v>3.2589600400000002E-2</v>
      </c>
      <c r="AJ85" s="36">
        <v>3.7248204040404041E-2</v>
      </c>
      <c r="AK85" s="36">
        <v>5.8978504081632653E-2</v>
      </c>
      <c r="AL85" s="36">
        <v>1.5392097826086953E-2</v>
      </c>
      <c r="AM85" s="36">
        <v>0.10378220204081633</v>
      </c>
      <c r="AN85" s="36">
        <v>8.1088604166666661E-2</v>
      </c>
      <c r="AO85" s="36">
        <v>0.13109469620253164</v>
      </c>
      <c r="AP85" s="36">
        <v>1.9706302272727273E-2</v>
      </c>
      <c r="AQ85" s="36">
        <v>0.11093789489795919</v>
      </c>
      <c r="AR85" s="36">
        <v>7.2371495789473689E-2</v>
      </c>
      <c r="AS85" s="36">
        <v>0.11262549756097562</v>
      </c>
      <c r="AT85" s="36">
        <v>0.34804139000000001</v>
      </c>
      <c r="AU85" s="36">
        <v>2.2705300000000005E-2</v>
      </c>
      <c r="AW85" s="235">
        <v>3</v>
      </c>
      <c r="AX85" t="s">
        <v>205</v>
      </c>
      <c r="AY85" s="159">
        <v>5</v>
      </c>
      <c r="AZ85" s="235">
        <v>9.5014838660256104E-2</v>
      </c>
      <c r="BA85" s="156">
        <v>3.0835312740830002E-2</v>
      </c>
      <c r="BB85" s="156">
        <v>7.7670959115782201E-2</v>
      </c>
      <c r="BC85" s="156">
        <v>0.117102960191515</v>
      </c>
      <c r="BD85" s="156">
        <v>1.4780068417317899E-2</v>
      </c>
      <c r="BE85" s="156">
        <v>2.0971682549344499E-2</v>
      </c>
      <c r="BF85" s="156">
        <v>6.6675903289861005E-2</v>
      </c>
      <c r="BG85" s="156">
        <v>3.3245698133780102E-2</v>
      </c>
      <c r="BH85" s="156">
        <v>0.14038962199801899</v>
      </c>
      <c r="BI85" s="156">
        <v>1.8372219096059302E-2</v>
      </c>
      <c r="BJ85" s="156">
        <v>2.2912706338539101E-2</v>
      </c>
      <c r="BK85" s="156">
        <v>0.101239978042499</v>
      </c>
      <c r="BL85" s="156">
        <v>9.7191278181750704E-3</v>
      </c>
      <c r="BM85" s="156">
        <v>0.107227399211529</v>
      </c>
      <c r="BN85" s="156">
        <v>2.86649322652716E-2</v>
      </c>
      <c r="BO85" s="159">
        <v>0.115176592131221</v>
      </c>
      <c r="BP85" s="416">
        <f t="shared" si="1"/>
        <v>0.99999999999999989</v>
      </c>
    </row>
    <row r="86" spans="2:68" ht="14.5">
      <c r="B86" s="158" t="s">
        <v>325</v>
      </c>
      <c r="C86">
        <v>-1.9055709999999999</v>
      </c>
      <c r="D86">
        <v>-0.1213516</v>
      </c>
      <c r="E86">
        <v>0.29091220000000001</v>
      </c>
      <c r="F86">
        <v>0.52084719999999995</v>
      </c>
      <c r="G86">
        <v>-8.1592799999999993E-2</v>
      </c>
      <c r="H86">
        <v>2.24899E-2</v>
      </c>
      <c r="I86">
        <v>-1.0180709999999999</v>
      </c>
      <c r="J86">
        <v>-8.8430800000000004E-2</v>
      </c>
      <c r="K86">
        <v>9.0633599999999995E-2</v>
      </c>
      <c r="L86">
        <v>1.0732200000000001E-2</v>
      </c>
      <c r="M86">
        <v>1.0943899999999999E-2</v>
      </c>
      <c r="N86">
        <v>-7.0836399999999994E-2</v>
      </c>
      <c r="O86">
        <v>1.52058E-2</v>
      </c>
      <c r="P86">
        <v>-0.82756850000000004</v>
      </c>
      <c r="Q86">
        <v>0.25358720000000001</v>
      </c>
      <c r="R86" s="159">
        <v>-0.54661400000000004</v>
      </c>
      <c r="T86" s="305" t="s">
        <v>206</v>
      </c>
      <c r="U86" s="326">
        <v>5</v>
      </c>
      <c r="V86" s="36">
        <v>0</v>
      </c>
      <c r="W86" s="36">
        <v>2.0428029999999984E-3</v>
      </c>
      <c r="X86" s="36">
        <v>1.4426029999999952E-3</v>
      </c>
      <c r="Y86" s="36">
        <v>1.9812029999999948E-3</v>
      </c>
      <c r="Z86" s="36">
        <v>0</v>
      </c>
      <c r="AA86" s="36">
        <v>1.5269009999999985E-3</v>
      </c>
      <c r="AB86" s="36">
        <v>2.509100000000002E-3</v>
      </c>
      <c r="AC86" s="36">
        <v>1.7500999999999958E-3</v>
      </c>
      <c r="AD86" s="36">
        <v>2.5530204081632889E-4</v>
      </c>
      <c r="AE86" s="36">
        <v>5.9629970000000029E-3</v>
      </c>
      <c r="AF86" s="36">
        <v>2.2814019999999953E-3</v>
      </c>
      <c r="AG86" s="36">
        <v>8.123804210526317E-3</v>
      </c>
      <c r="AH86" s="36">
        <v>1.2160505050504673E-4</v>
      </c>
      <c r="AI86" s="36">
        <v>6.3982004000000007E-3</v>
      </c>
      <c r="AJ86" s="36">
        <v>2.6774040404040416E-3</v>
      </c>
      <c r="AK86" s="36">
        <v>5.4434040816326535E-3</v>
      </c>
      <c r="AL86" s="36">
        <v>8.9009782608695282E-4</v>
      </c>
      <c r="AM86" s="36">
        <v>9.5365020408163265E-3</v>
      </c>
      <c r="AN86" s="36">
        <v>4.1432041666666641E-3</v>
      </c>
      <c r="AO86" s="36">
        <v>9.2496962025316459E-3</v>
      </c>
      <c r="AP86" s="36">
        <v>2.1995022727272729E-3</v>
      </c>
      <c r="AQ86" s="36">
        <v>8.5481948979591865E-3</v>
      </c>
      <c r="AR86" s="36">
        <v>2.223295789473684E-3</v>
      </c>
      <c r="AS86" s="36">
        <v>7.5288975609756111E-3</v>
      </c>
      <c r="AT86" s="36">
        <v>1.3632590000000005E-2</v>
      </c>
      <c r="AU86" s="36">
        <v>2.6803000000000035E-3</v>
      </c>
      <c r="AW86" s="235">
        <v>4</v>
      </c>
      <c r="AX86" t="s">
        <v>206</v>
      </c>
      <c r="AY86" s="159">
        <v>5</v>
      </c>
      <c r="AZ86" s="235">
        <v>6.5561467985345206E-2</v>
      </c>
      <c r="BA86" s="156">
        <v>1.8658956109662301E-2</v>
      </c>
      <c r="BB86" s="156">
        <v>6.7146112269301006E-2</v>
      </c>
      <c r="BC86" s="156">
        <v>0.13396094628632199</v>
      </c>
      <c r="BD86" s="156">
        <v>1.5570466416844999E-2</v>
      </c>
      <c r="BE86" s="156">
        <v>1.5516364093208E-2</v>
      </c>
      <c r="BF86" s="156">
        <v>7.6949374657133598E-2</v>
      </c>
      <c r="BG86" s="156">
        <v>3.4590018462636797E-2</v>
      </c>
      <c r="BH86" s="156">
        <v>0.109969343299051</v>
      </c>
      <c r="BI86" s="156">
        <v>1.53925248208375E-2</v>
      </c>
      <c r="BJ86" s="156">
        <v>1.48323410336788E-2</v>
      </c>
      <c r="BK86" s="156">
        <v>8.1639587710377895E-2</v>
      </c>
      <c r="BL86" s="156">
        <v>9.9627345225140902E-3</v>
      </c>
      <c r="BM86" s="156">
        <v>0.24327051872734901</v>
      </c>
      <c r="BN86" s="156">
        <v>2.95304825391456E-2</v>
      </c>
      <c r="BO86" s="159">
        <v>6.74487610665922E-2</v>
      </c>
      <c r="BP86" s="416">
        <f t="shared" si="1"/>
        <v>1</v>
      </c>
    </row>
    <row r="87" spans="2:68" ht="14.5">
      <c r="B87" s="158" t="s">
        <v>326</v>
      </c>
      <c r="C87">
        <v>0.18740870000000001</v>
      </c>
      <c r="D87">
        <v>7.5528000000000001E-3</v>
      </c>
      <c r="E87">
        <v>0.22763749999999999</v>
      </c>
      <c r="F87">
        <v>-1.1663889999999999</v>
      </c>
      <c r="G87">
        <v>-6.9800000000000001E-6</v>
      </c>
      <c r="H87">
        <v>-1.42524E-2</v>
      </c>
      <c r="I87">
        <v>0.30405389999999999</v>
      </c>
      <c r="J87">
        <v>-6.5215300000000004E-2</v>
      </c>
      <c r="K87">
        <v>-0.18559390000000001</v>
      </c>
      <c r="L87">
        <v>-7.9976000000000005E-3</v>
      </c>
      <c r="M87">
        <v>-1.2868999999999999E-3</v>
      </c>
      <c r="N87">
        <v>-1.7106699999999999E-2</v>
      </c>
      <c r="O87">
        <v>-1.6582400000000001E-2</v>
      </c>
      <c r="P87">
        <v>0.4085066</v>
      </c>
      <c r="Q87">
        <v>-0.16578010000000001</v>
      </c>
      <c r="R87" s="159">
        <v>-0.1707574</v>
      </c>
      <c r="T87" s="305" t="s">
        <v>207</v>
      </c>
      <c r="U87" s="326">
        <v>5</v>
      </c>
      <c r="V87" s="36">
        <v>9.0460112359550123E-4</v>
      </c>
      <c r="W87" s="36">
        <v>1.5911302999999998E-2</v>
      </c>
      <c r="X87" s="36">
        <v>7.9141029999999953E-3</v>
      </c>
      <c r="Y87" s="36">
        <v>7.508702999999995E-3</v>
      </c>
      <c r="Z87" s="36">
        <v>0</v>
      </c>
      <c r="AA87" s="36">
        <v>1.2494800999999998E-2</v>
      </c>
      <c r="AB87" s="36">
        <v>1.8011900000000004E-2</v>
      </c>
      <c r="AC87" s="36">
        <v>8.8044999999999946E-3</v>
      </c>
      <c r="AD87" s="36">
        <v>8.2120204081632888E-4</v>
      </c>
      <c r="AE87" s="36">
        <v>2.7080797E-2</v>
      </c>
      <c r="AF87" s="36">
        <v>1.5734601999999997E-2</v>
      </c>
      <c r="AG87" s="36">
        <v>2.5668304210526318E-2</v>
      </c>
      <c r="AH87" s="36">
        <v>1.3648050505050467E-3</v>
      </c>
      <c r="AI87" s="36">
        <v>2.6035000400000001E-2</v>
      </c>
      <c r="AJ87" s="36">
        <v>1.3316304040404041E-2</v>
      </c>
      <c r="AK87" s="36">
        <v>2.8518104081632654E-2</v>
      </c>
      <c r="AL87" s="36">
        <v>1.9062978260869529E-3</v>
      </c>
      <c r="AM87" s="36">
        <v>2.7762202040816326E-2</v>
      </c>
      <c r="AN87" s="36">
        <v>1.5923504166666665E-2</v>
      </c>
      <c r="AO87" s="36">
        <v>6.275059620253165E-2</v>
      </c>
      <c r="AP87" s="36">
        <v>2.6606702272727274E-2</v>
      </c>
      <c r="AQ87" s="36">
        <v>2.8616394897959186E-2</v>
      </c>
      <c r="AR87" s="36">
        <v>2.1518595789473682E-2</v>
      </c>
      <c r="AS87" s="36">
        <v>5.4002597560975606E-2</v>
      </c>
      <c r="AT87" s="36">
        <v>9.576519E-2</v>
      </c>
      <c r="AU87" s="36">
        <v>1.1586900000000004E-2</v>
      </c>
      <c r="AW87" s="235">
        <v>5</v>
      </c>
      <c r="AX87" t="s">
        <v>207</v>
      </c>
      <c r="AY87" s="159">
        <v>5</v>
      </c>
      <c r="AZ87" s="235">
        <v>8.7904077494002503E-2</v>
      </c>
      <c r="BA87" s="156">
        <v>2.6480258463023799E-2</v>
      </c>
      <c r="BB87" s="156">
        <v>6.7893934525222396E-2</v>
      </c>
      <c r="BC87" s="156">
        <v>0.12749298201762499</v>
      </c>
      <c r="BD87" s="156">
        <v>8.9363993534853393E-3</v>
      </c>
      <c r="BE87" s="156">
        <v>2.5227177880554699E-2</v>
      </c>
      <c r="BF87" s="156">
        <v>5.6461226760431298E-2</v>
      </c>
      <c r="BG87" s="156">
        <v>3.43465162611633E-2</v>
      </c>
      <c r="BH87" s="156">
        <v>0.15340096046207199</v>
      </c>
      <c r="BI87" s="156">
        <v>1.8261282582294699E-2</v>
      </c>
      <c r="BJ87" s="156">
        <v>1.9764777783149799E-2</v>
      </c>
      <c r="BK87" s="156">
        <v>9.1948576597114806E-2</v>
      </c>
      <c r="BL87" s="156">
        <v>1.0727668409362999E-2</v>
      </c>
      <c r="BM87" s="156">
        <v>0.14073886603782301</v>
      </c>
      <c r="BN87" s="156">
        <v>3.3194174030609702E-2</v>
      </c>
      <c r="BO87" s="159">
        <v>9.7221121342064301E-2</v>
      </c>
      <c r="BP87" s="416">
        <f t="shared" si="1"/>
        <v>0.99999999999999967</v>
      </c>
    </row>
    <row r="88" spans="2:68" ht="14.5">
      <c r="B88" s="158" t="s">
        <v>327</v>
      </c>
      <c r="C88">
        <v>0.22228029999999999</v>
      </c>
      <c r="D88">
        <v>-2.0900999999999999E-2</v>
      </c>
      <c r="E88">
        <v>-0.34795989999999999</v>
      </c>
      <c r="F88">
        <v>-0.2139894</v>
      </c>
      <c r="G88">
        <v>-9.8443000000000003E-3</v>
      </c>
      <c r="H88">
        <v>-2.5310000000000003E-4</v>
      </c>
      <c r="I88">
        <v>0.83633630000000003</v>
      </c>
      <c r="J88">
        <v>0.1105067</v>
      </c>
      <c r="K88">
        <v>1.95234E-2</v>
      </c>
      <c r="L88">
        <v>-3.2509999999999997E-2</v>
      </c>
      <c r="M88">
        <v>6.7911999999999998E-3</v>
      </c>
      <c r="N88">
        <v>6.6959599999999994E-2</v>
      </c>
      <c r="O88">
        <v>4.8995000000000002E-3</v>
      </c>
      <c r="P88">
        <v>-5.7332300000000003E-2</v>
      </c>
      <c r="Q88">
        <v>-4.9510899999999997E-2</v>
      </c>
      <c r="R88" s="159">
        <v>-0.1047483</v>
      </c>
      <c r="T88" s="305" t="s">
        <v>208</v>
      </c>
      <c r="U88" s="326">
        <v>5</v>
      </c>
      <c r="V88" s="36">
        <v>0</v>
      </c>
      <c r="W88" s="36">
        <v>3.1650029999999983E-3</v>
      </c>
      <c r="X88" s="36">
        <v>1.6859029999999951E-3</v>
      </c>
      <c r="Y88" s="36">
        <v>2.0099029999999947E-3</v>
      </c>
      <c r="Z88" s="36">
        <v>5.5700109890109955E-4</v>
      </c>
      <c r="AA88" s="36">
        <v>1.3632009999999983E-3</v>
      </c>
      <c r="AB88" s="36">
        <v>1.8096000000000021E-3</v>
      </c>
      <c r="AC88" s="36">
        <v>2.2802999999999955E-3</v>
      </c>
      <c r="AD88" s="36">
        <v>2.4841020408163288E-3</v>
      </c>
      <c r="AE88" s="36">
        <v>5.286197000000002E-3</v>
      </c>
      <c r="AF88" s="36">
        <v>2.8105019999999955E-3</v>
      </c>
      <c r="AG88" s="36">
        <v>8.796504210526317E-3</v>
      </c>
      <c r="AH88" s="36">
        <v>1.6740050505050467E-3</v>
      </c>
      <c r="AI88" s="36">
        <v>5.8386004000000012E-3</v>
      </c>
      <c r="AJ88" s="36">
        <v>8.1032040404040405E-3</v>
      </c>
      <c r="AK88" s="36">
        <v>1.4574504081632654E-2</v>
      </c>
      <c r="AL88" s="36">
        <v>0</v>
      </c>
      <c r="AM88" s="36">
        <v>1.0503402040816326E-2</v>
      </c>
      <c r="AN88" s="36">
        <v>3.7111041666666646E-3</v>
      </c>
      <c r="AO88" s="36">
        <v>1.6609396202531646E-2</v>
      </c>
      <c r="AP88" s="36">
        <v>5.6377022727272727E-3</v>
      </c>
      <c r="AQ88" s="36">
        <v>9.8952948979591851E-3</v>
      </c>
      <c r="AR88" s="36">
        <v>1.5774495789473684E-2</v>
      </c>
      <c r="AS88" s="36">
        <v>1.2122897560975612E-2</v>
      </c>
      <c r="AT88" s="36">
        <v>3.1650690000000002E-2</v>
      </c>
      <c r="AU88" s="36">
        <v>2.9650000000000037E-3</v>
      </c>
      <c r="AW88" s="235">
        <v>6</v>
      </c>
      <c r="AX88" t="s">
        <v>208</v>
      </c>
      <c r="AY88" s="159">
        <v>5</v>
      </c>
      <c r="AZ88" s="235">
        <v>9.4256051871177596E-2</v>
      </c>
      <c r="BA88" s="156">
        <v>2.5817745700467701E-2</v>
      </c>
      <c r="BB88" s="156">
        <v>7.2334026588578404E-2</v>
      </c>
      <c r="BC88" s="156">
        <v>0.12421749461355</v>
      </c>
      <c r="BD88" s="156">
        <v>1.0501400871563701E-2</v>
      </c>
      <c r="BE88" s="156">
        <v>2.4090625711756401E-2</v>
      </c>
      <c r="BF88" s="156">
        <v>6.66216535270448E-2</v>
      </c>
      <c r="BG88" s="156">
        <v>5.1729654114168702E-2</v>
      </c>
      <c r="BH88" s="156">
        <v>0.133702906081239</v>
      </c>
      <c r="BI88" s="156">
        <v>2.0005108849625801E-2</v>
      </c>
      <c r="BJ88" s="156">
        <v>1.9538678239588499E-2</v>
      </c>
      <c r="BK88" s="156">
        <v>9.6072216023330201E-2</v>
      </c>
      <c r="BL88" s="156">
        <v>4.5501715285996202E-3</v>
      </c>
      <c r="BM88" s="156">
        <v>0.102453213490501</v>
      </c>
      <c r="BN88" s="156">
        <v>4.8471808247154302E-2</v>
      </c>
      <c r="BO88" s="159">
        <v>0.105637244541654</v>
      </c>
      <c r="BP88" s="416">
        <f t="shared" si="1"/>
        <v>0.99999999999999978</v>
      </c>
    </row>
    <row r="89" spans="2:68" ht="14.5">
      <c r="B89" s="158" t="s">
        <v>328</v>
      </c>
      <c r="C89">
        <v>-0.26003340000000003</v>
      </c>
      <c r="D89">
        <v>1.39322E-2</v>
      </c>
      <c r="E89">
        <v>-0.209539</v>
      </c>
      <c r="F89">
        <v>-2.5049070000000002</v>
      </c>
      <c r="G89">
        <v>-3.4708700000000002E-2</v>
      </c>
      <c r="H89">
        <v>3.6491900000000001E-2</v>
      </c>
      <c r="I89">
        <v>-0.7034996</v>
      </c>
      <c r="J89">
        <v>6.3327400000000006E-2</v>
      </c>
      <c r="K89">
        <v>-0.13862940000000001</v>
      </c>
      <c r="L89">
        <v>-1.4309199999999999E-2</v>
      </c>
      <c r="M89">
        <v>1.2902E-3</v>
      </c>
      <c r="N89">
        <v>-0.22357350000000001</v>
      </c>
      <c r="O89">
        <v>-4.4659299999999999E-2</v>
      </c>
      <c r="P89">
        <v>0.1765033</v>
      </c>
      <c r="Q89">
        <v>-0.1000964</v>
      </c>
      <c r="R89" s="159">
        <v>-0.24828230000000001</v>
      </c>
      <c r="T89" s="305" t="s">
        <v>209</v>
      </c>
      <c r="U89" s="326">
        <v>5</v>
      </c>
      <c r="V89" s="36">
        <v>0</v>
      </c>
      <c r="W89" s="36">
        <v>3.6004029999999985E-3</v>
      </c>
      <c r="X89" s="36">
        <v>2.4008029999999948E-3</v>
      </c>
      <c r="Y89" s="36">
        <v>2.9642029999999951E-3</v>
      </c>
      <c r="Z89" s="36">
        <v>0</v>
      </c>
      <c r="AA89" s="36">
        <v>2.325000999999998E-3</v>
      </c>
      <c r="AB89" s="36">
        <v>2.2030000000000023E-3</v>
      </c>
      <c r="AC89" s="36">
        <v>2.8550999999999958E-3</v>
      </c>
      <c r="AD89" s="36">
        <v>1.6786020408163288E-3</v>
      </c>
      <c r="AE89" s="36">
        <v>8.2175970000000036E-3</v>
      </c>
      <c r="AF89" s="36">
        <v>4.6102019999999955E-3</v>
      </c>
      <c r="AG89" s="36">
        <v>1.4759204210526317E-2</v>
      </c>
      <c r="AH89" s="36">
        <v>6.6860505050504672E-4</v>
      </c>
      <c r="AI89" s="36">
        <v>7.1928004000000011E-3</v>
      </c>
      <c r="AJ89" s="36">
        <v>4.3270040404040418E-3</v>
      </c>
      <c r="AK89" s="36">
        <v>1.4779704081632653E-2</v>
      </c>
      <c r="AL89" s="36">
        <v>2.2070978260869531E-3</v>
      </c>
      <c r="AM89" s="36">
        <v>1.5334102040816327E-2</v>
      </c>
      <c r="AN89" s="36">
        <v>9.5292041666666643E-3</v>
      </c>
      <c r="AO89" s="36">
        <v>3.7571996202531648E-2</v>
      </c>
      <c r="AP89" s="36">
        <v>9.7640227272727275E-4</v>
      </c>
      <c r="AQ89" s="36">
        <v>1.3075694897959187E-2</v>
      </c>
      <c r="AR89" s="36">
        <v>2.912295789473684E-3</v>
      </c>
      <c r="AS89" s="36">
        <v>2.8253097560975611E-2</v>
      </c>
      <c r="AT89" s="36">
        <v>3.2517690000000002E-2</v>
      </c>
      <c r="AU89" s="36">
        <v>2.8973000000000033E-3</v>
      </c>
      <c r="AW89" s="235">
        <v>7</v>
      </c>
      <c r="AX89" t="s">
        <v>209</v>
      </c>
      <c r="AY89" s="159">
        <v>5</v>
      </c>
      <c r="AZ89" s="235">
        <v>0.10370754638264799</v>
      </c>
      <c r="BA89" s="156">
        <v>3.52497408308831E-2</v>
      </c>
      <c r="BB89" s="156">
        <v>6.2381545294401201E-2</v>
      </c>
      <c r="BC89" s="156">
        <v>0.153571832424031</v>
      </c>
      <c r="BD89" s="156">
        <v>2.00907487769591E-2</v>
      </c>
      <c r="BE89" s="156">
        <v>2.33258268640247E-2</v>
      </c>
      <c r="BF89" s="156">
        <v>5.2138754093079803E-2</v>
      </c>
      <c r="BG89" s="156">
        <v>2.7849899727787401E-2</v>
      </c>
      <c r="BH89" s="156">
        <v>0.14343097222701301</v>
      </c>
      <c r="BI89" s="156">
        <v>2.2917719108199099E-2</v>
      </c>
      <c r="BJ89" s="156">
        <v>1.5647125278610102E-2</v>
      </c>
      <c r="BK89" s="156">
        <v>6.9366503080625294E-2</v>
      </c>
      <c r="BL89" s="156">
        <v>6.7143305422535902E-3</v>
      </c>
      <c r="BM89" s="156">
        <v>0.13018564030452101</v>
      </c>
      <c r="BN89" s="156">
        <v>3.44481890295242E-2</v>
      </c>
      <c r="BO89" s="159">
        <v>9.8973626035438703E-2</v>
      </c>
      <c r="BP89" s="416">
        <f t="shared" si="1"/>
        <v>0.99999999999999911</v>
      </c>
    </row>
    <row r="90" spans="2:68" ht="14.5">
      <c r="B90" s="158" t="s">
        <v>329</v>
      </c>
      <c r="C90">
        <v>8.2370299999999994E-2</v>
      </c>
      <c r="D90">
        <v>2.65577E-2</v>
      </c>
      <c r="E90">
        <v>3.1093200000000001E-2</v>
      </c>
      <c r="F90">
        <v>-0.97567610000000005</v>
      </c>
      <c r="G90">
        <v>1.8732100000000002E-2</v>
      </c>
      <c r="H90">
        <v>-1.1923100000000001E-2</v>
      </c>
      <c r="I90">
        <v>-0.37644</v>
      </c>
      <c r="J90">
        <v>2.0294E-2</v>
      </c>
      <c r="K90">
        <v>-0.28016999999999997</v>
      </c>
      <c r="L90">
        <v>3.81728E-2</v>
      </c>
      <c r="M90">
        <v>3.4527E-3</v>
      </c>
      <c r="N90">
        <v>4.5220499999999997E-2</v>
      </c>
      <c r="O90">
        <v>-1.8391000000000001E-2</v>
      </c>
      <c r="P90">
        <v>1.2053100000000001E-2</v>
      </c>
      <c r="Q90">
        <v>-0.24409539999999999</v>
      </c>
      <c r="R90" s="159">
        <v>0.13245660000000001</v>
      </c>
      <c r="T90" s="305" t="s">
        <v>224</v>
      </c>
      <c r="U90" s="326">
        <v>5</v>
      </c>
      <c r="V90" s="36">
        <v>0</v>
      </c>
      <c r="W90" s="36">
        <v>1.0829102999999998E-2</v>
      </c>
      <c r="X90" s="36">
        <v>4.6446029999999945E-3</v>
      </c>
      <c r="Y90" s="36">
        <v>6.7157029999999947E-3</v>
      </c>
      <c r="Z90" s="36">
        <v>0</v>
      </c>
      <c r="AA90" s="36">
        <v>9.5679009999999984E-3</v>
      </c>
      <c r="AB90" s="36">
        <v>1.1743400000000001E-2</v>
      </c>
      <c r="AC90" s="36">
        <v>7.4127999999999954E-3</v>
      </c>
      <c r="AD90" s="36">
        <v>5.4250204081632888E-4</v>
      </c>
      <c r="AE90" s="36">
        <v>2.4359197000000003E-2</v>
      </c>
      <c r="AF90" s="36">
        <v>7.0812019999999956E-3</v>
      </c>
      <c r="AG90" s="36">
        <v>3.3297904210526315E-2</v>
      </c>
      <c r="AH90" s="36">
        <v>4.3970505050504674E-4</v>
      </c>
      <c r="AI90" s="36">
        <v>2.1198400400000001E-2</v>
      </c>
      <c r="AJ90" s="36">
        <v>1.2552004040404042E-2</v>
      </c>
      <c r="AK90" s="36">
        <v>2.4578904081632654E-2</v>
      </c>
      <c r="AL90" s="36">
        <v>6.4996978260869528E-3</v>
      </c>
      <c r="AM90" s="36">
        <v>3.7508902040816326E-2</v>
      </c>
      <c r="AN90" s="36">
        <v>1.7649904166666664E-2</v>
      </c>
      <c r="AO90" s="36">
        <v>3.7938296202531648E-2</v>
      </c>
      <c r="AP90" s="36">
        <v>7.9955022727272711E-3</v>
      </c>
      <c r="AQ90" s="36">
        <v>3.6758594897959185E-2</v>
      </c>
      <c r="AR90" s="36">
        <v>3.5825295789473681E-2</v>
      </c>
      <c r="AS90" s="36">
        <v>4.164259756097561E-2</v>
      </c>
      <c r="AT90" s="36">
        <v>9.4267790000000004E-2</v>
      </c>
      <c r="AU90" s="36">
        <v>8.7138000000000042E-3</v>
      </c>
      <c r="AW90" s="235">
        <v>8</v>
      </c>
      <c r="AX90" t="s">
        <v>224</v>
      </c>
      <c r="AY90" s="159">
        <v>5</v>
      </c>
      <c r="AZ90" s="235">
        <v>9.0053660685844403E-2</v>
      </c>
      <c r="BA90" s="156">
        <v>2.9015481758717199E-2</v>
      </c>
      <c r="BB90" s="156">
        <v>6.8799136335018302E-2</v>
      </c>
      <c r="BC90" s="156">
        <v>0.15447116771047401</v>
      </c>
      <c r="BD90" s="156">
        <v>1.2524669215713401E-2</v>
      </c>
      <c r="BE90" s="156">
        <v>2.45502044895754E-2</v>
      </c>
      <c r="BF90" s="156">
        <v>5.8497615230068301E-2</v>
      </c>
      <c r="BG90" s="156">
        <v>3.7685802020593802E-2</v>
      </c>
      <c r="BH90" s="156">
        <v>0.13899265286561399</v>
      </c>
      <c r="BI90" s="156">
        <v>1.95158343363728E-2</v>
      </c>
      <c r="BJ90" s="156">
        <v>2.2278816412812701E-2</v>
      </c>
      <c r="BK90" s="156">
        <v>8.8125699590612505E-2</v>
      </c>
      <c r="BL90" s="156">
        <v>1.0176578308066E-2</v>
      </c>
      <c r="BM90" s="156">
        <v>0.11588296704126</v>
      </c>
      <c r="BN90" s="156">
        <v>3.1193067758855299E-2</v>
      </c>
      <c r="BO90" s="159">
        <v>9.8236646240402098E-2</v>
      </c>
      <c r="BP90" s="416">
        <f t="shared" si="1"/>
        <v>1.0000000000000002</v>
      </c>
    </row>
    <row r="91" spans="2:68" ht="14.5">
      <c r="B91" s="158" t="s">
        <v>330</v>
      </c>
      <c r="C91">
        <v>1.1292399999999999E-2</v>
      </c>
      <c r="D91">
        <v>1.0132800000000001E-2</v>
      </c>
      <c r="E91">
        <v>2.7872600000000001E-2</v>
      </c>
      <c r="F91">
        <v>0.86349089999999995</v>
      </c>
      <c r="G91">
        <v>-3.9578200000000001E-2</v>
      </c>
      <c r="H91">
        <v>8.8485999999999995E-2</v>
      </c>
      <c r="I91">
        <v>-0.19929350000000001</v>
      </c>
      <c r="J91">
        <v>1.6219600000000001E-2</v>
      </c>
      <c r="K91">
        <v>-0.20468510000000001</v>
      </c>
      <c r="L91">
        <v>-3.2965599999999998E-2</v>
      </c>
      <c r="M91">
        <v>-8.8809000000000006E-3</v>
      </c>
      <c r="N91">
        <v>-0.1277742</v>
      </c>
      <c r="O91">
        <v>1.1892700000000001E-2</v>
      </c>
      <c r="P91">
        <v>0.46883979999999997</v>
      </c>
      <c r="Q91">
        <v>-0.30270970000000003</v>
      </c>
      <c r="R91" s="159">
        <v>-0.1215842</v>
      </c>
      <c r="T91" s="305" t="s">
        <v>210</v>
      </c>
      <c r="U91" s="326">
        <v>5</v>
      </c>
      <c r="V91" s="36">
        <v>1.9060112359550128E-4</v>
      </c>
      <c r="W91" s="36">
        <v>9.723202999999998E-3</v>
      </c>
      <c r="X91" s="36">
        <v>4.8221029999999951E-3</v>
      </c>
      <c r="Y91" s="36">
        <v>8.3194029999999943E-3</v>
      </c>
      <c r="Z91" s="36">
        <v>6.5300109890109961E-4</v>
      </c>
      <c r="AA91" s="36">
        <v>5.5609009999999983E-3</v>
      </c>
      <c r="AB91" s="36">
        <v>7.2996000000000024E-3</v>
      </c>
      <c r="AC91" s="36">
        <v>7.2171999999999957E-3</v>
      </c>
      <c r="AD91" s="36">
        <v>6.7900204081632889E-4</v>
      </c>
      <c r="AE91" s="36">
        <v>1.8236697000000003E-2</v>
      </c>
      <c r="AF91" s="36">
        <v>7.5422019999999953E-3</v>
      </c>
      <c r="AG91" s="36">
        <v>3.8421304210526315E-2</v>
      </c>
      <c r="AH91" s="36">
        <v>3.5245050505050466E-3</v>
      </c>
      <c r="AI91" s="36">
        <v>1.45261004E-2</v>
      </c>
      <c r="AJ91" s="36">
        <v>1.066670404040404E-2</v>
      </c>
      <c r="AK91" s="36">
        <v>2.9346304081632652E-2</v>
      </c>
      <c r="AL91" s="36">
        <v>8.0285978260869525E-3</v>
      </c>
      <c r="AM91" s="36">
        <v>2.5830602040816324E-2</v>
      </c>
      <c r="AN91" s="36">
        <v>1.6040204166666665E-2</v>
      </c>
      <c r="AO91" s="36">
        <v>6.4409696202531647E-2</v>
      </c>
      <c r="AP91" s="36">
        <v>3.9287022727272731E-3</v>
      </c>
      <c r="AQ91" s="36">
        <v>3.0448294897959187E-2</v>
      </c>
      <c r="AR91" s="36">
        <v>1.2943895789473683E-2</v>
      </c>
      <c r="AS91" s="36">
        <v>6.2590797560975617E-2</v>
      </c>
      <c r="AT91" s="36">
        <v>7.1531890000000001E-2</v>
      </c>
      <c r="AU91" s="36">
        <v>8.925900000000004E-3</v>
      </c>
      <c r="AW91" s="235">
        <v>9</v>
      </c>
      <c r="AX91" t="s">
        <v>210</v>
      </c>
      <c r="AY91" s="159">
        <v>5</v>
      </c>
      <c r="AZ91" s="235">
        <v>9.5076537011986206E-2</v>
      </c>
      <c r="BA91" s="156">
        <v>3.0264725432981698E-2</v>
      </c>
      <c r="BB91" s="156">
        <v>6.3023568234843994E-2</v>
      </c>
      <c r="BC91" s="156">
        <v>0.14859864464435199</v>
      </c>
      <c r="BD91" s="156">
        <v>1.17139610988277E-2</v>
      </c>
      <c r="BE91" s="156">
        <v>2.70248448432234E-2</v>
      </c>
      <c r="BF91" s="156">
        <v>5.5897615130743497E-2</v>
      </c>
      <c r="BG91" s="156">
        <v>3.2649315491359798E-2</v>
      </c>
      <c r="BH91" s="156">
        <v>0.139557506856683</v>
      </c>
      <c r="BI91" s="156">
        <v>1.5348625600622201E-2</v>
      </c>
      <c r="BJ91" s="156">
        <v>2.3849198895444599E-2</v>
      </c>
      <c r="BK91" s="156">
        <v>9.0074421567098606E-2</v>
      </c>
      <c r="BL91" s="156">
        <v>9.0356320248733309E-3</v>
      </c>
      <c r="BM91" s="156">
        <v>0.121918797753978</v>
      </c>
      <c r="BN91" s="156">
        <v>3.8194200263170802E-2</v>
      </c>
      <c r="BO91" s="159">
        <v>9.7772405149810504E-2</v>
      </c>
      <c r="BP91" s="416">
        <f t="shared" si="1"/>
        <v>0.99999999999999933</v>
      </c>
    </row>
    <row r="92" spans="2:68" ht="14.5">
      <c r="B92" s="158" t="s">
        <v>331</v>
      </c>
      <c r="C92">
        <v>-1.204002</v>
      </c>
      <c r="D92">
        <v>-5.5513399999999997E-2</v>
      </c>
      <c r="E92">
        <v>0.39508700000000002</v>
      </c>
      <c r="F92">
        <v>-2.4836309999999999</v>
      </c>
      <c r="G92">
        <v>-1.2944000000000001E-2</v>
      </c>
      <c r="H92">
        <v>1.23889E-2</v>
      </c>
      <c r="I92">
        <v>-0.50207520000000005</v>
      </c>
      <c r="J92">
        <v>3.3838000000000002E-3</v>
      </c>
      <c r="K92">
        <v>-0.31797769999999997</v>
      </c>
      <c r="L92">
        <v>-2.8055500000000001E-2</v>
      </c>
      <c r="M92">
        <v>3.6679E-3</v>
      </c>
      <c r="N92">
        <v>-2.83331E-2</v>
      </c>
      <c r="O92">
        <v>3.7256999999999998E-2</v>
      </c>
      <c r="P92">
        <v>0.24545020000000001</v>
      </c>
      <c r="Q92">
        <v>0.1076602</v>
      </c>
      <c r="R92" s="159">
        <v>9.9702299999999994E-2</v>
      </c>
      <c r="T92" s="305" t="s">
        <v>211</v>
      </c>
      <c r="U92" s="326">
        <v>5</v>
      </c>
      <c r="V92" s="36">
        <v>4.6300112359550129E-4</v>
      </c>
      <c r="W92" s="36">
        <v>4.1887029999999985E-3</v>
      </c>
      <c r="X92" s="36">
        <v>1.0200029999999952E-3</v>
      </c>
      <c r="Y92" s="36">
        <v>2.7832029999999949E-3</v>
      </c>
      <c r="Z92" s="36">
        <v>8.1701098901099532E-5</v>
      </c>
      <c r="AA92" s="36">
        <v>2.4041009999999983E-3</v>
      </c>
      <c r="AB92" s="36">
        <v>1.5518000000000023E-3</v>
      </c>
      <c r="AC92" s="36">
        <v>2.5933999999999957E-3</v>
      </c>
      <c r="AD92" s="36">
        <v>5.4510204081632883E-4</v>
      </c>
      <c r="AE92" s="36">
        <v>3.4678970000000028E-3</v>
      </c>
      <c r="AF92" s="36">
        <v>1.6942019999999958E-3</v>
      </c>
      <c r="AG92" s="36">
        <v>8.8928042105263158E-3</v>
      </c>
      <c r="AH92" s="36">
        <v>1.0000050505050468E-3</v>
      </c>
      <c r="AI92" s="36">
        <v>4.6710004000000008E-3</v>
      </c>
      <c r="AJ92" s="36">
        <v>3.8122040404040417E-3</v>
      </c>
      <c r="AK92" s="36">
        <v>8.0032040816326536E-3</v>
      </c>
      <c r="AL92" s="36">
        <v>2.865797826086953E-3</v>
      </c>
      <c r="AM92" s="36">
        <v>5.0511020408163269E-3</v>
      </c>
      <c r="AN92" s="36">
        <v>2.6530416666666447E-4</v>
      </c>
      <c r="AO92" s="36">
        <v>1.4132596202531647E-2</v>
      </c>
      <c r="AP92" s="36">
        <v>1.8551022727272728E-3</v>
      </c>
      <c r="AQ92" s="36">
        <v>4.4473948979591848E-3</v>
      </c>
      <c r="AR92" s="36">
        <v>1.3140957894736841E-3</v>
      </c>
      <c r="AS92" s="36">
        <v>1.1724797560975612E-2</v>
      </c>
      <c r="AT92" s="36">
        <v>6.0400900000000049E-3</v>
      </c>
      <c r="AU92" s="36">
        <v>1.7244000000000033E-3</v>
      </c>
      <c r="AW92" s="235">
        <v>10</v>
      </c>
      <c r="AX92" t="s">
        <v>211</v>
      </c>
      <c r="AY92" s="159">
        <v>5</v>
      </c>
      <c r="AZ92" s="235">
        <v>9.6547953987423302E-2</v>
      </c>
      <c r="BA92" s="156">
        <v>4.9189849995956797E-2</v>
      </c>
      <c r="BB92" s="156">
        <v>7.3986736389472202E-2</v>
      </c>
      <c r="BC92" s="156">
        <v>0.12169386377715299</v>
      </c>
      <c r="BD92" s="156">
        <v>9.6615813041526395E-3</v>
      </c>
      <c r="BE92" s="156">
        <v>2.4375733722786799E-2</v>
      </c>
      <c r="BF92" s="156">
        <v>6.5832433251110795E-2</v>
      </c>
      <c r="BG92" s="156">
        <v>3.5957662205019898E-2</v>
      </c>
      <c r="BH92" s="156">
        <v>0.144171404696152</v>
      </c>
      <c r="BI92" s="156">
        <v>1.7945052008415299E-2</v>
      </c>
      <c r="BJ92" s="156">
        <v>2.2794136407378401E-2</v>
      </c>
      <c r="BK92" s="156">
        <v>8.76005532253398E-2</v>
      </c>
      <c r="BL92" s="156">
        <v>5.8760509295400203E-3</v>
      </c>
      <c r="BM92" s="156">
        <v>0.10070239780700101</v>
      </c>
      <c r="BN92" s="156">
        <v>3.3368164534355697E-2</v>
      </c>
      <c r="BO92" s="159">
        <v>0.110296425758743</v>
      </c>
      <c r="BP92" s="416">
        <f t="shared" si="1"/>
        <v>1.0000000000000007</v>
      </c>
    </row>
    <row r="93" spans="2:68" ht="14.5">
      <c r="B93" s="158" t="s">
        <v>332</v>
      </c>
      <c r="C93">
        <v>0.81008420000000003</v>
      </c>
      <c r="D93">
        <v>4.68709E-2</v>
      </c>
      <c r="E93">
        <v>0.9627869</v>
      </c>
      <c r="F93">
        <v>-1.5628010000000001</v>
      </c>
      <c r="G93">
        <v>-7.1928000000000001E-3</v>
      </c>
      <c r="H93">
        <v>2.2829499999999999E-2</v>
      </c>
      <c r="I93">
        <v>-2.8585599999999999E-2</v>
      </c>
      <c r="J93">
        <v>0.14205519999999999</v>
      </c>
      <c r="K93">
        <v>-6.8595699999999996E-2</v>
      </c>
      <c r="L93">
        <v>-9.2069999999999999E-4</v>
      </c>
      <c r="M93">
        <v>8.5800000000000004E-4</v>
      </c>
      <c r="N93">
        <v>5.8137300000000003E-2</v>
      </c>
      <c r="O93">
        <v>1.33621E-2</v>
      </c>
      <c r="P93">
        <v>-2.17713E-2</v>
      </c>
      <c r="Q93">
        <v>0.1027438</v>
      </c>
      <c r="R93" s="159">
        <v>-0.89528410000000003</v>
      </c>
      <c r="T93" s="305" t="s">
        <v>212</v>
      </c>
      <c r="U93" s="326">
        <v>5</v>
      </c>
      <c r="V93" s="36">
        <v>3.4910112359550128E-4</v>
      </c>
      <c r="W93" s="36">
        <v>3.6833029999999984E-3</v>
      </c>
      <c r="X93" s="36">
        <v>1.6111029999999952E-3</v>
      </c>
      <c r="Y93" s="36">
        <v>3.157002999999995E-3</v>
      </c>
      <c r="Z93" s="36">
        <v>2.0770109890109955E-4</v>
      </c>
      <c r="AA93" s="36">
        <v>2.8379009999999981E-3</v>
      </c>
      <c r="AB93" s="36">
        <v>3.2509000000000023E-3</v>
      </c>
      <c r="AC93" s="36">
        <v>3.3171999999999958E-3</v>
      </c>
      <c r="AD93" s="36">
        <v>1.4041020408163288E-3</v>
      </c>
      <c r="AE93" s="36">
        <v>6.4138970000000026E-3</v>
      </c>
      <c r="AF93" s="36">
        <v>2.6891019999999953E-3</v>
      </c>
      <c r="AG93" s="36">
        <v>1.5070804210526317E-2</v>
      </c>
      <c r="AH93" s="36">
        <v>1.0071050505050467E-3</v>
      </c>
      <c r="AI93" s="36">
        <v>7.0068004000000007E-3</v>
      </c>
      <c r="AJ93" s="36">
        <v>4.8559040404040415E-3</v>
      </c>
      <c r="AK93" s="36">
        <v>1.2332704081632654E-2</v>
      </c>
      <c r="AL93" s="36">
        <v>3.4372978260869529E-3</v>
      </c>
      <c r="AM93" s="36">
        <v>1.3079402040816326E-2</v>
      </c>
      <c r="AN93" s="36">
        <v>6.1017041666666643E-3</v>
      </c>
      <c r="AO93" s="36">
        <v>3.3498196202531645E-2</v>
      </c>
      <c r="AP93" s="36">
        <v>9.4811022727272713E-3</v>
      </c>
      <c r="AQ93" s="36">
        <v>1.1000894897959185E-2</v>
      </c>
      <c r="AR93" s="36">
        <v>6.1090957894736845E-3</v>
      </c>
      <c r="AS93" s="36">
        <v>1.7866397560975612E-2</v>
      </c>
      <c r="AT93" s="36">
        <v>1.6941690000000006E-2</v>
      </c>
      <c r="AU93" s="36">
        <v>2.9870000000000035E-3</v>
      </c>
      <c r="AW93" s="235">
        <v>11</v>
      </c>
      <c r="AX93" t="s">
        <v>212</v>
      </c>
      <c r="AY93" s="159">
        <v>5</v>
      </c>
      <c r="AZ93" s="235">
        <v>0.105289535454165</v>
      </c>
      <c r="BA93" s="156">
        <v>3.5386028748974001E-2</v>
      </c>
      <c r="BB93" s="156">
        <v>7.1087990540898593E-2</v>
      </c>
      <c r="BC93" s="156">
        <v>0.13063871538163899</v>
      </c>
      <c r="BD93" s="156">
        <v>8.0289699528931797E-3</v>
      </c>
      <c r="BE93" s="156">
        <v>2.4723008619214299E-2</v>
      </c>
      <c r="BF93" s="156">
        <v>4.67629271335109E-2</v>
      </c>
      <c r="BG93" s="156">
        <v>3.88360908879571E-2</v>
      </c>
      <c r="BH93" s="156">
        <v>0.14554025987868899</v>
      </c>
      <c r="BI93" s="156">
        <v>1.13083811678702E-2</v>
      </c>
      <c r="BJ93" s="156">
        <v>2.57650921188377E-2</v>
      </c>
      <c r="BK93" s="156">
        <v>9.3777368293480504E-2</v>
      </c>
      <c r="BL93" s="156">
        <v>1.2042147515978201E-2</v>
      </c>
      <c r="BM93" s="156">
        <v>0.102353879140404</v>
      </c>
      <c r="BN93" s="156">
        <v>4.1670979712086803E-2</v>
      </c>
      <c r="BO93" s="159">
        <v>0.1067886254534</v>
      </c>
      <c r="BP93" s="416">
        <f t="shared" si="1"/>
        <v>0.99999999999999845</v>
      </c>
    </row>
    <row r="94" spans="2:68" ht="14.5">
      <c r="B94" s="158" t="s">
        <v>333</v>
      </c>
      <c r="C94">
        <v>-3.5050100000000001E-2</v>
      </c>
      <c r="D94">
        <v>-4.4833400000000002E-2</v>
      </c>
      <c r="E94">
        <v>-1.8712230000000001</v>
      </c>
      <c r="F94">
        <v>-0.26901639999999999</v>
      </c>
      <c r="G94">
        <v>8.7546499999999999E-2</v>
      </c>
      <c r="H94">
        <v>1.9161999999999998E-2</v>
      </c>
      <c r="I94">
        <v>-1.625094</v>
      </c>
      <c r="J94">
        <v>3.0383799999999999E-2</v>
      </c>
      <c r="K94">
        <v>1.0808E-2</v>
      </c>
      <c r="L94">
        <v>-2.97936E-2</v>
      </c>
      <c r="M94">
        <v>-5.2513000000000004E-3</v>
      </c>
      <c r="N94">
        <v>8.0396400000000007E-2</v>
      </c>
      <c r="O94">
        <v>-1.3506799999999999E-2</v>
      </c>
      <c r="P94">
        <v>5.1152999999999997E-3</v>
      </c>
      <c r="Q94">
        <v>-5.10906E-2</v>
      </c>
      <c r="R94" s="159">
        <v>-0.15887560000000001</v>
      </c>
      <c r="T94" s="305" t="s">
        <v>213</v>
      </c>
      <c r="U94" s="326">
        <v>5</v>
      </c>
      <c r="V94" s="36">
        <v>0</v>
      </c>
      <c r="W94" s="36">
        <v>8.2254029999999992E-3</v>
      </c>
      <c r="X94" s="36">
        <v>4.9323029999999947E-3</v>
      </c>
      <c r="Y94" s="36">
        <v>4.6541029999999954E-3</v>
      </c>
      <c r="Z94" s="36">
        <v>2.1740109890109954E-4</v>
      </c>
      <c r="AA94" s="36">
        <v>5.9990009999999986E-3</v>
      </c>
      <c r="AB94" s="36">
        <v>1.5675600000000005E-2</v>
      </c>
      <c r="AC94" s="36">
        <v>6.0738999999999958E-3</v>
      </c>
      <c r="AD94" s="36">
        <v>5.9542020408163282E-3</v>
      </c>
      <c r="AE94" s="36">
        <v>2.1939897E-2</v>
      </c>
      <c r="AF94" s="36">
        <v>1.6676201999999994E-2</v>
      </c>
      <c r="AG94" s="36">
        <v>5.1964704210526319E-2</v>
      </c>
      <c r="AH94" s="36">
        <v>4.122905050505046E-3</v>
      </c>
      <c r="AI94" s="36">
        <v>1.9266700400000003E-2</v>
      </c>
      <c r="AJ94" s="36">
        <v>2.6302304040404043E-2</v>
      </c>
      <c r="AK94" s="36">
        <v>2.9294004081632654E-2</v>
      </c>
      <c r="AL94" s="36">
        <v>2.9172097826086953E-2</v>
      </c>
      <c r="AM94" s="36">
        <v>6.1206002040816332E-2</v>
      </c>
      <c r="AN94" s="36">
        <v>4.3132004166666661E-2</v>
      </c>
      <c r="AO94" s="36">
        <v>8.408309620253164E-2</v>
      </c>
      <c r="AP94" s="36">
        <v>1.9533002272727272E-2</v>
      </c>
      <c r="AQ94" s="36">
        <v>7.2492894897959181E-2</v>
      </c>
      <c r="AR94" s="36">
        <v>2.7972995789473685E-2</v>
      </c>
      <c r="AS94" s="36">
        <v>8.8324897560975613E-2</v>
      </c>
      <c r="AT94" s="36">
        <v>0.12564979000000001</v>
      </c>
      <c r="AU94" s="36">
        <v>1.5172200000000004E-2</v>
      </c>
      <c r="AW94" s="235">
        <v>12</v>
      </c>
      <c r="AX94" t="s">
        <v>213</v>
      </c>
      <c r="AY94" s="159">
        <v>5</v>
      </c>
      <c r="AZ94" s="235">
        <v>9.27096456417488E-2</v>
      </c>
      <c r="BA94" s="156">
        <v>3.6655477713829897E-2</v>
      </c>
      <c r="BB94" s="156">
        <v>6.2633435007852206E-2</v>
      </c>
      <c r="BC94" s="156">
        <v>0.17990386676478701</v>
      </c>
      <c r="BD94" s="156">
        <v>1.8111776464353802E-2</v>
      </c>
      <c r="BE94" s="156">
        <v>1.7142005934840301E-2</v>
      </c>
      <c r="BF94" s="156">
        <v>4.7959524700326897E-2</v>
      </c>
      <c r="BG94" s="156">
        <v>3.3180109430487499E-2</v>
      </c>
      <c r="BH94" s="156">
        <v>9.9059638208871398E-2</v>
      </c>
      <c r="BI94" s="156">
        <v>2.5403779835922999E-2</v>
      </c>
      <c r="BJ94" s="156">
        <v>2.0357409239275499E-2</v>
      </c>
      <c r="BK94" s="156">
        <v>8.86048422015943E-2</v>
      </c>
      <c r="BL94" s="156">
        <v>8.5138845073647502E-3</v>
      </c>
      <c r="BM94" s="156">
        <v>0.12725861161006999</v>
      </c>
      <c r="BN94" s="156">
        <v>5.3778657262444199E-2</v>
      </c>
      <c r="BO94" s="159">
        <v>8.8727335476230296E-2</v>
      </c>
      <c r="BP94" s="416">
        <f t="shared" si="1"/>
        <v>1</v>
      </c>
    </row>
    <row r="95" spans="2:68" ht="14.5">
      <c r="B95" s="158" t="s">
        <v>334</v>
      </c>
      <c r="C95">
        <v>0.25700309999999998</v>
      </c>
      <c r="D95">
        <v>2.48E-3</v>
      </c>
      <c r="E95">
        <v>4.6906700000000003E-2</v>
      </c>
      <c r="F95">
        <v>-1.466075</v>
      </c>
      <c r="G95">
        <v>8.3633000000000006E-3</v>
      </c>
      <c r="H95" s="176">
        <v>1.4681E-3</v>
      </c>
      <c r="I95">
        <v>-0.3998601</v>
      </c>
      <c r="J95">
        <v>8.1091999999999997E-2</v>
      </c>
      <c r="K95">
        <v>-0.1602893</v>
      </c>
      <c r="L95">
        <v>-5.4392599999999999E-2</v>
      </c>
      <c r="M95">
        <v>-7.5920000000000002E-4</v>
      </c>
      <c r="N95">
        <v>-1.55164E-2</v>
      </c>
      <c r="O95">
        <v>-5.1022000000000003E-3</v>
      </c>
      <c r="P95">
        <v>0.52902300000000002</v>
      </c>
      <c r="Q95">
        <v>-0.3591414</v>
      </c>
      <c r="R95" s="159">
        <v>0.27903939999999999</v>
      </c>
      <c r="T95" s="305" t="s">
        <v>214</v>
      </c>
      <c r="U95" s="326">
        <v>5</v>
      </c>
      <c r="V95" s="36">
        <v>2.2760112359550128E-4</v>
      </c>
      <c r="W95" s="36">
        <v>2.5882029999999986E-3</v>
      </c>
      <c r="X95" s="36">
        <v>9.4980299999999505E-4</v>
      </c>
      <c r="Y95" s="36">
        <v>2.3723029999999949E-3</v>
      </c>
      <c r="Z95" s="36">
        <v>0</v>
      </c>
      <c r="AA95" s="36">
        <v>2.2907009999999983E-3</v>
      </c>
      <c r="AB95" s="36">
        <v>3.0474000000000022E-3</v>
      </c>
      <c r="AC95" s="36">
        <v>2.2113999999999957E-3</v>
      </c>
      <c r="AD95" s="36">
        <v>7.0240204081632892E-4</v>
      </c>
      <c r="AE95" s="36">
        <v>3.8810970000000031E-3</v>
      </c>
      <c r="AF95" s="36">
        <v>2.9114019999999957E-3</v>
      </c>
      <c r="AG95" s="36">
        <v>8.9098042105263172E-3</v>
      </c>
      <c r="AH95" s="36">
        <v>2.3894050505050466E-3</v>
      </c>
      <c r="AI95" s="36">
        <v>4.9462004000000014E-3</v>
      </c>
      <c r="AJ95" s="36">
        <v>6.0705040404040421E-3</v>
      </c>
      <c r="AK95" s="36">
        <v>1.0973404081632653E-2</v>
      </c>
      <c r="AL95" s="36">
        <v>5.0676978260869527E-3</v>
      </c>
      <c r="AM95" s="36">
        <v>1.3393102040816326E-2</v>
      </c>
      <c r="AN95" s="36">
        <v>6.1146041666666649E-3</v>
      </c>
      <c r="AO95" s="36">
        <v>2.8493796202531646E-2</v>
      </c>
      <c r="AP95" s="36">
        <v>2.0511802272727274E-2</v>
      </c>
      <c r="AQ95" s="36">
        <v>1.2453294897959186E-2</v>
      </c>
      <c r="AR95" s="36">
        <v>1.8143495789473683E-2</v>
      </c>
      <c r="AS95" s="36">
        <v>2.1305297560975611E-2</v>
      </c>
      <c r="AT95" s="36">
        <v>1.0187790000000006E-2</v>
      </c>
      <c r="AU95" s="36">
        <v>3.0133000000000035E-3</v>
      </c>
      <c r="AW95" s="235">
        <v>13</v>
      </c>
      <c r="AX95" t="s">
        <v>214</v>
      </c>
      <c r="AY95" s="159">
        <v>5</v>
      </c>
      <c r="AZ95" s="235">
        <v>0.115006861176184</v>
      </c>
      <c r="BA95" s="156">
        <v>3.3747839312992703E-2</v>
      </c>
      <c r="BB95" s="156">
        <v>8.6601886855442595E-2</v>
      </c>
      <c r="BC95" s="156">
        <v>0.119689657259993</v>
      </c>
      <c r="BD95" s="156">
        <v>6.8278584330440598E-3</v>
      </c>
      <c r="BE95" s="156">
        <v>2.39604984035671E-2</v>
      </c>
      <c r="BF95" s="156">
        <v>8.2201598360194902E-2</v>
      </c>
      <c r="BG95" s="156">
        <v>2.6072848218212201E-2</v>
      </c>
      <c r="BH95" s="156">
        <v>0.13625009577049499</v>
      </c>
      <c r="BI95" s="156">
        <v>1.7272642667184101E-2</v>
      </c>
      <c r="BJ95" s="156">
        <v>1.8996345572637199E-2</v>
      </c>
      <c r="BK95" s="156">
        <v>8.5299214171982399E-2</v>
      </c>
      <c r="BL95" s="156">
        <v>7.4267580716792401E-3</v>
      </c>
      <c r="BM95" s="156">
        <v>8.8748810963159105E-2</v>
      </c>
      <c r="BN95" s="156">
        <v>4.2093808274494098E-2</v>
      </c>
      <c r="BO95" s="159">
        <v>0.109803276488739</v>
      </c>
      <c r="BP95" s="416">
        <f t="shared" si="1"/>
        <v>1.0000000000000007</v>
      </c>
    </row>
    <row r="96" spans="2:68" ht="14.5">
      <c r="B96" s="158" t="s">
        <v>335</v>
      </c>
      <c r="C96">
        <v>-0.3347772</v>
      </c>
      <c r="D96">
        <v>0.19334699999999999</v>
      </c>
      <c r="E96">
        <v>0.77911790000000003</v>
      </c>
      <c r="F96">
        <v>0.86616910000000003</v>
      </c>
      <c r="G96">
        <v>-1.8102699999999999E-2</v>
      </c>
      <c r="H96">
        <v>2.0244E-3</v>
      </c>
      <c r="I96">
        <v>-0.35077350000000002</v>
      </c>
      <c r="J96">
        <v>-0.1122085</v>
      </c>
      <c r="K96">
        <v>-6.1413799999999998E-2</v>
      </c>
      <c r="L96">
        <v>3.1642400000000001E-2</v>
      </c>
      <c r="M96">
        <v>-5.7388999999999999E-3</v>
      </c>
      <c r="N96">
        <v>0.1081497</v>
      </c>
      <c r="O96">
        <v>-5.1536100000000001E-2</v>
      </c>
      <c r="P96">
        <v>0.1956252</v>
      </c>
      <c r="Q96">
        <v>-0.26944170000000001</v>
      </c>
      <c r="R96" s="159">
        <v>-9.5666699999999993E-2</v>
      </c>
      <c r="T96" s="305" t="s">
        <v>215</v>
      </c>
      <c r="U96" s="326">
        <v>5</v>
      </c>
      <c r="V96" s="36">
        <v>2.5330112359550128E-4</v>
      </c>
      <c r="W96" s="36">
        <v>1.5759029999999985E-3</v>
      </c>
      <c r="X96" s="36">
        <v>4.5360299999999514E-4</v>
      </c>
      <c r="Y96" s="36">
        <v>5.950029999999951E-4</v>
      </c>
      <c r="Z96" s="36">
        <v>1.2460109890109953E-4</v>
      </c>
      <c r="AA96" s="36">
        <v>5.5200099999999836E-4</v>
      </c>
      <c r="AB96" s="36">
        <v>6.7730000000000231E-4</v>
      </c>
      <c r="AC96" s="36">
        <v>5.6709999999999552E-4</v>
      </c>
      <c r="AD96" s="36">
        <v>4.3270204081632886E-4</v>
      </c>
      <c r="AE96" s="36">
        <v>1.2083970000000028E-3</v>
      </c>
      <c r="AF96" s="36">
        <v>8.0050199999999558E-4</v>
      </c>
      <c r="AG96" s="36">
        <v>3.5971042105263163E-3</v>
      </c>
      <c r="AH96" s="36">
        <v>6.5220505050504675E-4</v>
      </c>
      <c r="AI96" s="36">
        <v>1.507900400000001E-3</v>
      </c>
      <c r="AJ96" s="36">
        <v>9.4970404040404166E-4</v>
      </c>
      <c r="AK96" s="36">
        <v>1.6177040816326531E-3</v>
      </c>
      <c r="AL96" s="36">
        <v>1.2394978260869527E-3</v>
      </c>
      <c r="AM96" s="36">
        <v>3.6146020408163266E-3</v>
      </c>
      <c r="AN96" s="36">
        <v>2.6475041666666646E-3</v>
      </c>
      <c r="AO96" s="36">
        <v>3.6853962025316465E-3</v>
      </c>
      <c r="AP96" s="36">
        <v>1.4861022727272728E-3</v>
      </c>
      <c r="AQ96" s="36">
        <v>2.5338948979591854E-3</v>
      </c>
      <c r="AR96" s="36">
        <v>7.7749578947368403E-4</v>
      </c>
      <c r="AS96" s="36">
        <v>4.9979975609756111E-3</v>
      </c>
      <c r="AT96" s="36">
        <v>2.482290000000005E-3</v>
      </c>
      <c r="AU96" s="36">
        <v>4.5950000000000331E-4</v>
      </c>
      <c r="AW96" s="235">
        <v>14</v>
      </c>
      <c r="AX96" t="s">
        <v>215</v>
      </c>
      <c r="AY96" s="159">
        <v>5</v>
      </c>
      <c r="AZ96" s="235">
        <v>0.14746439301690001</v>
      </c>
      <c r="BA96" s="156">
        <v>4.4926643096662902E-2</v>
      </c>
      <c r="BB96" s="156">
        <v>8.2306446705863803E-2</v>
      </c>
      <c r="BC96" s="156">
        <v>0.13295249026786701</v>
      </c>
      <c r="BD96" s="156">
        <v>6.5440823329232798E-3</v>
      </c>
      <c r="BE96" s="156">
        <v>2.6509298820620499E-2</v>
      </c>
      <c r="BF96" s="156">
        <v>9.3235257285123593E-2</v>
      </c>
      <c r="BG96" s="156">
        <v>3.10825644397449E-2</v>
      </c>
      <c r="BH96" s="156">
        <v>0.123197655977798</v>
      </c>
      <c r="BI96" s="156">
        <v>1.0783152220112901E-2</v>
      </c>
      <c r="BJ96" s="156">
        <v>2.3786466337748599E-2</v>
      </c>
      <c r="BK96" s="156">
        <v>8.8693075062063101E-2</v>
      </c>
      <c r="BL96" s="156">
        <v>1.4084166095006E-2</v>
      </c>
      <c r="BM96" s="156">
        <v>4.65187896595263E-2</v>
      </c>
      <c r="BN96" s="156">
        <v>2.8705795624990701E-2</v>
      </c>
      <c r="BO96" s="159">
        <v>9.9209723057048907E-2</v>
      </c>
      <c r="BP96" s="416">
        <f t="shared" si="1"/>
        <v>1.0000000000000004</v>
      </c>
    </row>
    <row r="97" spans="2:68" ht="14.5">
      <c r="B97" s="158" t="s">
        <v>336</v>
      </c>
      <c r="C97">
        <v>0.4522467</v>
      </c>
      <c r="D97">
        <v>3.9560900000000003E-2</v>
      </c>
      <c r="E97">
        <v>-0.66302430000000001</v>
      </c>
      <c r="F97">
        <v>-1.0888139999999999</v>
      </c>
      <c r="G97">
        <v>5.5896599999999998E-2</v>
      </c>
      <c r="H97">
        <v>5.6636000000000004E-3</v>
      </c>
      <c r="I97">
        <v>-0.19199479999999999</v>
      </c>
      <c r="J97">
        <v>1.2878300000000001E-2</v>
      </c>
      <c r="K97">
        <v>-0.33006449999999998</v>
      </c>
      <c r="L97">
        <v>1.9114900000000001E-2</v>
      </c>
      <c r="M97">
        <v>-1.2807600000000001E-2</v>
      </c>
      <c r="N97">
        <v>8.1663100000000002E-2</v>
      </c>
      <c r="O97">
        <v>-2.0694799999999999E-2</v>
      </c>
      <c r="P97">
        <v>-0.15711140000000001</v>
      </c>
      <c r="Q97">
        <v>-4.6554100000000001E-2</v>
      </c>
      <c r="R97" s="159">
        <v>0.4502294</v>
      </c>
      <c r="T97" s="305" t="s">
        <v>216</v>
      </c>
      <c r="U97" s="326">
        <v>5</v>
      </c>
      <c r="V97" s="36">
        <v>3.2813011235955014E-3</v>
      </c>
      <c r="W97" s="36">
        <v>1.0103802999999998E-2</v>
      </c>
      <c r="X97" s="36">
        <v>1.6097202999999994E-2</v>
      </c>
      <c r="Y97" s="36">
        <v>1.6910302999999995E-2</v>
      </c>
      <c r="Z97" s="36">
        <v>4.2565010989010993E-3</v>
      </c>
      <c r="AA97" s="36">
        <v>1.3432800999999998E-2</v>
      </c>
      <c r="AB97" s="36">
        <v>1.2313400000000002E-2</v>
      </c>
      <c r="AC97" s="36">
        <v>1.4774599999999995E-2</v>
      </c>
      <c r="AD97" s="36">
        <v>1.4459402040816329E-2</v>
      </c>
      <c r="AE97" s="36">
        <v>2.0973297000000002E-2</v>
      </c>
      <c r="AF97" s="36">
        <v>2.1058701999999995E-2</v>
      </c>
      <c r="AG97" s="36">
        <v>3.7251604210526319E-2</v>
      </c>
      <c r="AH97" s="36">
        <v>1.1871105050505048E-2</v>
      </c>
      <c r="AI97" s="36">
        <v>2.3873100400000003E-2</v>
      </c>
      <c r="AJ97" s="36">
        <v>3.149280404040404E-2</v>
      </c>
      <c r="AK97" s="36">
        <v>3.0632304081632655E-2</v>
      </c>
      <c r="AL97" s="36">
        <v>2.5275697826086956E-2</v>
      </c>
      <c r="AM97" s="36">
        <v>4.0423102040816325E-2</v>
      </c>
      <c r="AN97" s="36">
        <v>2.8515604166666663E-2</v>
      </c>
      <c r="AO97" s="36">
        <v>3.3892496202531645E-2</v>
      </c>
      <c r="AP97" s="36">
        <v>4.9910102272727269E-2</v>
      </c>
      <c r="AQ97" s="36">
        <v>4.3748594897959181E-2</v>
      </c>
      <c r="AR97" s="36">
        <v>4.6379295789473682E-2</v>
      </c>
      <c r="AS97" s="36">
        <v>5.148449756097561E-2</v>
      </c>
      <c r="AT97" s="36">
        <v>1.8780490000000004E-2</v>
      </c>
      <c r="AU97" s="36">
        <v>1.4120500000000003E-2</v>
      </c>
      <c r="AW97" s="235">
        <v>15</v>
      </c>
      <c r="AX97" t="s">
        <v>216</v>
      </c>
      <c r="AY97" s="159">
        <v>5</v>
      </c>
      <c r="AZ97" s="235">
        <v>0.16245324893853599</v>
      </c>
      <c r="BA97" s="156">
        <v>4.6348997281836703E-2</v>
      </c>
      <c r="BB97" s="156">
        <v>7.9527852616145006E-2</v>
      </c>
      <c r="BC97" s="156">
        <v>0.13447394148092601</v>
      </c>
      <c r="BD97" s="156">
        <v>1.21703100745757E-2</v>
      </c>
      <c r="BE97" s="156">
        <v>2.0357172345513801E-2</v>
      </c>
      <c r="BF97" s="156">
        <v>6.18258850406566E-2</v>
      </c>
      <c r="BG97" s="156">
        <v>2.0399435967457299E-2</v>
      </c>
      <c r="BH97" s="156">
        <v>0.11501646748139099</v>
      </c>
      <c r="BI97" s="156">
        <v>1.5098559432744201E-2</v>
      </c>
      <c r="BJ97" s="156">
        <v>2.32382617559822E-2</v>
      </c>
      <c r="BK97" s="156">
        <v>7.6734787376129293E-2</v>
      </c>
      <c r="BL97" s="156">
        <v>9.5499184619924297E-3</v>
      </c>
      <c r="BM97" s="156">
        <v>8.8483364997137604E-2</v>
      </c>
      <c r="BN97" s="156">
        <v>4.8286394338898399E-2</v>
      </c>
      <c r="BO97" s="159">
        <v>8.6035402410078801E-2</v>
      </c>
      <c r="BP97" s="416">
        <f t="shared" si="1"/>
        <v>1.0000000000000011</v>
      </c>
    </row>
    <row r="98" spans="2:68" ht="14.5">
      <c r="B98" s="158" t="s">
        <v>337</v>
      </c>
      <c r="C98">
        <v>0.2265655</v>
      </c>
      <c r="D98">
        <v>9.2584299999999994E-2</v>
      </c>
      <c r="E98">
        <v>0.27678910000000001</v>
      </c>
      <c r="F98">
        <v>-1.62658E-2</v>
      </c>
      <c r="G98">
        <v>-2.1852E-3</v>
      </c>
      <c r="H98">
        <v>9.6594999999999997E-3</v>
      </c>
      <c r="I98">
        <v>-2.66968E-2</v>
      </c>
      <c r="J98">
        <v>4.8599000000000003E-3</v>
      </c>
      <c r="K98">
        <v>-3.9435100000000001E-2</v>
      </c>
      <c r="L98">
        <v>-2.6286199999999999E-2</v>
      </c>
      <c r="M98">
        <v>-1.7699300000000001E-2</v>
      </c>
      <c r="N98">
        <v>0.1111977</v>
      </c>
      <c r="O98">
        <v>2.8121999999999999E-3</v>
      </c>
      <c r="P98">
        <v>0.2673876</v>
      </c>
      <c r="Q98">
        <v>-0.36830829999999998</v>
      </c>
      <c r="R98" s="159">
        <v>0.54781740000000001</v>
      </c>
      <c r="T98" s="305" t="s">
        <v>217</v>
      </c>
      <c r="U98" s="326">
        <v>5</v>
      </c>
      <c r="V98" s="36">
        <v>1.0221011235955013E-3</v>
      </c>
      <c r="W98" s="36">
        <v>8.3758029999999976E-3</v>
      </c>
      <c r="X98" s="36">
        <v>9.0348029999999958E-3</v>
      </c>
      <c r="Y98" s="36">
        <v>7.7002029999999949E-3</v>
      </c>
      <c r="Z98" s="36">
        <v>1.5393010989010994E-3</v>
      </c>
      <c r="AA98" s="36">
        <v>8.3588009999999973E-3</v>
      </c>
      <c r="AB98" s="36">
        <v>1.0248700000000001E-2</v>
      </c>
      <c r="AC98" s="36">
        <v>9.0361999999999942E-3</v>
      </c>
      <c r="AD98" s="36">
        <v>8.4311020408163288E-3</v>
      </c>
      <c r="AE98" s="36">
        <v>1.6756897000000003E-2</v>
      </c>
      <c r="AF98" s="36">
        <v>1.2754301999999995E-2</v>
      </c>
      <c r="AG98" s="36">
        <v>2.2481904210526316E-2</v>
      </c>
      <c r="AH98" s="36">
        <v>9.3644050505050473E-3</v>
      </c>
      <c r="AI98" s="36">
        <v>2.0068500400000001E-2</v>
      </c>
      <c r="AJ98" s="36">
        <v>1.7487104040404041E-2</v>
      </c>
      <c r="AK98" s="36">
        <v>2.0910704081632654E-2</v>
      </c>
      <c r="AL98" s="36">
        <v>1.7439297826086955E-2</v>
      </c>
      <c r="AM98" s="36">
        <v>3.5717202040816326E-2</v>
      </c>
      <c r="AN98" s="36">
        <v>1.3697504166666664E-2</v>
      </c>
      <c r="AO98" s="36">
        <v>1.9344496202531647E-2</v>
      </c>
      <c r="AP98" s="36">
        <v>2.4433802272727272E-2</v>
      </c>
      <c r="AQ98" s="36">
        <v>3.3541194897959183E-2</v>
      </c>
      <c r="AR98" s="36">
        <v>1.6538295789473682E-2</v>
      </c>
      <c r="AS98" s="36">
        <v>4.065999756097561E-2</v>
      </c>
      <c r="AT98" s="36">
        <v>2.0575390000000006E-2</v>
      </c>
      <c r="AU98" s="36">
        <v>1.0392400000000003E-2</v>
      </c>
      <c r="AW98" s="235">
        <v>16</v>
      </c>
      <c r="AX98" t="s">
        <v>217</v>
      </c>
      <c r="AY98" s="159">
        <v>5</v>
      </c>
      <c r="AZ98" s="235">
        <v>0.123224478512103</v>
      </c>
      <c r="BA98" s="156">
        <v>4.3838263745517997E-2</v>
      </c>
      <c r="BB98" s="156">
        <v>9.0998257590132595E-2</v>
      </c>
      <c r="BC98" s="156">
        <v>0.1191354602163</v>
      </c>
      <c r="BD98" s="156">
        <v>1.1519532830331599E-2</v>
      </c>
      <c r="BE98" s="156">
        <v>2.51203133461037E-2</v>
      </c>
      <c r="BF98" s="156">
        <v>5.8091452487694803E-2</v>
      </c>
      <c r="BG98" s="156">
        <v>2.93918913570562E-2</v>
      </c>
      <c r="BH98" s="156">
        <v>0.123979870292222</v>
      </c>
      <c r="BI98" s="156">
        <v>1.17991274964313E-2</v>
      </c>
      <c r="BJ98" s="156">
        <v>2.0300410776388E-2</v>
      </c>
      <c r="BK98" s="156">
        <v>8.5883614168385303E-2</v>
      </c>
      <c r="BL98" s="156">
        <v>9.9506885923295405E-3</v>
      </c>
      <c r="BM98" s="156">
        <v>0.114442034827805</v>
      </c>
      <c r="BN98" s="156">
        <v>2.8320783824392501E-2</v>
      </c>
      <c r="BO98" s="159">
        <v>0.10400381993680601</v>
      </c>
      <c r="BP98" s="416">
        <f t="shared" si="1"/>
        <v>0.99999999999999956</v>
      </c>
    </row>
    <row r="99" spans="2:68" ht="14.5">
      <c r="B99" s="158" t="s">
        <v>218</v>
      </c>
      <c r="C99">
        <v>0.22479540000000001</v>
      </c>
      <c r="D99">
        <v>6.2660999999999994E-2</v>
      </c>
      <c r="E99">
        <v>0.64158369999999998</v>
      </c>
      <c r="F99">
        <v>0.46624680000000002</v>
      </c>
      <c r="G99">
        <v>-4.5478499999999998E-2</v>
      </c>
      <c r="H99">
        <v>5.3485100000000001E-2</v>
      </c>
      <c r="I99">
        <v>-0.16757369999999999</v>
      </c>
      <c r="J99">
        <v>5.5058099999999999E-2</v>
      </c>
      <c r="K99">
        <v>7.7749999999999998E-4</v>
      </c>
      <c r="L99">
        <v>-7.2934999999999996E-3</v>
      </c>
      <c r="M99">
        <v>-7.5319000000000002E-3</v>
      </c>
      <c r="N99">
        <v>-1.44796E-2</v>
      </c>
      <c r="O99">
        <v>2.8243600000000001E-2</v>
      </c>
      <c r="P99">
        <v>2.3028300000000002E-2</v>
      </c>
      <c r="Q99">
        <v>-0.13008330000000001</v>
      </c>
      <c r="R99" s="159">
        <v>-9.2523499999999995E-2</v>
      </c>
      <c r="T99" s="305" t="s">
        <v>225</v>
      </c>
      <c r="U99" s="326">
        <v>5</v>
      </c>
      <c r="V99" s="36">
        <v>0</v>
      </c>
      <c r="W99" s="36">
        <v>1.3630029999999985E-3</v>
      </c>
      <c r="X99" s="36">
        <v>9.4890299999999509E-4</v>
      </c>
      <c r="Y99" s="36">
        <v>1.6268029999999952E-3</v>
      </c>
      <c r="Z99" s="36">
        <v>2.1760109890109954E-4</v>
      </c>
      <c r="AA99" s="36">
        <v>1.1960009999999984E-3</v>
      </c>
      <c r="AB99" s="36">
        <v>1.2061000000000023E-3</v>
      </c>
      <c r="AC99" s="36">
        <v>1.5474999999999957E-3</v>
      </c>
      <c r="AD99" s="36">
        <v>6.7050204081632884E-4</v>
      </c>
      <c r="AE99" s="36">
        <v>2.9247970000000028E-3</v>
      </c>
      <c r="AF99" s="36">
        <v>2.1800019999999956E-3</v>
      </c>
      <c r="AG99" s="36">
        <v>3.6989042105263163E-3</v>
      </c>
      <c r="AH99" s="36">
        <v>1.0681050505050467E-3</v>
      </c>
      <c r="AI99" s="36">
        <v>2.876300400000001E-3</v>
      </c>
      <c r="AJ99" s="36">
        <v>2.4425040404040415E-3</v>
      </c>
      <c r="AK99" s="36">
        <v>4.0841040816326536E-3</v>
      </c>
      <c r="AL99" s="36">
        <v>2.778597826086953E-3</v>
      </c>
      <c r="AM99" s="36">
        <v>2.7006020408163267E-3</v>
      </c>
      <c r="AN99" s="36">
        <v>5.5890416666666445E-4</v>
      </c>
      <c r="AO99" s="36">
        <v>1.2051962025316461E-3</v>
      </c>
      <c r="AP99" s="36">
        <v>4.4825022727272732E-3</v>
      </c>
      <c r="AQ99" s="36">
        <v>3.6421948979591854E-3</v>
      </c>
      <c r="AR99" s="36">
        <v>1.6084957894736841E-3</v>
      </c>
      <c r="AS99" s="36">
        <v>4.0985975609756113E-3</v>
      </c>
      <c r="AT99" s="36">
        <v>1.8737900000000052E-3</v>
      </c>
      <c r="AU99" s="36">
        <v>1.1953000000000033E-3</v>
      </c>
      <c r="AW99" s="235">
        <v>17</v>
      </c>
      <c r="AX99" t="s">
        <v>225</v>
      </c>
      <c r="AY99" s="159">
        <v>5</v>
      </c>
      <c r="AZ99" s="235">
        <v>0.125726559084434</v>
      </c>
      <c r="BA99" s="156">
        <v>4.7393840229254101E-2</v>
      </c>
      <c r="BB99" s="156">
        <v>9.8810263025982503E-2</v>
      </c>
      <c r="BC99" s="156">
        <v>9.0354085076216201E-2</v>
      </c>
      <c r="BD99" s="156">
        <v>7.4393556971127199E-3</v>
      </c>
      <c r="BE99" s="156">
        <v>2.47961849155461E-2</v>
      </c>
      <c r="BF99" s="156">
        <v>6.4044232987248095E-2</v>
      </c>
      <c r="BG99" s="156">
        <v>3.4241334607466402E-2</v>
      </c>
      <c r="BH99" s="156">
        <v>0.14915128256166399</v>
      </c>
      <c r="BI99" s="156">
        <v>8.2862920103564507E-3</v>
      </c>
      <c r="BJ99" s="156">
        <v>1.7315113034308102E-2</v>
      </c>
      <c r="BK99" s="156">
        <v>7.40697868062348E-2</v>
      </c>
      <c r="BL99" s="156">
        <v>1.52015399334063E-2</v>
      </c>
      <c r="BM99" s="156">
        <v>9.3915238990818203E-2</v>
      </c>
      <c r="BN99" s="156">
        <v>3.04550742130127E-2</v>
      </c>
      <c r="BO99" s="159">
        <v>0.11879981682693901</v>
      </c>
      <c r="BP99" s="416">
        <f t="shared" si="1"/>
        <v>0.99999999999999967</v>
      </c>
    </row>
    <row r="100" spans="2:68" ht="14.5">
      <c r="B100" s="158" t="s">
        <v>338</v>
      </c>
      <c r="C100">
        <v>1.095496</v>
      </c>
      <c r="D100">
        <v>-4.1797599999999997E-2</v>
      </c>
      <c r="E100">
        <v>-0.52209079999999997</v>
      </c>
      <c r="F100">
        <v>-1.1840390000000001</v>
      </c>
      <c r="G100">
        <v>-3.2108000000000002E-3</v>
      </c>
      <c r="H100">
        <v>4.9363000000000002E-3</v>
      </c>
      <c r="I100">
        <v>0.14485700000000001</v>
      </c>
      <c r="J100">
        <v>8.9236300000000005E-2</v>
      </c>
      <c r="K100">
        <v>-0.35227999999999998</v>
      </c>
      <c r="L100">
        <v>-3.3287600000000001E-2</v>
      </c>
      <c r="M100">
        <v>-6.5135000000000002E-3</v>
      </c>
      <c r="N100">
        <v>4.2319900000000001E-2</v>
      </c>
      <c r="O100">
        <v>2.6426499999999999E-2</v>
      </c>
      <c r="P100">
        <v>-0.3788802</v>
      </c>
      <c r="Q100">
        <v>-0.1114661</v>
      </c>
      <c r="R100" s="159">
        <v>1.2684789999999999</v>
      </c>
      <c r="T100" s="305" t="s">
        <v>219</v>
      </c>
      <c r="U100" s="326">
        <v>5</v>
      </c>
      <c r="V100" s="36">
        <v>8.4870112359550123E-4</v>
      </c>
      <c r="W100" s="36">
        <v>5.3515029999999988E-3</v>
      </c>
      <c r="X100" s="36">
        <v>3.4657029999999949E-3</v>
      </c>
      <c r="Y100" s="36">
        <v>5.4486029999999946E-3</v>
      </c>
      <c r="Z100" s="36">
        <v>2.3840109890109953E-4</v>
      </c>
      <c r="AA100" s="36">
        <v>3.7532009999999981E-3</v>
      </c>
      <c r="AB100" s="36">
        <v>5.8330000000000022E-3</v>
      </c>
      <c r="AC100" s="36">
        <v>6.7261999999999956E-3</v>
      </c>
      <c r="AD100" s="36">
        <v>4.4437020408163285E-3</v>
      </c>
      <c r="AE100" s="36">
        <v>6.7009970000000028E-3</v>
      </c>
      <c r="AF100" s="36">
        <v>5.8850019999999951E-3</v>
      </c>
      <c r="AG100" s="36">
        <v>1.7901204210526316E-2</v>
      </c>
      <c r="AH100" s="36">
        <v>2.1662050505050468E-3</v>
      </c>
      <c r="AI100" s="36">
        <v>6.6506004000000006E-3</v>
      </c>
      <c r="AJ100" s="36">
        <v>1.2719704040404041E-2</v>
      </c>
      <c r="AK100" s="36">
        <v>1.6357304081632655E-2</v>
      </c>
      <c r="AL100" s="36">
        <v>2.6492897826086954E-2</v>
      </c>
      <c r="AM100" s="36">
        <v>1.5734502040816323E-2</v>
      </c>
      <c r="AN100" s="36">
        <v>8.9888041666666644E-3</v>
      </c>
      <c r="AO100" s="36">
        <v>1.7273196202531645E-2</v>
      </c>
      <c r="AP100" s="36">
        <v>2.3669302272727274E-2</v>
      </c>
      <c r="AQ100" s="36">
        <v>1.2884394897959187E-2</v>
      </c>
      <c r="AR100" s="36">
        <v>2.3644957894736838E-3</v>
      </c>
      <c r="AS100" s="36">
        <v>2.2284797560975612E-2</v>
      </c>
      <c r="AT100" s="36">
        <v>4.4303900000000054E-3</v>
      </c>
      <c r="AU100" s="36">
        <v>3.4460000000000033E-3</v>
      </c>
      <c r="AW100" s="235">
        <v>18</v>
      </c>
      <c r="AX100" t="s">
        <v>219</v>
      </c>
      <c r="AY100" s="159">
        <v>5</v>
      </c>
      <c r="AZ100" s="235">
        <v>0.13668665665922</v>
      </c>
      <c r="BA100" s="156">
        <v>4.1588401442826599E-2</v>
      </c>
      <c r="BB100" s="156">
        <v>9.1886388546377998E-2</v>
      </c>
      <c r="BC100" s="156">
        <v>0.106577940152445</v>
      </c>
      <c r="BD100" s="156">
        <v>8.2937563102703001E-3</v>
      </c>
      <c r="BE100" s="156">
        <v>2.98853835517435E-2</v>
      </c>
      <c r="BF100" s="156">
        <v>6.2721202757891795E-2</v>
      </c>
      <c r="BG100" s="156">
        <v>3.1493456063508E-2</v>
      </c>
      <c r="BH100" s="156">
        <v>0.130690773345985</v>
      </c>
      <c r="BI100" s="156">
        <v>1.2200571313252501E-2</v>
      </c>
      <c r="BJ100" s="156">
        <v>2.0298836695358698E-2</v>
      </c>
      <c r="BK100" s="156">
        <v>7.8135451334453501E-2</v>
      </c>
      <c r="BL100" s="156">
        <v>1.03753242835758E-2</v>
      </c>
      <c r="BM100" s="156">
        <v>8.7476004339151897E-2</v>
      </c>
      <c r="BN100" s="156">
        <v>5.2165579407379703E-2</v>
      </c>
      <c r="BO100" s="159">
        <v>9.9524273796559107E-2</v>
      </c>
      <c r="BP100" s="416">
        <f t="shared" si="1"/>
        <v>0.99999999999999956</v>
      </c>
    </row>
    <row r="101" spans="2:68" ht="14.5">
      <c r="B101" s="158" t="s">
        <v>339</v>
      </c>
      <c r="C101">
        <v>-0.4345137</v>
      </c>
      <c r="D101">
        <v>1.2464899999999999E-2</v>
      </c>
      <c r="E101">
        <v>0.3561375</v>
      </c>
      <c r="F101">
        <v>0.66977430000000004</v>
      </c>
      <c r="G101">
        <v>-5.4320000000000002E-3</v>
      </c>
      <c r="H101">
        <v>-9.8836400000000005E-2</v>
      </c>
      <c r="I101">
        <v>0.32010119999999997</v>
      </c>
      <c r="J101">
        <v>0.16103100000000001</v>
      </c>
      <c r="K101">
        <v>0.206095</v>
      </c>
      <c r="L101">
        <v>4.7213000000000003E-3</v>
      </c>
      <c r="M101">
        <v>-1.6657999999999999E-2</v>
      </c>
      <c r="N101">
        <v>-0.22592309999999999</v>
      </c>
      <c r="O101">
        <v>8.0117000000000001E-3</v>
      </c>
      <c r="P101">
        <v>0.24031739999999999</v>
      </c>
      <c r="Q101">
        <v>-0.22711629999999999</v>
      </c>
      <c r="R101" s="159">
        <v>0.55562690000000003</v>
      </c>
      <c r="T101" s="305" t="s">
        <v>220</v>
      </c>
      <c r="U101" s="326">
        <v>5</v>
      </c>
      <c r="V101" s="36">
        <v>4.2144011235955015E-3</v>
      </c>
      <c r="W101" s="36">
        <v>1.1287002999999999E-2</v>
      </c>
      <c r="X101" s="36">
        <v>1.1781302999999995E-2</v>
      </c>
      <c r="Y101" s="36">
        <v>9.1226029999999948E-3</v>
      </c>
      <c r="Z101" s="36">
        <v>2.8412010989010993E-3</v>
      </c>
      <c r="AA101" s="36">
        <v>7.2641009999999985E-3</v>
      </c>
      <c r="AB101" s="36">
        <v>2.1340600000000005E-2</v>
      </c>
      <c r="AC101" s="36">
        <v>1.0149399999999994E-2</v>
      </c>
      <c r="AD101" s="36">
        <v>2.081070204081633E-2</v>
      </c>
      <c r="AE101" s="36">
        <v>1.9927697000000001E-2</v>
      </c>
      <c r="AF101" s="36">
        <v>1.9125701999999994E-2</v>
      </c>
      <c r="AG101" s="36">
        <v>2.8526304210526317E-2</v>
      </c>
      <c r="AH101" s="36">
        <v>1.3750905050505047E-2</v>
      </c>
      <c r="AI101" s="36">
        <v>2.1093100400000002E-2</v>
      </c>
      <c r="AJ101" s="36">
        <v>2.1329804040404042E-2</v>
      </c>
      <c r="AK101" s="36">
        <v>2.4930604081632654E-2</v>
      </c>
      <c r="AL101" s="36">
        <v>3.3101097826086952E-2</v>
      </c>
      <c r="AM101" s="36">
        <v>3.9862902040816328E-2</v>
      </c>
      <c r="AN101" s="36">
        <v>3.4696604166666666E-2</v>
      </c>
      <c r="AO101" s="36">
        <v>7.4041496202531643E-2</v>
      </c>
      <c r="AP101" s="36">
        <v>2.2969302272727275E-2</v>
      </c>
      <c r="AQ101" s="36">
        <v>4.2820294897959181E-2</v>
      </c>
      <c r="AR101" s="36">
        <v>2.2116095789473683E-2</v>
      </c>
      <c r="AS101" s="36">
        <v>7.1301897560975616E-2</v>
      </c>
      <c r="AT101" s="36">
        <v>4.3237390000000007E-2</v>
      </c>
      <c r="AU101" s="36">
        <v>1.6506800000000002E-2</v>
      </c>
      <c r="AW101" s="235">
        <v>19</v>
      </c>
      <c r="AX101" t="s">
        <v>220</v>
      </c>
      <c r="AY101" s="159">
        <v>5</v>
      </c>
      <c r="AZ101" s="235">
        <v>0.13278778369312899</v>
      </c>
      <c r="BA101" s="156">
        <v>4.7148345622872401E-2</v>
      </c>
      <c r="BB101" s="156">
        <v>7.6033579919123295E-2</v>
      </c>
      <c r="BC101" s="156">
        <v>0.12590190141439001</v>
      </c>
      <c r="BD101" s="156">
        <v>1.29623161695285E-2</v>
      </c>
      <c r="BE101" s="156">
        <v>3.6362335654605497E-2</v>
      </c>
      <c r="BF101" s="156">
        <v>4.8699911657531798E-2</v>
      </c>
      <c r="BG101" s="156">
        <v>2.7911893255330899E-2</v>
      </c>
      <c r="BH101" s="156">
        <v>0.12776447314053399</v>
      </c>
      <c r="BI101" s="156">
        <v>1.61900857535177E-2</v>
      </c>
      <c r="BJ101" s="156">
        <v>2.12947457444581E-2</v>
      </c>
      <c r="BK101" s="156">
        <v>7.6296119137155796E-2</v>
      </c>
      <c r="BL101" s="156">
        <v>8.0341635479919803E-3</v>
      </c>
      <c r="BM101" s="156">
        <v>9.3264522137483097E-2</v>
      </c>
      <c r="BN101" s="156">
        <v>3.8153848598800097E-2</v>
      </c>
      <c r="BO101" s="159">
        <v>0.111193974553548</v>
      </c>
      <c r="BP101" s="416">
        <f t="shared" si="1"/>
        <v>1.0000000000000002</v>
      </c>
    </row>
    <row r="102" spans="2:68" ht="14.5">
      <c r="B102" s="160" t="s">
        <v>340</v>
      </c>
      <c r="C102" s="237">
        <v>0.87285970000000002</v>
      </c>
      <c r="D102" s="237">
        <v>-1.8214299999999999E-2</v>
      </c>
      <c r="E102" s="237">
        <v>0.1829141</v>
      </c>
      <c r="F102" s="237">
        <v>-1.1627289999999999</v>
      </c>
      <c r="G102" s="237">
        <v>-3.0343000000000002E-3</v>
      </c>
      <c r="H102" s="237">
        <v>2.37361E-2</v>
      </c>
      <c r="I102" s="237">
        <v>0.59846109999999997</v>
      </c>
      <c r="J102" s="237">
        <v>0.1317538</v>
      </c>
      <c r="K102" s="237">
        <v>0.22905929999999999</v>
      </c>
      <c r="L102" s="237">
        <v>-9.3947799999999998E-2</v>
      </c>
      <c r="M102" s="237">
        <v>1.06912E-2</v>
      </c>
      <c r="N102" s="237">
        <v>7.7354699999999998E-2</v>
      </c>
      <c r="O102" s="237">
        <v>7.3800000000000003E-3</v>
      </c>
      <c r="P102" s="237">
        <v>3.79006E-2</v>
      </c>
      <c r="Q102" s="237">
        <v>-1.7864999999999999E-2</v>
      </c>
      <c r="R102" s="161">
        <v>-0.4719119</v>
      </c>
      <c r="T102" s="307" t="s">
        <v>221</v>
      </c>
      <c r="U102" s="327">
        <v>5</v>
      </c>
      <c r="V102" s="36">
        <v>1.2182011235955014E-3</v>
      </c>
      <c r="W102" s="36">
        <v>4.3410029999999987E-3</v>
      </c>
      <c r="X102" s="36">
        <v>3.281002999999995E-3</v>
      </c>
      <c r="Y102" s="36">
        <v>4.6867029999999952E-3</v>
      </c>
      <c r="Z102" s="36">
        <v>0</v>
      </c>
      <c r="AA102" s="36">
        <v>5.5145009999999989E-3</v>
      </c>
      <c r="AB102" s="36">
        <v>2.8568000000000022E-3</v>
      </c>
      <c r="AC102" s="36">
        <v>5.3646999999999957E-3</v>
      </c>
      <c r="AD102" s="36">
        <v>1.7678020408163288E-3</v>
      </c>
      <c r="AE102" s="36">
        <v>8.6961970000000027E-3</v>
      </c>
      <c r="AF102" s="36">
        <v>3.7624019999999954E-3</v>
      </c>
      <c r="AG102" s="36">
        <v>1.4692904210526317E-2</v>
      </c>
      <c r="AH102" s="36">
        <v>4.1842050505050462E-3</v>
      </c>
      <c r="AI102" s="36">
        <v>6.2488004000000007E-3</v>
      </c>
      <c r="AJ102" s="36">
        <v>2.7294040404040416E-3</v>
      </c>
      <c r="AK102" s="36">
        <v>8.9341040816326538E-3</v>
      </c>
      <c r="AL102" s="36">
        <v>1.0500397826086952E-2</v>
      </c>
      <c r="AM102" s="36">
        <v>1.1672702040816326E-2</v>
      </c>
      <c r="AN102" s="36">
        <v>5.8545041666666648E-3</v>
      </c>
      <c r="AO102" s="36">
        <v>1.7134096202531646E-2</v>
      </c>
      <c r="AP102" s="36">
        <v>2.7686022727272728E-3</v>
      </c>
      <c r="AQ102" s="36">
        <v>1.1123594897959187E-2</v>
      </c>
      <c r="AR102" s="36">
        <v>3.8084957894736838E-3</v>
      </c>
      <c r="AS102" s="36">
        <v>1.972799756097561E-2</v>
      </c>
      <c r="AT102" s="36">
        <v>9.6318900000000058E-3</v>
      </c>
      <c r="AU102" s="36">
        <v>3.7043000000000037E-3</v>
      </c>
      <c r="AW102" s="236">
        <v>20</v>
      </c>
      <c r="AX102" s="237" t="s">
        <v>221</v>
      </c>
      <c r="AY102" s="161">
        <v>5</v>
      </c>
      <c r="AZ102" s="236">
        <v>0.121047261159078</v>
      </c>
      <c r="BA102" s="237">
        <v>3.7982092008763998E-2</v>
      </c>
      <c r="BB102" s="237">
        <v>7.5487041275828698E-2</v>
      </c>
      <c r="BC102" s="237">
        <v>0.111864283156174</v>
      </c>
      <c r="BD102" s="237">
        <v>8.7349185625813803E-3</v>
      </c>
      <c r="BE102" s="237">
        <v>2.1364310888156001E-2</v>
      </c>
      <c r="BF102" s="237">
        <v>5.2748698763487999E-2</v>
      </c>
      <c r="BG102" s="237">
        <v>2.7386261168543799E-2</v>
      </c>
      <c r="BH102" s="237">
        <v>0.12301592415620401</v>
      </c>
      <c r="BI102" s="237">
        <v>1.6878327616406501E-2</v>
      </c>
      <c r="BJ102" s="237">
        <v>1.9398996863918602E-2</v>
      </c>
      <c r="BK102" s="237">
        <v>9.6828296193497101E-2</v>
      </c>
      <c r="BL102" s="237">
        <v>1.0797576090096701E-2</v>
      </c>
      <c r="BM102" s="237">
        <v>0.12824035461653699</v>
      </c>
      <c r="BN102" s="237">
        <v>4.4365266265952497E-2</v>
      </c>
      <c r="BO102" s="161">
        <v>0.103860391214773</v>
      </c>
      <c r="BP102" s="416">
        <f t="shared" si="1"/>
        <v>0.99999999999999911</v>
      </c>
    </row>
    <row r="103" spans="2:68" ht="14.5">
      <c r="T103" s="36"/>
      <c r="U103" s="36"/>
      <c r="V103" s="328">
        <v>0.99999999999999967</v>
      </c>
      <c r="W103" s="328">
        <v>0.99999999999999944</v>
      </c>
      <c r="X103" s="328">
        <v>0.99999999999999967</v>
      </c>
      <c r="Y103" s="328">
        <v>0.99999999999999967</v>
      </c>
      <c r="Z103" s="328">
        <v>1.0000000000000002</v>
      </c>
      <c r="AA103" s="328">
        <v>0.99999999999999933</v>
      </c>
      <c r="AB103" s="328">
        <v>0.99999999999999989</v>
      </c>
      <c r="AC103" s="328">
        <v>1</v>
      </c>
      <c r="AD103" s="328">
        <v>1.0000000000000004</v>
      </c>
      <c r="AE103" s="328">
        <v>1.0000000000000007</v>
      </c>
      <c r="AF103" s="328">
        <v>0.99999999999999922</v>
      </c>
      <c r="AG103" s="328">
        <v>1.0000000000000002</v>
      </c>
      <c r="AH103" s="328">
        <v>0.99999999999999967</v>
      </c>
      <c r="AI103" s="328">
        <v>1.0000000000000004</v>
      </c>
      <c r="AJ103" s="328">
        <v>1.0000000000000002</v>
      </c>
      <c r="AK103" s="328">
        <v>1</v>
      </c>
      <c r="AL103" s="328">
        <v>0.99999999999999989</v>
      </c>
      <c r="AM103" s="328">
        <v>1.0000000000000004</v>
      </c>
      <c r="AN103" s="328">
        <v>1.0000000000000002</v>
      </c>
      <c r="AO103" s="328">
        <v>1</v>
      </c>
      <c r="AP103" s="328">
        <v>1.0000000000000002</v>
      </c>
      <c r="AQ103" s="328">
        <v>1.0000000000000002</v>
      </c>
      <c r="AR103" s="328">
        <v>1</v>
      </c>
      <c r="AS103" s="328">
        <v>1.0000000000000004</v>
      </c>
      <c r="AT103" s="328">
        <v>1.0000000000000002</v>
      </c>
      <c r="AU103" s="328">
        <v>1.0000000000000002</v>
      </c>
    </row>
    <row r="105" spans="2:68" ht="14">
      <c r="B105"/>
      <c r="C105" s="510" t="s">
        <v>201</v>
      </c>
      <c r="D105" s="510"/>
      <c r="E105" s="510"/>
      <c r="F105" s="510"/>
      <c r="G105" s="510"/>
      <c r="H105" s="510"/>
      <c r="I105" s="510"/>
      <c r="J105"/>
      <c r="K105"/>
      <c r="L105" s="510" t="s">
        <v>1187</v>
      </c>
      <c r="M105" s="510"/>
      <c r="N105" s="510"/>
      <c r="O105" s="510"/>
      <c r="P105" s="510"/>
      <c r="Q105"/>
      <c r="R105"/>
      <c r="S105" s="510" t="s">
        <v>1188</v>
      </c>
      <c r="T105" s="510"/>
      <c r="U105" s="510"/>
      <c r="V105" s="510"/>
      <c r="W105" s="510"/>
      <c r="X105"/>
      <c r="Y105" s="513" t="s">
        <v>1215</v>
      </c>
      <c r="Z105" s="513"/>
      <c r="AA105" s="513"/>
      <c r="AB105" s="513"/>
      <c r="AC105" s="513"/>
      <c r="AD105" s="513"/>
      <c r="AF105"/>
      <c r="AG105" s="510" t="s">
        <v>1416</v>
      </c>
      <c r="AH105" s="510"/>
      <c r="AI105" s="510"/>
      <c r="AJ105" s="510"/>
      <c r="AK105" s="510"/>
    </row>
    <row r="106" spans="2:68" ht="14">
      <c r="B106"/>
      <c r="C106" s="204" t="s">
        <v>202</v>
      </c>
      <c r="D106" s="204" t="s">
        <v>186</v>
      </c>
      <c r="E106" s="204" t="s">
        <v>187</v>
      </c>
      <c r="F106" s="204" t="s">
        <v>188</v>
      </c>
      <c r="G106" s="204" t="s">
        <v>189</v>
      </c>
      <c r="H106" s="204" t="s">
        <v>190</v>
      </c>
      <c r="I106" s="204" t="s">
        <v>203</v>
      </c>
      <c r="J106"/>
      <c r="K106"/>
      <c r="L106" s="204" t="s">
        <v>186</v>
      </c>
      <c r="M106" s="204" t="s">
        <v>187</v>
      </c>
      <c r="N106" s="204" t="s">
        <v>188</v>
      </c>
      <c r="O106" s="204" t="s">
        <v>189</v>
      </c>
      <c r="P106" s="204" t="s">
        <v>190</v>
      </c>
      <c r="Q106"/>
      <c r="R106"/>
      <c r="S106" s="204" t="s">
        <v>186</v>
      </c>
      <c r="T106" s="204" t="s">
        <v>187</v>
      </c>
      <c r="U106" s="204" t="s">
        <v>188</v>
      </c>
      <c r="V106" s="204" t="s">
        <v>189</v>
      </c>
      <c r="W106" s="204" t="s">
        <v>190</v>
      </c>
      <c r="X106"/>
      <c r="Y106"/>
      <c r="Z106" s="204" t="s">
        <v>186</v>
      </c>
      <c r="AA106" s="204" t="s">
        <v>187</v>
      </c>
      <c r="AB106" s="204" t="s">
        <v>188</v>
      </c>
      <c r="AC106" s="204" t="s">
        <v>189</v>
      </c>
      <c r="AD106" s="204" t="s">
        <v>190</v>
      </c>
      <c r="AF106"/>
      <c r="AG106" s="204" t="s">
        <v>186</v>
      </c>
      <c r="AH106" s="204" t="s">
        <v>187</v>
      </c>
      <c r="AI106" s="204" t="s">
        <v>188</v>
      </c>
      <c r="AJ106" s="204" t="s">
        <v>189</v>
      </c>
      <c r="AK106" s="204" t="s">
        <v>190</v>
      </c>
    </row>
    <row r="107" spans="2:68" ht="14">
      <c r="B107" s="233" t="s">
        <v>204</v>
      </c>
      <c r="C107" s="235">
        <v>0</v>
      </c>
      <c r="D107" s="235">
        <v>22166.9</v>
      </c>
      <c r="E107" s="22">
        <v>34023.620000000003</v>
      </c>
      <c r="F107" s="22">
        <v>44755.839999999997</v>
      </c>
      <c r="G107" s="22">
        <v>49194.36</v>
      </c>
      <c r="H107" s="317">
        <v>76931.89</v>
      </c>
      <c r="I107" s="317">
        <v>10000000</v>
      </c>
      <c r="J107" s="10"/>
      <c r="K107" s="238" t="s">
        <v>204</v>
      </c>
      <c r="L107" s="233">
        <v>744.90599999999995</v>
      </c>
      <c r="M107" s="42">
        <v>998.00400000000002</v>
      </c>
      <c r="N107" s="42">
        <v>1108.21</v>
      </c>
      <c r="O107" s="42">
        <v>1511.81</v>
      </c>
      <c r="P107" s="234">
        <v>1880.18</v>
      </c>
      <c r="Q107"/>
      <c r="R107" s="238" t="s">
        <v>204</v>
      </c>
      <c r="S107" s="42">
        <v>15908.5</v>
      </c>
      <c r="T107" s="42">
        <v>28415.599999999999</v>
      </c>
      <c r="U107" s="42">
        <v>36832</v>
      </c>
      <c r="V107" s="42">
        <v>49970.400000000001</v>
      </c>
      <c r="W107" s="234">
        <v>89422.399999999994</v>
      </c>
      <c r="X107"/>
      <c r="Y107" s="238" t="s">
        <v>204</v>
      </c>
      <c r="Z107" s="233">
        <v>0.34653509999999998</v>
      </c>
      <c r="AA107" s="42">
        <v>0.62828819999999996</v>
      </c>
      <c r="AB107" s="42">
        <v>0.80365869999999995</v>
      </c>
      <c r="AC107" s="42">
        <v>1.7254510000000001</v>
      </c>
      <c r="AD107" s="234">
        <v>1.3559220000000001</v>
      </c>
      <c r="AF107" s="238" t="s">
        <v>204</v>
      </c>
      <c r="AG107" s="233">
        <v>2</v>
      </c>
      <c r="AH107" s="42">
        <v>5</v>
      </c>
      <c r="AI107" s="42">
        <v>7</v>
      </c>
      <c r="AJ107" s="42">
        <v>7</v>
      </c>
      <c r="AK107" s="234">
        <v>9</v>
      </c>
    </row>
    <row r="108" spans="2:68" ht="14">
      <c r="B108" s="235" t="s">
        <v>223</v>
      </c>
      <c r="C108" s="235">
        <v>0</v>
      </c>
      <c r="D108" s="235">
        <v>26942.67</v>
      </c>
      <c r="E108" s="22">
        <v>32671.34</v>
      </c>
      <c r="F108" s="22">
        <v>57773.21</v>
      </c>
      <c r="G108" s="22">
        <v>61339.91</v>
      </c>
      <c r="H108" s="317">
        <v>51990.99</v>
      </c>
      <c r="I108" s="317">
        <v>10000000</v>
      </c>
      <c r="J108" s="10"/>
      <c r="K108" s="158" t="s">
        <v>223</v>
      </c>
      <c r="L108" s="235">
        <v>667.029</v>
      </c>
      <c r="M108">
        <v>1515.52</v>
      </c>
      <c r="N108">
        <v>1224.3699999999999</v>
      </c>
      <c r="O108">
        <v>2882.05</v>
      </c>
      <c r="P108" s="159">
        <v>1477.4</v>
      </c>
      <c r="Q108"/>
      <c r="R108" s="158" t="s">
        <v>223</v>
      </c>
      <c r="S108">
        <v>23601.200000000001</v>
      </c>
      <c r="T108">
        <v>36401.199999999997</v>
      </c>
      <c r="U108">
        <v>51347.1</v>
      </c>
      <c r="V108">
        <v>64349.8</v>
      </c>
      <c r="W108" s="159">
        <v>75685.399999999994</v>
      </c>
      <c r="X108"/>
      <c r="Y108" s="158" t="s">
        <v>223</v>
      </c>
      <c r="Z108" s="235">
        <v>0.71695129999999996</v>
      </c>
      <c r="AA108">
        <v>1.287533</v>
      </c>
      <c r="AB108">
        <v>2.672266</v>
      </c>
      <c r="AC108">
        <v>0</v>
      </c>
      <c r="AD108" s="159">
        <v>1.823655</v>
      </c>
      <c r="AF108" s="158" t="s">
        <v>223</v>
      </c>
      <c r="AG108" s="235">
        <v>3</v>
      </c>
      <c r="AH108">
        <v>4</v>
      </c>
      <c r="AI108">
        <v>8</v>
      </c>
      <c r="AJ108">
        <v>9</v>
      </c>
      <c r="AK108" s="159">
        <v>8</v>
      </c>
    </row>
    <row r="109" spans="2:68" ht="14">
      <c r="B109" s="235" t="s">
        <v>205</v>
      </c>
      <c r="C109" s="235">
        <v>0</v>
      </c>
      <c r="D109" s="235">
        <v>19023.990000000002</v>
      </c>
      <c r="E109" s="22">
        <v>30743.01</v>
      </c>
      <c r="F109" s="22">
        <v>44157.88</v>
      </c>
      <c r="G109" s="22">
        <v>57789.72</v>
      </c>
      <c r="H109" s="317">
        <v>108317.8</v>
      </c>
      <c r="I109" s="317">
        <v>10000000</v>
      </c>
      <c r="J109" s="10"/>
      <c r="K109" s="158" t="s">
        <v>205</v>
      </c>
      <c r="L109" s="235">
        <v>745.35500000000002</v>
      </c>
      <c r="M109">
        <v>1154.6300000000001</v>
      </c>
      <c r="N109">
        <v>1360.53</v>
      </c>
      <c r="O109">
        <v>1584.58</v>
      </c>
      <c r="P109" s="159">
        <v>1655.42</v>
      </c>
      <c r="Q109"/>
      <c r="R109" s="158" t="s">
        <v>205</v>
      </c>
      <c r="S109">
        <v>13992.7</v>
      </c>
      <c r="T109">
        <v>24247</v>
      </c>
      <c r="U109">
        <v>36322.5</v>
      </c>
      <c r="V109">
        <v>54359.3</v>
      </c>
      <c r="W109" s="159">
        <v>123741</v>
      </c>
      <c r="X109"/>
      <c r="Y109" s="158" t="s">
        <v>205</v>
      </c>
      <c r="Z109" s="235">
        <v>0.3658846</v>
      </c>
      <c r="AA109">
        <v>0.49574810000000002</v>
      </c>
      <c r="AB109">
        <v>0.91745790000000005</v>
      </c>
      <c r="AC109">
        <v>1.2250529999999999</v>
      </c>
      <c r="AD109" s="159">
        <v>1.918561</v>
      </c>
      <c r="AF109" s="158" t="s">
        <v>205</v>
      </c>
      <c r="AG109" s="235">
        <v>1</v>
      </c>
      <c r="AH109">
        <v>4</v>
      </c>
      <c r="AI109">
        <v>7</v>
      </c>
      <c r="AJ109">
        <v>8</v>
      </c>
      <c r="AK109" s="159">
        <v>10</v>
      </c>
    </row>
    <row r="110" spans="2:68" ht="14">
      <c r="B110" s="235" t="s">
        <v>206</v>
      </c>
      <c r="C110" s="235">
        <v>0</v>
      </c>
      <c r="D110" s="235">
        <v>22528.3</v>
      </c>
      <c r="E110" s="22">
        <v>38631.81</v>
      </c>
      <c r="F110" s="22">
        <v>50765.33</v>
      </c>
      <c r="G110" s="22">
        <v>67189.740000000005</v>
      </c>
      <c r="H110" s="317">
        <v>90025.96</v>
      </c>
      <c r="I110" s="317">
        <v>10000000</v>
      </c>
      <c r="J110" s="10"/>
      <c r="K110" s="158" t="s">
        <v>206</v>
      </c>
      <c r="L110" s="235">
        <v>1350.79</v>
      </c>
      <c r="M110">
        <v>1475.58</v>
      </c>
      <c r="N110">
        <v>1560.22</v>
      </c>
      <c r="O110">
        <v>1722.57</v>
      </c>
      <c r="P110" s="159">
        <v>1836.59</v>
      </c>
      <c r="Q110"/>
      <c r="R110" s="158" t="s">
        <v>206</v>
      </c>
      <c r="S110">
        <v>18355.3</v>
      </c>
      <c r="T110">
        <v>35252.1</v>
      </c>
      <c r="U110">
        <v>47951.199999999997</v>
      </c>
      <c r="V110">
        <v>65277.599999999999</v>
      </c>
      <c r="W110" s="159">
        <v>108933</v>
      </c>
      <c r="X110"/>
      <c r="Y110" s="158" t="s">
        <v>206</v>
      </c>
      <c r="Z110" s="235">
        <v>0.47865560000000001</v>
      </c>
      <c r="AA110">
        <v>0.91911390000000004</v>
      </c>
      <c r="AB110">
        <v>1.110827</v>
      </c>
      <c r="AC110">
        <v>1.5390360000000001</v>
      </c>
      <c r="AD110" s="159">
        <v>1.727824</v>
      </c>
      <c r="AF110" s="158" t="s">
        <v>206</v>
      </c>
      <c r="AG110" s="235">
        <v>3</v>
      </c>
      <c r="AH110">
        <v>6</v>
      </c>
      <c r="AI110">
        <v>8</v>
      </c>
      <c r="AJ110">
        <v>9</v>
      </c>
      <c r="AK110" s="159">
        <v>10</v>
      </c>
    </row>
    <row r="111" spans="2:68" ht="14">
      <c r="B111" s="235" t="s">
        <v>207</v>
      </c>
      <c r="C111" s="235">
        <v>0</v>
      </c>
      <c r="D111" s="235">
        <v>23318.37</v>
      </c>
      <c r="E111" s="22">
        <v>32820</v>
      </c>
      <c r="F111" s="22">
        <v>42241.72</v>
      </c>
      <c r="G111" s="22">
        <v>50147.43</v>
      </c>
      <c r="H111" s="317">
        <v>86727.02</v>
      </c>
      <c r="I111" s="317">
        <v>10000000</v>
      </c>
      <c r="J111" s="10"/>
      <c r="K111" s="158" t="s">
        <v>207</v>
      </c>
      <c r="L111" s="235">
        <v>991.38400000000001</v>
      </c>
      <c r="M111">
        <v>1485.53</v>
      </c>
      <c r="N111">
        <v>1550.9</v>
      </c>
      <c r="O111">
        <v>1798.36</v>
      </c>
      <c r="P111" s="159">
        <v>2121.36</v>
      </c>
      <c r="Q111"/>
      <c r="R111" s="158" t="s">
        <v>207</v>
      </c>
      <c r="S111">
        <v>17029.8</v>
      </c>
      <c r="T111">
        <v>28518.9</v>
      </c>
      <c r="U111">
        <v>37459</v>
      </c>
      <c r="V111">
        <v>50020.6</v>
      </c>
      <c r="W111" s="159">
        <v>103802</v>
      </c>
      <c r="X111"/>
      <c r="Y111" s="158" t="s">
        <v>207</v>
      </c>
      <c r="Z111" s="235">
        <v>0.50366690000000003</v>
      </c>
      <c r="AA111">
        <v>0.85430229999999996</v>
      </c>
      <c r="AB111">
        <v>0.85285569999999999</v>
      </c>
      <c r="AC111">
        <v>1.601804</v>
      </c>
      <c r="AD111" s="159">
        <v>2.0899899999999998</v>
      </c>
      <c r="AF111" s="158" t="s">
        <v>207</v>
      </c>
      <c r="AG111" s="235">
        <v>3</v>
      </c>
      <c r="AH111">
        <v>4</v>
      </c>
      <c r="AI111">
        <v>6</v>
      </c>
      <c r="AJ111">
        <v>8</v>
      </c>
      <c r="AK111" s="159">
        <v>10</v>
      </c>
    </row>
    <row r="112" spans="2:68" ht="14">
      <c r="B112" s="235" t="s">
        <v>208</v>
      </c>
      <c r="C112" s="235">
        <v>0</v>
      </c>
      <c r="D112" s="235">
        <v>19397.41</v>
      </c>
      <c r="E112" s="22">
        <v>27117.84</v>
      </c>
      <c r="F112" s="22">
        <v>35686.71</v>
      </c>
      <c r="G112" s="22">
        <v>48170.7</v>
      </c>
      <c r="H112" s="317">
        <v>93614.45</v>
      </c>
      <c r="I112" s="317">
        <v>10000000</v>
      </c>
      <c r="J112" s="10"/>
      <c r="K112" s="158" t="s">
        <v>208</v>
      </c>
      <c r="L112" s="235">
        <v>866.88099999999997</v>
      </c>
      <c r="M112">
        <v>1161.55</v>
      </c>
      <c r="N112">
        <v>1227.05</v>
      </c>
      <c r="O112">
        <v>1679.77</v>
      </c>
      <c r="P112" s="159">
        <v>1750.12</v>
      </c>
      <c r="Q112"/>
      <c r="R112" s="158" t="s">
        <v>208</v>
      </c>
      <c r="S112">
        <v>14100.8</v>
      </c>
      <c r="T112">
        <v>22568.5</v>
      </c>
      <c r="U112">
        <v>32242.6</v>
      </c>
      <c r="V112">
        <v>45069.3</v>
      </c>
      <c r="W112" s="159">
        <v>103763</v>
      </c>
      <c r="X112"/>
      <c r="Y112" s="158" t="s">
        <v>208</v>
      </c>
      <c r="Z112" s="235">
        <v>0.3936133</v>
      </c>
      <c r="AA112">
        <v>0.62681759999999997</v>
      </c>
      <c r="AB112">
        <v>0.89064659999999995</v>
      </c>
      <c r="AC112">
        <v>1.167071</v>
      </c>
      <c r="AD112" s="159">
        <v>2.6620050000000002</v>
      </c>
      <c r="AF112" s="158" t="s">
        <v>208</v>
      </c>
      <c r="AG112" s="235">
        <v>1</v>
      </c>
      <c r="AH112">
        <v>3</v>
      </c>
      <c r="AI112">
        <v>5</v>
      </c>
      <c r="AJ112">
        <v>7</v>
      </c>
      <c r="AK112" s="159">
        <v>10</v>
      </c>
    </row>
    <row r="113" spans="2:43" ht="14">
      <c r="B113" s="235" t="s">
        <v>209</v>
      </c>
      <c r="C113" s="235">
        <v>0</v>
      </c>
      <c r="D113" s="235">
        <v>20701.63</v>
      </c>
      <c r="E113" s="22">
        <v>31010.400000000001</v>
      </c>
      <c r="F113" s="22">
        <v>38606.79</v>
      </c>
      <c r="G113" s="22">
        <v>47945.59</v>
      </c>
      <c r="H113" s="317">
        <v>74555.09</v>
      </c>
      <c r="I113" s="317">
        <v>10000000</v>
      </c>
      <c r="J113" s="10"/>
      <c r="K113" s="158" t="s">
        <v>209</v>
      </c>
      <c r="L113" s="235">
        <v>622.29300000000001</v>
      </c>
      <c r="M113">
        <v>973.06399999999996</v>
      </c>
      <c r="N113">
        <v>1183.31</v>
      </c>
      <c r="O113">
        <v>1518.88</v>
      </c>
      <c r="P113" s="159">
        <v>1573.02</v>
      </c>
      <c r="Q113"/>
      <c r="R113" s="158" t="s">
        <v>209</v>
      </c>
      <c r="S113">
        <v>16749.400000000001</v>
      </c>
      <c r="T113">
        <v>26704.9</v>
      </c>
      <c r="U113">
        <v>36198.400000000001</v>
      </c>
      <c r="V113">
        <v>49959</v>
      </c>
      <c r="W113" s="159">
        <v>87699.8</v>
      </c>
      <c r="X113"/>
      <c r="Y113" s="158" t="s">
        <v>209</v>
      </c>
      <c r="Z113" s="235">
        <v>0.37811289999999997</v>
      </c>
      <c r="AA113">
        <v>0.74791600000000003</v>
      </c>
      <c r="AB113">
        <v>0.96905249999999998</v>
      </c>
      <c r="AC113">
        <v>1.244796</v>
      </c>
      <c r="AD113" s="159">
        <v>1.321318</v>
      </c>
      <c r="AF113" s="158" t="s">
        <v>209</v>
      </c>
      <c r="AG113" s="235">
        <v>2</v>
      </c>
      <c r="AH113">
        <v>4</v>
      </c>
      <c r="AI113">
        <v>6</v>
      </c>
      <c r="AJ113">
        <v>7</v>
      </c>
      <c r="AK113" s="159">
        <v>9</v>
      </c>
    </row>
    <row r="114" spans="2:43" ht="14">
      <c r="B114" s="235" t="s">
        <v>224</v>
      </c>
      <c r="C114" s="235">
        <v>0</v>
      </c>
      <c r="D114" s="235">
        <v>19861.93</v>
      </c>
      <c r="E114" s="22">
        <v>32465.8</v>
      </c>
      <c r="F114" s="22">
        <v>45536.27</v>
      </c>
      <c r="G114" s="22">
        <v>54056.19</v>
      </c>
      <c r="H114" s="317">
        <v>91453.4</v>
      </c>
      <c r="I114" s="317">
        <v>10000000</v>
      </c>
      <c r="J114" s="10"/>
      <c r="K114" s="158" t="s">
        <v>224</v>
      </c>
      <c r="L114" s="235">
        <v>679.89599999999996</v>
      </c>
      <c r="M114">
        <v>848.46199999999999</v>
      </c>
      <c r="N114">
        <v>1212.07</v>
      </c>
      <c r="O114">
        <v>1494.41</v>
      </c>
      <c r="P114" s="159">
        <v>1861.13</v>
      </c>
      <c r="Q114"/>
      <c r="R114" s="158" t="s">
        <v>224</v>
      </c>
      <c r="S114">
        <v>14573.3</v>
      </c>
      <c r="T114">
        <v>25913.1</v>
      </c>
      <c r="U114">
        <v>36739.9</v>
      </c>
      <c r="V114">
        <v>51314.3</v>
      </c>
      <c r="W114" s="159">
        <v>101962</v>
      </c>
      <c r="X114"/>
      <c r="Y114" s="158" t="s">
        <v>224</v>
      </c>
      <c r="Z114" s="235">
        <v>0.38932870000000003</v>
      </c>
      <c r="AA114">
        <v>0.60588880000000001</v>
      </c>
      <c r="AB114">
        <v>0.94154349999999998</v>
      </c>
      <c r="AC114">
        <v>1.5365839999999999</v>
      </c>
      <c r="AD114" s="159">
        <v>1.838792</v>
      </c>
      <c r="AF114" s="158" t="s">
        <v>224</v>
      </c>
      <c r="AG114" s="235">
        <v>2</v>
      </c>
      <c r="AH114">
        <v>4</v>
      </c>
      <c r="AI114">
        <v>7</v>
      </c>
      <c r="AJ114">
        <v>8</v>
      </c>
      <c r="AK114" s="159">
        <v>10</v>
      </c>
    </row>
    <row r="115" spans="2:43" ht="14">
      <c r="B115" s="235" t="s">
        <v>210</v>
      </c>
      <c r="C115" s="235">
        <v>0</v>
      </c>
      <c r="D115" s="235">
        <v>20449.48</v>
      </c>
      <c r="E115" s="22">
        <v>33165.910000000003</v>
      </c>
      <c r="F115" s="22">
        <v>40663.120000000003</v>
      </c>
      <c r="G115" s="22">
        <v>49482.18</v>
      </c>
      <c r="H115" s="317">
        <v>88334.02</v>
      </c>
      <c r="I115" s="317">
        <v>10000000</v>
      </c>
      <c r="J115" s="10"/>
      <c r="K115" s="158" t="s">
        <v>210</v>
      </c>
      <c r="L115" s="235">
        <v>771.46799999999996</v>
      </c>
      <c r="M115">
        <v>1021.36</v>
      </c>
      <c r="N115">
        <v>1263.4000000000001</v>
      </c>
      <c r="O115">
        <v>1740.79</v>
      </c>
      <c r="P115" s="159">
        <v>1790.64</v>
      </c>
      <c r="Q115"/>
      <c r="R115" s="158" t="s">
        <v>210</v>
      </c>
      <c r="S115">
        <v>15009.5</v>
      </c>
      <c r="T115">
        <v>26628.799999999999</v>
      </c>
      <c r="U115">
        <v>36123.300000000003</v>
      </c>
      <c r="V115">
        <v>46495.5</v>
      </c>
      <c r="W115" s="159">
        <v>101038</v>
      </c>
      <c r="X115"/>
      <c r="Y115" s="158" t="s">
        <v>210</v>
      </c>
      <c r="Z115" s="235">
        <v>0.34294089999999999</v>
      </c>
      <c r="AA115">
        <v>0.56768949999999996</v>
      </c>
      <c r="AB115">
        <v>0.63470599999999999</v>
      </c>
      <c r="AC115">
        <v>1.2981149999999999</v>
      </c>
      <c r="AD115" s="159">
        <v>1.614004</v>
      </c>
      <c r="AF115" s="158" t="s">
        <v>210</v>
      </c>
      <c r="AG115" s="235">
        <v>2</v>
      </c>
      <c r="AH115">
        <v>5</v>
      </c>
      <c r="AI115">
        <v>6</v>
      </c>
      <c r="AJ115">
        <v>7</v>
      </c>
      <c r="AK115" s="159">
        <v>10</v>
      </c>
    </row>
    <row r="116" spans="2:43" ht="14">
      <c r="B116" s="235" t="s">
        <v>211</v>
      </c>
      <c r="C116" s="235">
        <v>0</v>
      </c>
      <c r="D116" s="235">
        <v>21894.46</v>
      </c>
      <c r="E116" s="22">
        <v>32035.75</v>
      </c>
      <c r="F116" s="22">
        <v>40258.71</v>
      </c>
      <c r="G116" s="22">
        <v>51242.81</v>
      </c>
      <c r="H116" s="317">
        <v>81522.42</v>
      </c>
      <c r="I116" s="317">
        <v>10000000</v>
      </c>
      <c r="J116" s="10"/>
      <c r="K116" s="158" t="s">
        <v>211</v>
      </c>
      <c r="L116" s="235">
        <v>1016.98</v>
      </c>
      <c r="M116">
        <v>1154.31</v>
      </c>
      <c r="N116">
        <v>1296.28</v>
      </c>
      <c r="O116">
        <v>1590.57</v>
      </c>
      <c r="P116" s="159">
        <v>1556.25</v>
      </c>
      <c r="Q116"/>
      <c r="R116" s="158" t="s">
        <v>211</v>
      </c>
      <c r="S116">
        <v>16862.400000000001</v>
      </c>
      <c r="T116">
        <v>26192.5</v>
      </c>
      <c r="U116">
        <v>35520.800000000003</v>
      </c>
      <c r="V116">
        <v>50496.5</v>
      </c>
      <c r="W116" s="159">
        <v>88445.8</v>
      </c>
      <c r="X116"/>
      <c r="Y116" s="158" t="s">
        <v>211</v>
      </c>
      <c r="Z116" s="235">
        <v>0.38955889999999999</v>
      </c>
      <c r="AA116">
        <v>0.3348216</v>
      </c>
      <c r="AB116">
        <v>0.84607010000000005</v>
      </c>
      <c r="AC116">
        <v>0.80752179999999996</v>
      </c>
      <c r="AD116" s="159">
        <v>1.2355050000000001</v>
      </c>
      <c r="AF116" s="158" t="s">
        <v>211</v>
      </c>
      <c r="AG116" s="235">
        <v>2</v>
      </c>
      <c r="AH116">
        <v>4</v>
      </c>
      <c r="AI116">
        <v>6</v>
      </c>
      <c r="AJ116">
        <v>8</v>
      </c>
      <c r="AK116" s="159">
        <v>9</v>
      </c>
    </row>
    <row r="117" spans="2:43" ht="14">
      <c r="B117" s="235" t="s">
        <v>212</v>
      </c>
      <c r="C117" s="235">
        <v>0</v>
      </c>
      <c r="D117" s="235">
        <v>20260.330000000002</v>
      </c>
      <c r="E117" s="22">
        <v>29604.51</v>
      </c>
      <c r="F117" s="22">
        <v>38065.39</v>
      </c>
      <c r="G117" s="22">
        <v>56130.1</v>
      </c>
      <c r="H117" s="317">
        <v>78525.84</v>
      </c>
      <c r="I117" s="317">
        <v>10000000</v>
      </c>
      <c r="J117" s="10"/>
      <c r="K117" s="158" t="s">
        <v>212</v>
      </c>
      <c r="L117" s="235">
        <v>781.56399999999996</v>
      </c>
      <c r="M117">
        <v>996.88</v>
      </c>
      <c r="N117">
        <v>1339.3</v>
      </c>
      <c r="O117">
        <v>2036.69</v>
      </c>
      <c r="P117" s="159">
        <v>2117.56</v>
      </c>
      <c r="Q117"/>
      <c r="R117" s="158" t="s">
        <v>212</v>
      </c>
      <c r="S117">
        <v>16219.4</v>
      </c>
      <c r="T117">
        <v>25118.2</v>
      </c>
      <c r="U117">
        <v>37029.800000000003</v>
      </c>
      <c r="V117">
        <v>55751.9</v>
      </c>
      <c r="W117" s="159">
        <v>92873.8</v>
      </c>
      <c r="X117"/>
      <c r="Y117" s="158" t="s">
        <v>212</v>
      </c>
      <c r="Z117" s="235">
        <v>0.25795000000000001</v>
      </c>
      <c r="AA117">
        <v>0.63274189999999997</v>
      </c>
      <c r="AB117">
        <v>1.0329969999999999</v>
      </c>
      <c r="AC117">
        <v>1.4646619999999999</v>
      </c>
      <c r="AD117" s="159">
        <v>0.91553240000000002</v>
      </c>
      <c r="AF117" s="158" t="s">
        <v>212</v>
      </c>
      <c r="AG117" s="235">
        <v>2</v>
      </c>
      <c r="AH117">
        <v>4</v>
      </c>
      <c r="AI117">
        <v>6</v>
      </c>
      <c r="AJ117">
        <v>8</v>
      </c>
      <c r="AK117" s="159">
        <v>9</v>
      </c>
    </row>
    <row r="118" spans="2:43" ht="14">
      <c r="B118" s="235" t="s">
        <v>213</v>
      </c>
      <c r="C118" s="235">
        <v>0</v>
      </c>
      <c r="D118" s="235">
        <v>19853.080000000002</v>
      </c>
      <c r="E118" s="22">
        <v>33298.53</v>
      </c>
      <c r="F118" s="22">
        <v>43164.13</v>
      </c>
      <c r="G118" s="22">
        <v>53322.57</v>
      </c>
      <c r="H118" s="317">
        <v>92152.31</v>
      </c>
      <c r="I118" s="317">
        <v>10000000</v>
      </c>
      <c r="J118" s="10"/>
      <c r="K118" s="158" t="s">
        <v>213</v>
      </c>
      <c r="L118" s="235">
        <v>859.72799999999995</v>
      </c>
      <c r="M118">
        <v>1278.96</v>
      </c>
      <c r="N118">
        <v>1487.68</v>
      </c>
      <c r="O118">
        <v>1536.11</v>
      </c>
      <c r="P118" s="159">
        <v>2158.02</v>
      </c>
      <c r="Q118"/>
      <c r="R118" s="158" t="s">
        <v>213</v>
      </c>
      <c r="S118">
        <v>15220.6</v>
      </c>
      <c r="T118">
        <v>28448.799999999999</v>
      </c>
      <c r="U118">
        <v>38535.1</v>
      </c>
      <c r="V118">
        <v>54298.5</v>
      </c>
      <c r="W118" s="159">
        <v>112686</v>
      </c>
      <c r="X118"/>
      <c r="Y118" s="158" t="s">
        <v>213</v>
      </c>
      <c r="Z118" s="235">
        <v>0.53584319999999996</v>
      </c>
      <c r="AA118">
        <v>0.74599890000000002</v>
      </c>
      <c r="AB118">
        <v>1.1248560000000001</v>
      </c>
      <c r="AC118">
        <v>1.0779890000000001</v>
      </c>
      <c r="AD118" s="159">
        <v>2.3107039999999999</v>
      </c>
      <c r="AF118" s="158" t="s">
        <v>213</v>
      </c>
      <c r="AG118" s="235">
        <v>2</v>
      </c>
      <c r="AH118">
        <v>5</v>
      </c>
      <c r="AI118">
        <v>6</v>
      </c>
      <c r="AJ118">
        <v>8</v>
      </c>
      <c r="AK118" s="159">
        <v>10</v>
      </c>
    </row>
    <row r="119" spans="2:43" ht="14">
      <c r="B119" s="235" t="s">
        <v>214</v>
      </c>
      <c r="C119" s="235">
        <v>0</v>
      </c>
      <c r="D119" s="235">
        <v>19684.59</v>
      </c>
      <c r="E119" s="22">
        <v>29149.71</v>
      </c>
      <c r="F119" s="22">
        <v>37443.410000000003</v>
      </c>
      <c r="G119" s="22">
        <v>46804.18</v>
      </c>
      <c r="H119" s="317">
        <v>60548.25</v>
      </c>
      <c r="I119" s="317">
        <v>10000000</v>
      </c>
      <c r="J119" s="10"/>
      <c r="K119" s="158" t="s">
        <v>214</v>
      </c>
      <c r="L119" s="235">
        <v>773.34500000000003</v>
      </c>
      <c r="M119">
        <v>1842.88</v>
      </c>
      <c r="N119">
        <v>2234.3200000000002</v>
      </c>
      <c r="O119">
        <v>1863.26</v>
      </c>
      <c r="P119" s="159">
        <v>2123.75</v>
      </c>
      <c r="Q119"/>
      <c r="R119" s="158" t="s">
        <v>214</v>
      </c>
      <c r="S119">
        <v>16285.9</v>
      </c>
      <c r="T119">
        <v>25918.3</v>
      </c>
      <c r="U119">
        <v>36059.699999999997</v>
      </c>
      <c r="V119">
        <v>49256.7</v>
      </c>
      <c r="W119" s="159">
        <v>70544.399999999994</v>
      </c>
      <c r="X119"/>
      <c r="Y119" s="158" t="s">
        <v>214</v>
      </c>
      <c r="Z119" s="235">
        <v>0.44310929999999998</v>
      </c>
      <c r="AA119">
        <v>1.4019330000000001</v>
      </c>
      <c r="AB119">
        <v>0.93667679999999998</v>
      </c>
      <c r="AC119">
        <v>1.3046260000000001</v>
      </c>
      <c r="AD119" s="159">
        <v>1.3235250000000001</v>
      </c>
      <c r="AF119" s="158" t="s">
        <v>214</v>
      </c>
      <c r="AG119" s="235">
        <v>2</v>
      </c>
      <c r="AH119">
        <v>3</v>
      </c>
      <c r="AI119">
        <v>5</v>
      </c>
      <c r="AJ119">
        <v>7</v>
      </c>
      <c r="AK119" s="159">
        <v>9</v>
      </c>
    </row>
    <row r="120" spans="2:43" ht="14">
      <c r="B120" s="235" t="s">
        <v>215</v>
      </c>
      <c r="C120" s="235">
        <v>0</v>
      </c>
      <c r="D120" s="235">
        <v>17044.7</v>
      </c>
      <c r="E120" s="22">
        <v>25414.7</v>
      </c>
      <c r="F120" s="22">
        <v>27945.05</v>
      </c>
      <c r="G120" s="22">
        <v>41072.11</v>
      </c>
      <c r="H120" s="317">
        <v>73099.12</v>
      </c>
      <c r="I120" s="317">
        <v>10000000</v>
      </c>
      <c r="J120" s="10"/>
      <c r="K120" s="158" t="s">
        <v>215</v>
      </c>
      <c r="L120" s="235">
        <v>812.50800000000004</v>
      </c>
      <c r="M120">
        <v>1397.25</v>
      </c>
      <c r="N120">
        <v>1211.7</v>
      </c>
      <c r="O120">
        <v>1932.13</v>
      </c>
      <c r="P120" s="159">
        <v>1839.51</v>
      </c>
      <c r="Q120"/>
      <c r="R120" s="158" t="s">
        <v>215</v>
      </c>
      <c r="S120">
        <v>11460.8</v>
      </c>
      <c r="T120">
        <v>22403.7</v>
      </c>
      <c r="U120">
        <v>31112.6</v>
      </c>
      <c r="V120">
        <v>40147.9</v>
      </c>
      <c r="W120" s="159">
        <v>76921.2</v>
      </c>
      <c r="X120"/>
      <c r="Y120" s="158" t="s">
        <v>215</v>
      </c>
      <c r="Z120" s="235">
        <v>0.265264</v>
      </c>
      <c r="AA120">
        <v>0.60081050000000003</v>
      </c>
      <c r="AB120">
        <v>0.31647399999999998</v>
      </c>
      <c r="AC120">
        <v>0.79741450000000003</v>
      </c>
      <c r="AD120" s="159">
        <v>1.0246120000000001</v>
      </c>
      <c r="AF120" s="158" t="s">
        <v>215</v>
      </c>
      <c r="AG120" s="235">
        <v>1</v>
      </c>
      <c r="AH120">
        <v>3</v>
      </c>
      <c r="AI120">
        <v>3</v>
      </c>
      <c r="AJ120">
        <v>6</v>
      </c>
      <c r="AK120" s="159">
        <v>9</v>
      </c>
    </row>
    <row r="121" spans="2:43" ht="14">
      <c r="B121" s="235" t="s">
        <v>216</v>
      </c>
      <c r="C121" s="235">
        <v>0</v>
      </c>
      <c r="D121" s="235">
        <v>13039.26</v>
      </c>
      <c r="E121" s="22">
        <v>27236.02</v>
      </c>
      <c r="F121" s="22">
        <v>33285.58</v>
      </c>
      <c r="G121" s="22">
        <v>39473.32</v>
      </c>
      <c r="H121" s="317">
        <v>67744.289999999994</v>
      </c>
      <c r="I121" s="317">
        <v>10000000</v>
      </c>
      <c r="J121" s="10"/>
      <c r="K121" s="158" t="s">
        <v>216</v>
      </c>
      <c r="L121" s="235">
        <v>1159.74</v>
      </c>
      <c r="M121">
        <v>1436.3</v>
      </c>
      <c r="N121">
        <v>1790.9</v>
      </c>
      <c r="O121">
        <v>2299.19</v>
      </c>
      <c r="P121" s="159">
        <v>2339.0500000000002</v>
      </c>
      <c r="Q121"/>
      <c r="R121" s="158" t="s">
        <v>216</v>
      </c>
      <c r="S121">
        <v>8678.19</v>
      </c>
      <c r="T121">
        <v>21658.3</v>
      </c>
      <c r="U121">
        <v>31005.1</v>
      </c>
      <c r="V121">
        <v>42324.7</v>
      </c>
      <c r="W121" s="159">
        <v>81063.899999999994</v>
      </c>
      <c r="X121"/>
      <c r="Y121" s="158" t="s">
        <v>216</v>
      </c>
      <c r="Z121" s="235">
        <v>0.57886389999999999</v>
      </c>
      <c r="AA121">
        <v>0.56364630000000004</v>
      </c>
      <c r="AB121">
        <v>1.061043</v>
      </c>
      <c r="AC121">
        <v>0.940083</v>
      </c>
      <c r="AD121" s="159">
        <v>1.645265</v>
      </c>
      <c r="AF121" s="158" t="s">
        <v>216</v>
      </c>
      <c r="AG121" s="235">
        <v>1</v>
      </c>
      <c r="AH121">
        <v>3</v>
      </c>
      <c r="AI121">
        <v>5</v>
      </c>
      <c r="AJ121">
        <v>6</v>
      </c>
      <c r="AK121" s="159">
        <v>9</v>
      </c>
    </row>
    <row r="122" spans="2:43" ht="14">
      <c r="B122" s="235" t="s">
        <v>217</v>
      </c>
      <c r="C122" s="235">
        <v>0</v>
      </c>
      <c r="D122" s="235">
        <v>12540.42</v>
      </c>
      <c r="E122" s="22">
        <v>22400.01</v>
      </c>
      <c r="F122" s="22">
        <v>32968.019999999997</v>
      </c>
      <c r="G122" s="22">
        <v>37972.21</v>
      </c>
      <c r="H122" s="317">
        <v>68892.45</v>
      </c>
      <c r="I122" s="317">
        <v>10000000</v>
      </c>
      <c r="J122" s="10"/>
      <c r="K122" s="158" t="s">
        <v>217</v>
      </c>
      <c r="L122" s="235">
        <v>1082.99</v>
      </c>
      <c r="M122">
        <v>1240.6300000000001</v>
      </c>
      <c r="N122">
        <v>1475.99</v>
      </c>
      <c r="O122">
        <v>1917.53</v>
      </c>
      <c r="P122" s="159">
        <v>1985.55</v>
      </c>
      <c r="Q122"/>
      <c r="R122" s="158" t="s">
        <v>217</v>
      </c>
      <c r="S122">
        <v>8289.5499999999993</v>
      </c>
      <c r="T122">
        <v>19577.8</v>
      </c>
      <c r="U122">
        <v>27287</v>
      </c>
      <c r="V122">
        <v>38960.1</v>
      </c>
      <c r="W122" s="159">
        <v>72621.5</v>
      </c>
      <c r="X122"/>
      <c r="Y122" s="158" t="s">
        <v>217</v>
      </c>
      <c r="Z122" s="235">
        <v>0.32473590000000002</v>
      </c>
      <c r="AA122">
        <v>0.63107159999999995</v>
      </c>
      <c r="AB122">
        <v>0.99940759999999995</v>
      </c>
      <c r="AC122">
        <v>1.036027</v>
      </c>
      <c r="AD122" s="159">
        <v>1.2384329999999999</v>
      </c>
      <c r="AF122" s="158" t="s">
        <v>217</v>
      </c>
      <c r="AG122" s="235">
        <v>1</v>
      </c>
      <c r="AH122">
        <v>3</v>
      </c>
      <c r="AI122">
        <v>4</v>
      </c>
      <c r="AJ122">
        <v>6</v>
      </c>
      <c r="AK122" s="159">
        <v>9</v>
      </c>
    </row>
    <row r="123" spans="2:43" ht="14">
      <c r="B123" s="235" t="s">
        <v>225</v>
      </c>
      <c r="C123" s="235">
        <v>0</v>
      </c>
      <c r="D123" s="235">
        <v>16497.009999999998</v>
      </c>
      <c r="E123" s="22">
        <v>19414.3</v>
      </c>
      <c r="F123" s="22">
        <v>26811.119999999999</v>
      </c>
      <c r="G123" s="22">
        <v>36698.78</v>
      </c>
      <c r="H123" s="317">
        <v>65147.18</v>
      </c>
      <c r="I123" s="317">
        <v>10000000</v>
      </c>
      <c r="J123" s="10"/>
      <c r="K123" s="158" t="s">
        <v>225</v>
      </c>
      <c r="L123" s="235">
        <v>984.59400000000005</v>
      </c>
      <c r="M123">
        <v>1229.21</v>
      </c>
      <c r="N123">
        <v>1838</v>
      </c>
      <c r="O123">
        <v>2317.5500000000002</v>
      </c>
      <c r="P123" s="159">
        <v>1636.68</v>
      </c>
      <c r="Q123"/>
      <c r="R123" s="158" t="s">
        <v>225</v>
      </c>
      <c r="S123">
        <v>9728.23</v>
      </c>
      <c r="T123">
        <v>19085.3</v>
      </c>
      <c r="U123">
        <v>26866.799999999999</v>
      </c>
      <c r="V123">
        <v>38605.199999999997</v>
      </c>
      <c r="W123" s="159">
        <v>71596.399999999994</v>
      </c>
      <c r="X123"/>
      <c r="Y123" s="158" t="s">
        <v>225</v>
      </c>
      <c r="Z123" s="235">
        <v>0.35618739999999999</v>
      </c>
      <c r="AA123">
        <v>0.62745459999999997</v>
      </c>
      <c r="AB123">
        <v>0.57533679999999998</v>
      </c>
      <c r="AC123">
        <v>1.208752</v>
      </c>
      <c r="AD123" s="159">
        <v>1.1313820000000001</v>
      </c>
      <c r="AF123" s="158" t="s">
        <v>225</v>
      </c>
      <c r="AG123" s="235">
        <v>1</v>
      </c>
      <c r="AH123">
        <v>1</v>
      </c>
      <c r="AI123">
        <v>3</v>
      </c>
      <c r="AJ123">
        <v>5</v>
      </c>
      <c r="AK123" s="159">
        <v>9</v>
      </c>
    </row>
    <row r="124" spans="2:43" ht="14">
      <c r="B124" s="235" t="s">
        <v>219</v>
      </c>
      <c r="C124" s="235">
        <v>0</v>
      </c>
      <c r="D124" s="235">
        <v>15848.05</v>
      </c>
      <c r="E124" s="22">
        <v>25064.53</v>
      </c>
      <c r="F124" s="22">
        <v>27569.19</v>
      </c>
      <c r="G124" s="22">
        <v>35491.99</v>
      </c>
      <c r="H124" s="317">
        <v>54733.29</v>
      </c>
      <c r="I124" s="317">
        <v>10000000</v>
      </c>
      <c r="J124" s="10"/>
      <c r="K124" s="158" t="s">
        <v>219</v>
      </c>
      <c r="L124" s="235">
        <v>941.34500000000003</v>
      </c>
      <c r="M124">
        <v>1100.47</v>
      </c>
      <c r="N124">
        <v>2208.86</v>
      </c>
      <c r="O124">
        <v>1793.2</v>
      </c>
      <c r="P124" s="159">
        <v>1907.17</v>
      </c>
      <c r="Q124"/>
      <c r="R124" s="158" t="s">
        <v>219</v>
      </c>
      <c r="S124">
        <v>11478</v>
      </c>
      <c r="T124">
        <v>19842.099999999999</v>
      </c>
      <c r="U124">
        <v>25924</v>
      </c>
      <c r="V124">
        <v>35110.300000000003</v>
      </c>
      <c r="W124" s="159">
        <v>57294.5</v>
      </c>
      <c r="X124"/>
      <c r="Y124" s="158" t="s">
        <v>219</v>
      </c>
      <c r="Z124" s="235">
        <v>0.31678800000000001</v>
      </c>
      <c r="AA124">
        <v>0.6358876</v>
      </c>
      <c r="AB124">
        <v>0.77319499999999997</v>
      </c>
      <c r="AC124">
        <v>1.1574549999999999</v>
      </c>
      <c r="AD124" s="159">
        <v>1.028829</v>
      </c>
      <c r="AF124" s="158" t="s">
        <v>219</v>
      </c>
      <c r="AG124" s="235">
        <v>1</v>
      </c>
      <c r="AH124">
        <v>3</v>
      </c>
      <c r="AI124">
        <v>3</v>
      </c>
      <c r="AJ124">
        <v>5</v>
      </c>
      <c r="AK124" s="159">
        <v>8</v>
      </c>
    </row>
    <row r="125" spans="2:43" ht="14">
      <c r="B125" s="235" t="s">
        <v>220</v>
      </c>
      <c r="C125" s="235">
        <v>0</v>
      </c>
      <c r="D125" s="235">
        <v>15396.56</v>
      </c>
      <c r="E125" s="22">
        <v>21941.96</v>
      </c>
      <c r="F125" s="22">
        <v>28195.65</v>
      </c>
      <c r="G125" s="22">
        <v>36531.54</v>
      </c>
      <c r="H125" s="317">
        <v>65662.850000000006</v>
      </c>
      <c r="I125" s="317">
        <v>10000000</v>
      </c>
      <c r="J125" s="10"/>
      <c r="K125" s="158" t="s">
        <v>220</v>
      </c>
      <c r="L125" s="235">
        <v>1438.9</v>
      </c>
      <c r="M125">
        <v>1652.38</v>
      </c>
      <c r="N125">
        <v>1917.56</v>
      </c>
      <c r="O125">
        <v>2021.8</v>
      </c>
      <c r="P125" s="159">
        <v>2437.1</v>
      </c>
      <c r="Q125"/>
      <c r="R125" s="158" t="s">
        <v>220</v>
      </c>
      <c r="S125">
        <v>11183.2</v>
      </c>
      <c r="T125">
        <v>20134.3</v>
      </c>
      <c r="U125">
        <v>27152.6</v>
      </c>
      <c r="V125">
        <v>38495.5</v>
      </c>
      <c r="W125" s="159">
        <v>76138.100000000006</v>
      </c>
      <c r="X125"/>
      <c r="Y125" s="158" t="s">
        <v>220</v>
      </c>
      <c r="Z125" s="235">
        <v>0.62333050000000001</v>
      </c>
      <c r="AA125">
        <v>0.80651309999999998</v>
      </c>
      <c r="AB125">
        <v>1.139588</v>
      </c>
      <c r="AC125">
        <v>1.127516</v>
      </c>
      <c r="AD125" s="159">
        <v>1.5483130000000001</v>
      </c>
      <c r="AF125" s="158" t="s">
        <v>220</v>
      </c>
      <c r="AG125" s="235">
        <v>1</v>
      </c>
      <c r="AH125">
        <v>2</v>
      </c>
      <c r="AI125">
        <v>3</v>
      </c>
      <c r="AJ125">
        <v>5</v>
      </c>
      <c r="AK125" s="159">
        <v>9</v>
      </c>
    </row>
    <row r="126" spans="2:43" ht="14">
      <c r="B126" s="236" t="s">
        <v>221</v>
      </c>
      <c r="C126" s="236">
        <v>0</v>
      </c>
      <c r="D126" s="236">
        <v>16186.26</v>
      </c>
      <c r="E126" s="318">
        <v>25414.68</v>
      </c>
      <c r="F126" s="318">
        <v>33141.43</v>
      </c>
      <c r="G126" s="318">
        <v>42825.3</v>
      </c>
      <c r="H126" s="319">
        <v>58558.19</v>
      </c>
      <c r="I126" s="319">
        <v>10000000</v>
      </c>
      <c r="J126" s="10"/>
      <c r="K126" s="160" t="s">
        <v>221</v>
      </c>
      <c r="L126" s="236">
        <v>819.46400000000006</v>
      </c>
      <c r="M126" s="237">
        <v>1274.6300000000001</v>
      </c>
      <c r="N126" s="237">
        <v>1257.4000000000001</v>
      </c>
      <c r="O126" s="237">
        <v>1443.61</v>
      </c>
      <c r="P126" s="161">
        <v>1510.15</v>
      </c>
      <c r="Q126"/>
      <c r="R126" s="160" t="s">
        <v>221</v>
      </c>
      <c r="S126" s="237">
        <v>10755.6</v>
      </c>
      <c r="T126" s="237">
        <v>20037.3</v>
      </c>
      <c r="U126" s="237">
        <v>31300.2</v>
      </c>
      <c r="V126" s="237">
        <v>40721.5</v>
      </c>
      <c r="W126" s="161">
        <v>64867.9</v>
      </c>
      <c r="X126"/>
      <c r="Y126" s="160" t="s">
        <v>221</v>
      </c>
      <c r="Z126" s="236">
        <v>0.29114980000000001</v>
      </c>
      <c r="AA126" s="237">
        <v>0.58453480000000002</v>
      </c>
      <c r="AB126" s="237">
        <v>0.49599749999999998</v>
      </c>
      <c r="AC126" s="237">
        <v>0.88169310000000001</v>
      </c>
      <c r="AD126" s="161">
        <v>1.1132979999999999</v>
      </c>
      <c r="AF126" s="160" t="s">
        <v>221</v>
      </c>
      <c r="AG126" s="236">
        <v>1</v>
      </c>
      <c r="AH126" s="237">
        <v>3</v>
      </c>
      <c r="AI126" s="237">
        <v>4</v>
      </c>
      <c r="AJ126" s="237">
        <v>6</v>
      </c>
      <c r="AK126" s="161">
        <v>9</v>
      </c>
    </row>
    <row r="127" spans="2:43" ht="14">
      <c r="B127"/>
      <c r="C127"/>
      <c r="D127"/>
      <c r="E127"/>
      <c r="F127"/>
      <c r="G127"/>
      <c r="H127"/>
      <c r="I127"/>
      <c r="J127"/>
      <c r="K127"/>
      <c r="L127"/>
      <c r="M127"/>
      <c r="N127"/>
      <c r="O127"/>
      <c r="P127"/>
      <c r="Q127"/>
      <c r="R127"/>
      <c r="S127"/>
      <c r="T127"/>
      <c r="U127"/>
      <c r="V127"/>
      <c r="W127"/>
      <c r="X127"/>
    </row>
    <row r="128" spans="2:43" ht="14">
      <c r="B128"/>
      <c r="C128"/>
      <c r="D128" s="510" t="s">
        <v>222</v>
      </c>
      <c r="E128" s="510"/>
      <c r="F128" s="510"/>
      <c r="G128" s="510"/>
      <c r="H128" s="510"/>
      <c r="I128" s="510"/>
      <c r="J128"/>
      <c r="K128" s="511" t="s">
        <v>1199</v>
      </c>
      <c r="L128" s="511"/>
      <c r="M128" s="511"/>
      <c r="N128" s="511"/>
      <c r="O128" s="511"/>
      <c r="P128" s="511"/>
      <c r="Q128" s="511"/>
      <c r="R128" s="511"/>
      <c r="S128" s="511"/>
      <c r="T128" s="511"/>
      <c r="U128" s="511"/>
      <c r="V128" s="511"/>
      <c r="W128" s="511"/>
      <c r="X128"/>
      <c r="Y128" s="511" t="s">
        <v>1220</v>
      </c>
      <c r="Z128" s="511"/>
      <c r="AA128" s="511"/>
      <c r="AB128" s="511"/>
      <c r="AC128" s="511"/>
      <c r="AD128" s="511"/>
      <c r="AE128" s="511"/>
      <c r="AF128" s="511"/>
      <c r="AG128" s="511"/>
      <c r="AH128" s="511"/>
      <c r="AI128" s="511"/>
      <c r="AJ128" s="511"/>
      <c r="AK128" s="511"/>
      <c r="AM128" s="378" t="s">
        <v>1421</v>
      </c>
      <c r="AN128" s="378"/>
      <c r="AO128" s="192"/>
      <c r="AP128" s="192"/>
      <c r="AQ128" s="192"/>
    </row>
    <row r="129" spans="2:40" ht="14">
      <c r="B129"/>
      <c r="C129" s="204" t="s">
        <v>202</v>
      </c>
      <c r="D129" s="244" t="s">
        <v>186</v>
      </c>
      <c r="E129" s="244" t="s">
        <v>187</v>
      </c>
      <c r="F129" s="244" t="s">
        <v>188</v>
      </c>
      <c r="G129" s="244" t="s">
        <v>189</v>
      </c>
      <c r="H129" s="244" t="s">
        <v>190</v>
      </c>
      <c r="I129" s="244" t="s">
        <v>203</v>
      </c>
      <c r="J129"/>
      <c r="K129" t="s">
        <v>1197</v>
      </c>
      <c r="L129"/>
      <c r="M129"/>
      <c r="N129"/>
      <c r="O129"/>
      <c r="P129"/>
      <c r="Q129"/>
      <c r="R129" t="s">
        <v>1198</v>
      </c>
      <c r="S129"/>
      <c r="T129"/>
      <c r="U129"/>
      <c r="V129"/>
      <c r="W129"/>
      <c r="X129"/>
      <c r="AN129" s="301" t="s">
        <v>1422</v>
      </c>
    </row>
    <row r="130" spans="2:40" ht="14.5">
      <c r="B130" s="233" t="s">
        <v>204</v>
      </c>
      <c r="C130" s="238">
        <v>1.3690771499999999</v>
      </c>
      <c r="D130" s="42">
        <v>1.3038829999999999</v>
      </c>
      <c r="E130" s="42">
        <v>1.0549200000000001</v>
      </c>
      <c r="F130" s="42">
        <v>0.91801650000000001</v>
      </c>
      <c r="G130" s="42">
        <v>0.86191709999999999</v>
      </c>
      <c r="H130" s="42">
        <v>0.78399470000000004</v>
      </c>
      <c r="I130" s="320">
        <v>0.4</v>
      </c>
      <c r="J130"/>
      <c r="K130"/>
      <c r="L130" s="238" t="s">
        <v>186</v>
      </c>
      <c r="M130" s="238" t="s">
        <v>187</v>
      </c>
      <c r="N130" s="238" t="s">
        <v>188</v>
      </c>
      <c r="O130" s="238" t="s">
        <v>189</v>
      </c>
      <c r="P130" s="238" t="s">
        <v>190</v>
      </c>
      <c r="Q130"/>
      <c r="R130"/>
      <c r="S130" s="238" t="s">
        <v>186</v>
      </c>
      <c r="T130" s="238" t="s">
        <v>187</v>
      </c>
      <c r="U130" s="238" t="s">
        <v>188</v>
      </c>
      <c r="V130" s="238" t="s">
        <v>189</v>
      </c>
      <c r="W130" s="238" t="s">
        <v>190</v>
      </c>
      <c r="X130"/>
      <c r="Y130" s="143" t="s">
        <v>1217</v>
      </c>
      <c r="Z130" s="143" t="s">
        <v>1218</v>
      </c>
      <c r="AA130" s="143" t="s">
        <v>1219</v>
      </c>
      <c r="AB130" s="147"/>
      <c r="AC130" s="145" t="s">
        <v>1217</v>
      </c>
      <c r="AD130" s="145" t="s">
        <v>186</v>
      </c>
      <c r="AE130" s="143" t="s">
        <v>187</v>
      </c>
      <c r="AF130" s="143" t="s">
        <v>188</v>
      </c>
      <c r="AG130" s="143" t="s">
        <v>189</v>
      </c>
      <c r="AH130" s="143" t="s">
        <v>190</v>
      </c>
      <c r="AI130" s="147"/>
      <c r="AJ130" s="145" t="s">
        <v>1217</v>
      </c>
      <c r="AK130" s="143" t="s">
        <v>1418</v>
      </c>
      <c r="AM130" s="377" t="s">
        <v>139</v>
      </c>
      <c r="AN130" s="147">
        <v>0.5133159232739648</v>
      </c>
    </row>
    <row r="131" spans="2:40" ht="14.5">
      <c r="B131" s="235" t="s">
        <v>223</v>
      </c>
      <c r="C131" s="238">
        <v>1.5060433499999999</v>
      </c>
      <c r="D131">
        <v>1.4343269999999999</v>
      </c>
      <c r="E131">
        <v>1.062945</v>
      </c>
      <c r="F131">
        <v>1.0854440000000001</v>
      </c>
      <c r="G131">
        <v>1.0349390000000001</v>
      </c>
      <c r="H131">
        <v>0.86580590000000002</v>
      </c>
      <c r="I131" s="321">
        <v>0.4</v>
      </c>
      <c r="J131"/>
      <c r="K131" s="304" t="s">
        <v>204</v>
      </c>
      <c r="L131" s="42">
        <v>382745.39130434801</v>
      </c>
      <c r="M131" s="42">
        <v>382745.39130434801</v>
      </c>
      <c r="N131" s="42">
        <v>382745.39130434801</v>
      </c>
      <c r="O131" s="42">
        <v>382745.39130434801</v>
      </c>
      <c r="P131" s="234">
        <v>382745.39130434801</v>
      </c>
      <c r="Q131"/>
      <c r="R131" s="304" t="s">
        <v>204</v>
      </c>
      <c r="S131" s="233">
        <v>383528</v>
      </c>
      <c r="T131" s="42">
        <v>383079</v>
      </c>
      <c r="U131" s="42">
        <v>382196</v>
      </c>
      <c r="V131" s="42">
        <v>384004</v>
      </c>
      <c r="W131" s="234">
        <v>380919</v>
      </c>
      <c r="X131"/>
      <c r="Y131" s="148" t="s">
        <v>204</v>
      </c>
      <c r="Z131" s="146">
        <f>AA131*$Z$151</f>
        <v>31923005461.254112</v>
      </c>
      <c r="AA131" s="147">
        <v>9.8527794633500351E-2</v>
      </c>
      <c r="AB131" s="147"/>
      <c r="AC131" s="147" t="s">
        <v>204</v>
      </c>
      <c r="AD131" s="146">
        <v>5.1088571364396256E-2</v>
      </c>
      <c r="AE131" s="146">
        <v>0.12048888646449347</v>
      </c>
      <c r="AF131" s="146">
        <v>0.19490770005807853</v>
      </c>
      <c r="AG131" s="146">
        <v>0.2019207629144513</v>
      </c>
      <c r="AH131" s="147">
        <v>0.43159407919858045</v>
      </c>
      <c r="AI131" s="147"/>
      <c r="AJ131" s="147" t="s">
        <v>204</v>
      </c>
      <c r="AK131" s="147">
        <v>0.37920658591254308</v>
      </c>
      <c r="AM131" s="377" t="s">
        <v>37</v>
      </c>
      <c r="AN131" s="147">
        <v>8.1386907264808031E-2</v>
      </c>
    </row>
    <row r="132" spans="2:40" ht="14.5">
      <c r="B132" s="235" t="s">
        <v>205</v>
      </c>
      <c r="C132" s="238">
        <v>1.2531697500000001</v>
      </c>
      <c r="D132">
        <v>1.193495</v>
      </c>
      <c r="E132">
        <v>0.99173370000000005</v>
      </c>
      <c r="F132">
        <v>0.94453750000000003</v>
      </c>
      <c r="G132">
        <v>0.87038559999999998</v>
      </c>
      <c r="H132">
        <v>0.76152439999999999</v>
      </c>
      <c r="I132" s="321">
        <v>0.4</v>
      </c>
      <c r="J132"/>
      <c r="K132" s="305" t="s">
        <v>223</v>
      </c>
      <c r="L132">
        <v>11541.545454545452</v>
      </c>
      <c r="M132">
        <v>11541.545454545452</v>
      </c>
      <c r="N132">
        <v>11541.545454545452</v>
      </c>
      <c r="O132">
        <v>11541.545454545452</v>
      </c>
      <c r="P132" s="159">
        <v>11541.545454545452</v>
      </c>
      <c r="Q132"/>
      <c r="R132" s="305" t="s">
        <v>223</v>
      </c>
      <c r="S132" s="235">
        <v>14167</v>
      </c>
      <c r="T132">
        <v>8929</v>
      </c>
      <c r="U132">
        <v>14020</v>
      </c>
      <c r="V132">
        <v>9427</v>
      </c>
      <c r="W132" s="159">
        <v>11164</v>
      </c>
      <c r="X132"/>
      <c r="Y132" s="148" t="s">
        <v>223</v>
      </c>
      <c r="Z132" s="146">
        <f t="shared" ref="Z132:Z150" si="2">AA132*$Z$151</f>
        <v>1154521228.3404107</v>
      </c>
      <c r="AA132" s="147">
        <v>3.5633371245074401E-3</v>
      </c>
      <c r="AB132" s="147"/>
      <c r="AC132" s="147" t="s">
        <v>223</v>
      </c>
      <c r="AD132" s="146">
        <v>0.14531586248382458</v>
      </c>
      <c r="AE132" s="146">
        <v>4.9290810502916123E-2</v>
      </c>
      <c r="AF132" s="146">
        <v>0.44404716011450662</v>
      </c>
      <c r="AG132" s="146">
        <v>0.20233405036747076</v>
      </c>
      <c r="AH132" s="147">
        <v>0.15901211653128192</v>
      </c>
      <c r="AI132" s="147"/>
      <c r="AJ132" s="147" t="s">
        <v>223</v>
      </c>
      <c r="AK132" s="147">
        <v>0.38586818540214146</v>
      </c>
      <c r="AM132" s="377" t="s">
        <v>140</v>
      </c>
      <c r="AN132" s="147">
        <v>0.1379390457194353</v>
      </c>
    </row>
    <row r="133" spans="2:40" ht="14.5">
      <c r="B133" s="235" t="s">
        <v>206</v>
      </c>
      <c r="C133" s="238">
        <v>1.3465756500000001</v>
      </c>
      <c r="D133">
        <v>1.2824530000000001</v>
      </c>
      <c r="E133">
        <v>1.115413</v>
      </c>
      <c r="F133">
        <v>1.0463180000000001</v>
      </c>
      <c r="G133">
        <v>0.8797817</v>
      </c>
      <c r="H133">
        <v>0.8206871</v>
      </c>
      <c r="I133" s="321">
        <v>0.4</v>
      </c>
      <c r="J133"/>
      <c r="K133" s="305" t="s">
        <v>205</v>
      </c>
      <c r="L133">
        <v>805884.5</v>
      </c>
      <c r="M133">
        <v>805884.5</v>
      </c>
      <c r="N133">
        <v>805884.5</v>
      </c>
      <c r="O133">
        <v>805884.5</v>
      </c>
      <c r="P133" s="159">
        <v>805884.5</v>
      </c>
      <c r="Q133"/>
      <c r="R133" s="305" t="s">
        <v>205</v>
      </c>
      <c r="S133" s="235">
        <v>807968</v>
      </c>
      <c r="T133">
        <v>816296</v>
      </c>
      <c r="U133">
        <v>794586</v>
      </c>
      <c r="V133">
        <v>816677</v>
      </c>
      <c r="W133" s="159">
        <v>793896</v>
      </c>
      <c r="X133"/>
      <c r="Y133" s="148" t="s">
        <v>205</v>
      </c>
      <c r="Z133" s="146">
        <f t="shared" si="2"/>
        <v>72864129106.875</v>
      </c>
      <c r="AA133" s="147">
        <v>0.22488928736689814</v>
      </c>
      <c r="AB133" s="147"/>
      <c r="AC133" s="147" t="s">
        <v>205</v>
      </c>
      <c r="AD133" s="146">
        <v>0</v>
      </c>
      <c r="AE133" s="146">
        <v>3.8826822318098558E-2</v>
      </c>
      <c r="AF133" s="146">
        <v>0.12026462992719303</v>
      </c>
      <c r="AG133" s="146">
        <v>0.21741294161806074</v>
      </c>
      <c r="AH133" s="147">
        <v>0.64001529522741107</v>
      </c>
      <c r="AI133" s="147"/>
      <c r="AJ133" s="147" t="s">
        <v>205</v>
      </c>
      <c r="AK133" s="147">
        <v>0.42193349770628658</v>
      </c>
      <c r="AM133" s="377" t="s">
        <v>48</v>
      </c>
      <c r="AN133" s="147">
        <v>7.5120612163729972E-3</v>
      </c>
    </row>
    <row r="134" spans="2:40" ht="14.5">
      <c r="B134" s="235" t="s">
        <v>207</v>
      </c>
      <c r="C134" s="238">
        <v>1.4555435999999999</v>
      </c>
      <c r="D134">
        <v>1.3862319999999999</v>
      </c>
      <c r="E134">
        <v>1.0387930000000001</v>
      </c>
      <c r="F134">
        <v>0.95949019999999996</v>
      </c>
      <c r="G134">
        <v>0.93558200000000002</v>
      </c>
      <c r="H134">
        <v>0.79769639999999997</v>
      </c>
      <c r="I134" s="321">
        <v>0.4</v>
      </c>
      <c r="J134"/>
      <c r="K134" s="305" t="s">
        <v>206</v>
      </c>
      <c r="L134">
        <v>85165.083333333343</v>
      </c>
      <c r="M134">
        <v>85165.083333333343</v>
      </c>
      <c r="N134">
        <v>85165.083333333343</v>
      </c>
      <c r="O134">
        <v>85165.083333333343</v>
      </c>
      <c r="P134" s="159">
        <v>85165.083333333343</v>
      </c>
      <c r="Q134"/>
      <c r="R134" s="305" t="s">
        <v>206</v>
      </c>
      <c r="S134" s="235">
        <v>87349</v>
      </c>
      <c r="T134">
        <v>84797</v>
      </c>
      <c r="U134">
        <v>84450</v>
      </c>
      <c r="V134">
        <v>88750</v>
      </c>
      <c r="W134" s="159">
        <v>80477</v>
      </c>
      <c r="X134"/>
      <c r="Y134" s="148" t="s">
        <v>206</v>
      </c>
      <c r="Z134" s="146">
        <f t="shared" si="2"/>
        <v>8809128808.9120941</v>
      </c>
      <c r="AA134" s="147">
        <v>2.7188669163308931E-2</v>
      </c>
      <c r="AB134" s="147"/>
      <c r="AC134" s="147" t="s">
        <v>206</v>
      </c>
      <c r="AD134" s="146">
        <v>1.2501925900085756E-2</v>
      </c>
      <c r="AE134" s="146">
        <v>0.10163287257082225</v>
      </c>
      <c r="AF134" s="146">
        <v>0.18538990392302213</v>
      </c>
      <c r="AG134" s="146">
        <v>0.31606157066236429</v>
      </c>
      <c r="AH134" s="147">
        <v>0.38441372694370557</v>
      </c>
      <c r="AI134" s="147"/>
      <c r="AJ134" s="147" t="s">
        <v>206</v>
      </c>
      <c r="AK134" s="147">
        <v>0.35404427456940407</v>
      </c>
      <c r="AM134" s="377" t="s">
        <v>341</v>
      </c>
      <c r="AN134" s="147">
        <v>1.9481404378185477E-2</v>
      </c>
    </row>
    <row r="135" spans="2:40" ht="14.5">
      <c r="B135" s="235" t="s">
        <v>208</v>
      </c>
      <c r="C135" s="238">
        <v>1.4389851000000002</v>
      </c>
      <c r="D135">
        <v>1.3704620000000001</v>
      </c>
      <c r="E135">
        <v>1.1216120000000001</v>
      </c>
      <c r="F135">
        <v>0.98492310000000005</v>
      </c>
      <c r="G135">
        <v>0.93692359999999997</v>
      </c>
      <c r="H135">
        <v>0.76697530000000003</v>
      </c>
      <c r="I135" s="321">
        <v>0.4</v>
      </c>
      <c r="J135"/>
      <c r="K135" s="305" t="s">
        <v>207</v>
      </c>
      <c r="L135">
        <v>389069.76</v>
      </c>
      <c r="M135">
        <v>389069.76</v>
      </c>
      <c r="N135">
        <v>389069.76</v>
      </c>
      <c r="O135">
        <v>389069.76</v>
      </c>
      <c r="P135" s="159">
        <v>389069.76</v>
      </c>
      <c r="Q135"/>
      <c r="R135" s="305" t="s">
        <v>207</v>
      </c>
      <c r="S135" s="235">
        <v>404705</v>
      </c>
      <c r="T135">
        <v>373656</v>
      </c>
      <c r="U135">
        <v>392318</v>
      </c>
      <c r="V135">
        <v>392921</v>
      </c>
      <c r="W135" s="159">
        <v>381749</v>
      </c>
      <c r="X135"/>
      <c r="Y135" s="148" t="s">
        <v>207</v>
      </c>
      <c r="Z135" s="146">
        <f t="shared" si="2"/>
        <v>29430815481.656147</v>
      </c>
      <c r="AA135" s="147">
        <v>9.0835850252025147E-2</v>
      </c>
      <c r="AB135" s="147"/>
      <c r="AC135" s="147" t="s">
        <v>207</v>
      </c>
      <c r="AD135" s="146">
        <v>4.8337881734153661E-2</v>
      </c>
      <c r="AE135" s="146">
        <v>6.4983949789274631E-2</v>
      </c>
      <c r="AF135" s="146">
        <v>0.15171181944966033</v>
      </c>
      <c r="AG135" s="146">
        <v>0.19530825001366087</v>
      </c>
      <c r="AH135" s="147">
        <v>0.53965809901325057</v>
      </c>
      <c r="AI135" s="147"/>
      <c r="AJ135" s="147" t="s">
        <v>207</v>
      </c>
      <c r="AK135" s="147">
        <v>0.43247891038569664</v>
      </c>
      <c r="AM135" s="377" t="s">
        <v>142</v>
      </c>
      <c r="AN135" s="147">
        <v>2.3653667003018089E-2</v>
      </c>
    </row>
    <row r="136" spans="2:40" ht="14.5">
      <c r="B136" s="235" t="s">
        <v>209</v>
      </c>
      <c r="C136" s="238">
        <v>1.3358698500000001</v>
      </c>
      <c r="D136">
        <v>1.272257</v>
      </c>
      <c r="E136">
        <v>1.0247599999999999</v>
      </c>
      <c r="F136">
        <v>0.88801600000000003</v>
      </c>
      <c r="G136">
        <v>0.86590469999999997</v>
      </c>
      <c r="H136">
        <v>0.77169779999999999</v>
      </c>
      <c r="I136" s="321">
        <v>0.4</v>
      </c>
      <c r="J136"/>
      <c r="K136" s="305" t="s">
        <v>208</v>
      </c>
      <c r="L136">
        <v>106600.86956521741</v>
      </c>
      <c r="M136">
        <v>106600.86956521741</v>
      </c>
      <c r="N136">
        <v>106600.86956521741</v>
      </c>
      <c r="O136">
        <v>106600.86956521741</v>
      </c>
      <c r="P136" s="159">
        <v>106600.86956521741</v>
      </c>
      <c r="Q136"/>
      <c r="R136" s="305" t="s">
        <v>208</v>
      </c>
      <c r="S136" s="235">
        <v>108337</v>
      </c>
      <c r="T136">
        <v>105960</v>
      </c>
      <c r="U136">
        <v>109282</v>
      </c>
      <c r="V136">
        <v>106334</v>
      </c>
      <c r="W136" s="159">
        <v>103092</v>
      </c>
      <c r="X136"/>
      <c r="Y136" s="148" t="s">
        <v>208</v>
      </c>
      <c r="Z136" s="146">
        <f t="shared" si="2"/>
        <v>6241553562.5999126</v>
      </c>
      <c r="AA136" s="147">
        <v>1.9264054205555287E-2</v>
      </c>
      <c r="AB136" s="147"/>
      <c r="AC136" s="147" t="s">
        <v>208</v>
      </c>
      <c r="AD136" s="146">
        <v>0</v>
      </c>
      <c r="AE136" s="146">
        <v>0</v>
      </c>
      <c r="AF136" s="146">
        <v>7.9272603852324153E-2</v>
      </c>
      <c r="AG136" s="146">
        <v>0.18795263567322645</v>
      </c>
      <c r="AH136" s="147">
        <v>0.79275065576432513</v>
      </c>
      <c r="AI136" s="147"/>
      <c r="AJ136" s="147" t="s">
        <v>208</v>
      </c>
      <c r="AK136" s="147">
        <v>0.52217475253832379</v>
      </c>
      <c r="AM136" s="377" t="s">
        <v>143</v>
      </c>
      <c r="AN136" s="147">
        <v>2.3653667003018089E-2</v>
      </c>
    </row>
    <row r="137" spans="2:40" ht="14.5">
      <c r="B137" s="235" t="s">
        <v>224</v>
      </c>
      <c r="C137" s="238">
        <v>1.3808277000000002</v>
      </c>
      <c r="D137">
        <v>1.3150740000000001</v>
      </c>
      <c r="E137">
        <v>1.0416529999999999</v>
      </c>
      <c r="F137">
        <v>0.92661260000000001</v>
      </c>
      <c r="G137">
        <v>0.94360290000000002</v>
      </c>
      <c r="H137">
        <v>0.76381239999999995</v>
      </c>
      <c r="I137" s="321">
        <v>0.4</v>
      </c>
      <c r="J137"/>
      <c r="K137" s="305" t="s">
        <v>209</v>
      </c>
      <c r="L137">
        <v>151574.95238095237</v>
      </c>
      <c r="M137">
        <v>151574.95238095237</v>
      </c>
      <c r="N137">
        <v>151574.95238095237</v>
      </c>
      <c r="O137">
        <v>151574.95238095237</v>
      </c>
      <c r="P137" s="159">
        <v>151574.95238095237</v>
      </c>
      <c r="Q137"/>
      <c r="R137" s="305" t="s">
        <v>209</v>
      </c>
      <c r="S137" s="235">
        <v>153828</v>
      </c>
      <c r="T137">
        <v>151641</v>
      </c>
      <c r="U137">
        <v>151512</v>
      </c>
      <c r="V137">
        <v>150750</v>
      </c>
      <c r="W137" s="159">
        <v>150144</v>
      </c>
      <c r="X137"/>
      <c r="Y137" s="148" t="s">
        <v>209</v>
      </c>
      <c r="Z137" s="146">
        <f t="shared" si="2"/>
        <v>8949921322.4591179</v>
      </c>
      <c r="AA137" s="147">
        <v>2.7623213958207157E-2</v>
      </c>
      <c r="AB137" s="147"/>
      <c r="AC137" s="147" t="s">
        <v>209</v>
      </c>
      <c r="AD137" s="146">
        <v>0</v>
      </c>
      <c r="AE137" s="146">
        <v>9.4824924123499563E-2</v>
      </c>
      <c r="AF137" s="146">
        <v>0.16544540970448945</v>
      </c>
      <c r="AG137" s="146">
        <v>0.21886451698232379</v>
      </c>
      <c r="AH137" s="147">
        <v>0.52392705953611807</v>
      </c>
      <c r="AI137" s="147"/>
      <c r="AJ137" s="147" t="s">
        <v>209</v>
      </c>
      <c r="AK137" s="147">
        <v>0.61677401881021265</v>
      </c>
      <c r="AM137" s="377" t="s">
        <v>144</v>
      </c>
      <c r="AN137" s="147">
        <v>2.3653667003018096E-2</v>
      </c>
    </row>
    <row r="138" spans="2:40" ht="14.5">
      <c r="B138" s="235" t="s">
        <v>210</v>
      </c>
      <c r="C138" s="238">
        <v>1.38535425</v>
      </c>
      <c r="D138">
        <v>1.319385</v>
      </c>
      <c r="E138">
        <v>1.0195620000000001</v>
      </c>
      <c r="F138">
        <v>0.97535749999999999</v>
      </c>
      <c r="G138">
        <v>0.92508570000000001</v>
      </c>
      <c r="H138">
        <v>0.80184639999999996</v>
      </c>
      <c r="I138" s="321">
        <v>0.4</v>
      </c>
      <c r="J138"/>
      <c r="K138" s="305" t="s">
        <v>224</v>
      </c>
      <c r="L138">
        <v>377434.00000000006</v>
      </c>
      <c r="M138">
        <v>377434.00000000006</v>
      </c>
      <c r="N138">
        <v>377434.00000000006</v>
      </c>
      <c r="O138">
        <v>377434.00000000006</v>
      </c>
      <c r="P138" s="159">
        <v>377434.00000000006</v>
      </c>
      <c r="Q138"/>
      <c r="R138" s="305" t="s">
        <v>224</v>
      </c>
      <c r="S138" s="235">
        <v>378685</v>
      </c>
      <c r="T138">
        <v>376566</v>
      </c>
      <c r="U138">
        <v>381916</v>
      </c>
      <c r="V138">
        <v>374264</v>
      </c>
      <c r="W138" s="159">
        <v>375739</v>
      </c>
      <c r="X138"/>
      <c r="Y138" s="148" t="s">
        <v>224</v>
      </c>
      <c r="Z138" s="146">
        <f t="shared" si="2"/>
        <v>30473227136.754551</v>
      </c>
      <c r="AA138" s="147">
        <v>9.4053170175168371E-2</v>
      </c>
      <c r="AB138" s="147"/>
      <c r="AC138" s="147" t="s">
        <v>224</v>
      </c>
      <c r="AD138" s="146">
        <v>0</v>
      </c>
      <c r="AE138" s="146">
        <v>3.8920837288600497E-2</v>
      </c>
      <c r="AF138" s="146">
        <v>0.17537385678212911</v>
      </c>
      <c r="AG138" s="146">
        <v>0.21369064746266811</v>
      </c>
      <c r="AH138" s="147">
        <v>0.58799584259963911</v>
      </c>
      <c r="AI138" s="147"/>
      <c r="AJ138" s="147" t="s">
        <v>224</v>
      </c>
      <c r="AK138" s="147">
        <v>0.44747610250568148</v>
      </c>
      <c r="AM138" s="377" t="s">
        <v>61</v>
      </c>
      <c r="AN138" s="147">
        <v>3.4410450244164607E-2</v>
      </c>
    </row>
    <row r="139" spans="2:40" ht="14.5">
      <c r="B139" s="235" t="s">
        <v>211</v>
      </c>
      <c r="C139" s="238">
        <v>1.31338515</v>
      </c>
      <c r="D139">
        <v>1.2508429999999999</v>
      </c>
      <c r="E139">
        <v>0.99303520000000001</v>
      </c>
      <c r="F139">
        <v>0.96199730000000006</v>
      </c>
      <c r="G139">
        <v>0.84333279999999999</v>
      </c>
      <c r="H139">
        <v>0.73060890000000001</v>
      </c>
      <c r="I139" s="321">
        <v>0.4</v>
      </c>
      <c r="J139"/>
      <c r="K139" s="305" t="s">
        <v>210</v>
      </c>
      <c r="L139">
        <v>308882.66666666669</v>
      </c>
      <c r="M139">
        <v>308882.66666666669</v>
      </c>
      <c r="N139">
        <v>308882.66666666669</v>
      </c>
      <c r="O139">
        <v>308882.66666666669</v>
      </c>
      <c r="P139" s="159">
        <v>308882.66666666669</v>
      </c>
      <c r="Q139"/>
      <c r="R139" s="305" t="s">
        <v>210</v>
      </c>
      <c r="S139" s="235">
        <v>308960</v>
      </c>
      <c r="T139">
        <v>314631</v>
      </c>
      <c r="U139">
        <v>303226</v>
      </c>
      <c r="V139">
        <v>312704</v>
      </c>
      <c r="W139" s="159">
        <v>304892</v>
      </c>
      <c r="X139"/>
      <c r="Y139" s="148" t="s">
        <v>210</v>
      </c>
      <c r="Z139" s="146">
        <f t="shared" si="2"/>
        <v>21293151789.524708</v>
      </c>
      <c r="AA139" s="147">
        <v>6.5719604288656502E-2</v>
      </c>
      <c r="AB139" s="147"/>
      <c r="AC139" s="147" t="s">
        <v>210</v>
      </c>
      <c r="AD139" s="146">
        <v>0</v>
      </c>
      <c r="AE139" s="146">
        <v>9.2928632076719739E-2</v>
      </c>
      <c r="AF139" s="146">
        <v>0.12117609988767207</v>
      </c>
      <c r="AG139" s="146">
        <v>0.19651422620006878</v>
      </c>
      <c r="AH139" s="147">
        <v>0.6134788705631069</v>
      </c>
      <c r="AI139" s="147"/>
      <c r="AJ139" s="147" t="s">
        <v>210</v>
      </c>
      <c r="AK139" s="147">
        <v>0.51460108810132865</v>
      </c>
      <c r="AM139" s="377" t="s">
        <v>63</v>
      </c>
      <c r="AN139" s="147">
        <v>0.39430783695097599</v>
      </c>
    </row>
    <row r="140" spans="2:40" ht="14.5">
      <c r="B140" s="235" t="s">
        <v>212</v>
      </c>
      <c r="C140" s="238">
        <v>1.2876055500000001</v>
      </c>
      <c r="D140">
        <v>1.226291</v>
      </c>
      <c r="E140">
        <v>1.0357000000000001</v>
      </c>
      <c r="F140">
        <v>0.9503627</v>
      </c>
      <c r="G140">
        <v>0.84354439999999997</v>
      </c>
      <c r="H140">
        <v>0.80898110000000001</v>
      </c>
      <c r="I140" s="321">
        <v>0.4</v>
      </c>
      <c r="J140"/>
      <c r="K140" s="305" t="s">
        <v>211</v>
      </c>
      <c r="L140">
        <v>70794.959999999992</v>
      </c>
      <c r="M140">
        <v>70794.959999999992</v>
      </c>
      <c r="N140">
        <v>70794.959999999992</v>
      </c>
      <c r="O140">
        <v>70794.959999999992</v>
      </c>
      <c r="P140" s="159">
        <v>70794.959999999992</v>
      </c>
      <c r="Q140"/>
      <c r="R140" s="305" t="s">
        <v>211</v>
      </c>
      <c r="S140" s="235">
        <v>71706</v>
      </c>
      <c r="T140">
        <v>69894</v>
      </c>
      <c r="U140">
        <v>71908</v>
      </c>
      <c r="V140">
        <v>71194</v>
      </c>
      <c r="W140" s="159">
        <v>69273</v>
      </c>
      <c r="X140"/>
      <c r="Y140" s="148" t="s">
        <v>211</v>
      </c>
      <c r="Z140" s="146">
        <f t="shared" si="2"/>
        <v>4698591277.652709</v>
      </c>
      <c r="AA140" s="147">
        <v>1.4501824931026881E-2</v>
      </c>
      <c r="AB140" s="147"/>
      <c r="AC140" s="147" t="s">
        <v>211</v>
      </c>
      <c r="AD140" s="146">
        <v>1.4551186183501999E-2</v>
      </c>
      <c r="AE140" s="146">
        <v>7.6777749194459094E-2</v>
      </c>
      <c r="AF140" s="146">
        <v>0.13965092500948337</v>
      </c>
      <c r="AG140" s="146">
        <v>0.2253552446271839</v>
      </c>
      <c r="AH140" s="147">
        <v>0.54366489498537163</v>
      </c>
      <c r="AI140" s="147"/>
      <c r="AJ140" s="147" t="s">
        <v>211</v>
      </c>
      <c r="AK140" s="147">
        <v>0.45549428239453948</v>
      </c>
      <c r="AM140" s="377" t="s">
        <v>65</v>
      </c>
      <c r="AN140" s="147">
        <v>0.41291248779569101</v>
      </c>
    </row>
    <row r="141" spans="2:40" ht="14.5">
      <c r="B141" s="235" t="s">
        <v>213</v>
      </c>
      <c r="C141" s="238">
        <v>1.3318137000000001</v>
      </c>
      <c r="D141">
        <v>1.268394</v>
      </c>
      <c r="E141">
        <v>0.97108070000000002</v>
      </c>
      <c r="F141">
        <v>0.88968630000000004</v>
      </c>
      <c r="G141">
        <v>0.89538589999999996</v>
      </c>
      <c r="H141">
        <v>0.73243670000000005</v>
      </c>
      <c r="I141" s="321">
        <v>0.4</v>
      </c>
      <c r="J141"/>
      <c r="K141" s="305" t="s">
        <v>212</v>
      </c>
      <c r="L141">
        <v>123744</v>
      </c>
      <c r="M141">
        <v>123744</v>
      </c>
      <c r="N141">
        <v>123744</v>
      </c>
      <c r="O141">
        <v>123744</v>
      </c>
      <c r="P141" s="159">
        <v>123744</v>
      </c>
      <c r="Q141"/>
      <c r="R141" s="305" t="s">
        <v>212</v>
      </c>
      <c r="S141" s="235">
        <v>124947</v>
      </c>
      <c r="T141">
        <v>123395</v>
      </c>
      <c r="U141">
        <v>123598</v>
      </c>
      <c r="V141">
        <v>124087</v>
      </c>
      <c r="W141" s="159">
        <v>122692</v>
      </c>
      <c r="X141"/>
      <c r="Y141" s="148" t="s">
        <v>212</v>
      </c>
      <c r="Z141" s="146">
        <f t="shared" si="2"/>
        <v>7580845931.5982542</v>
      </c>
      <c r="AA141" s="147">
        <v>2.3397672628389675E-2</v>
      </c>
      <c r="AB141" s="147"/>
      <c r="AC141" s="147" t="s">
        <v>212</v>
      </c>
      <c r="AD141" s="146">
        <v>0</v>
      </c>
      <c r="AE141" s="146">
        <v>2.5567613311535599E-2</v>
      </c>
      <c r="AF141" s="146">
        <v>0.10386609823925054</v>
      </c>
      <c r="AG141" s="146">
        <v>0.37944975718063895</v>
      </c>
      <c r="AH141" s="147">
        <v>0.54307869898384886</v>
      </c>
      <c r="AI141" s="147"/>
      <c r="AJ141" s="147" t="s">
        <v>212</v>
      </c>
      <c r="AK141" s="147">
        <v>0.48290622219771928</v>
      </c>
      <c r="AM141" s="377" t="s">
        <v>342</v>
      </c>
      <c r="AN141" s="147">
        <v>0.21557417499712458</v>
      </c>
    </row>
    <row r="142" spans="2:40" ht="14.5">
      <c r="B142" s="235" t="s">
        <v>214</v>
      </c>
      <c r="C142" s="238">
        <v>1.3813726500000001</v>
      </c>
      <c r="D142">
        <v>1.315593</v>
      </c>
      <c r="E142">
        <v>1.10561</v>
      </c>
      <c r="F142">
        <v>1.0072989999999999</v>
      </c>
      <c r="G142">
        <v>0.87951310000000005</v>
      </c>
      <c r="H142">
        <v>0.84548060000000003</v>
      </c>
      <c r="I142" s="321">
        <v>0.4</v>
      </c>
      <c r="J142"/>
      <c r="K142" s="305" t="s">
        <v>213</v>
      </c>
      <c r="L142">
        <v>459668.83333333337</v>
      </c>
      <c r="M142">
        <v>459668.83333333337</v>
      </c>
      <c r="N142">
        <v>459668.83333333337</v>
      </c>
      <c r="O142">
        <v>459668.83333333337</v>
      </c>
      <c r="P142" s="159">
        <v>459668.83333333337</v>
      </c>
      <c r="Q142"/>
      <c r="R142" s="305" t="s">
        <v>213</v>
      </c>
      <c r="S142" s="235">
        <v>459716</v>
      </c>
      <c r="T142">
        <v>461923</v>
      </c>
      <c r="U142">
        <v>461486</v>
      </c>
      <c r="V142">
        <v>457323</v>
      </c>
      <c r="W142" s="159">
        <v>457896</v>
      </c>
      <c r="X142"/>
      <c r="Y142" s="148" t="s">
        <v>213</v>
      </c>
      <c r="Z142" s="146">
        <f t="shared" si="2"/>
        <v>38917703928.66819</v>
      </c>
      <c r="AA142" s="147">
        <v>0.12011637015021046</v>
      </c>
      <c r="AB142" s="147"/>
      <c r="AC142" s="147" t="s">
        <v>213</v>
      </c>
      <c r="AD142" s="146">
        <v>1.244918669094993E-2</v>
      </c>
      <c r="AE142" s="146">
        <v>0.11410765255771124</v>
      </c>
      <c r="AF142" s="146">
        <v>0.16218540953793234</v>
      </c>
      <c r="AG142" s="146">
        <v>0.19452642173628495</v>
      </c>
      <c r="AH142" s="147">
        <v>0.51673132947712153</v>
      </c>
      <c r="AI142" s="147"/>
      <c r="AJ142" s="147" t="s">
        <v>213</v>
      </c>
      <c r="AK142" s="147">
        <v>0.46674161316677126</v>
      </c>
      <c r="AM142" s="377" t="s">
        <v>69</v>
      </c>
      <c r="AN142" s="147">
        <v>0.30335869253874587</v>
      </c>
    </row>
    <row r="143" spans="2:40" ht="14.5">
      <c r="B143" s="235" t="s">
        <v>215</v>
      </c>
      <c r="C143" s="238">
        <v>1.3521406499999999</v>
      </c>
      <c r="D143">
        <v>1.2877529999999999</v>
      </c>
      <c r="E143">
        <v>1.029058</v>
      </c>
      <c r="F143">
        <v>1.162161</v>
      </c>
      <c r="G143">
        <v>0.97257950000000004</v>
      </c>
      <c r="H143">
        <v>0.84445570000000003</v>
      </c>
      <c r="I143" s="321">
        <v>0.4</v>
      </c>
      <c r="J143"/>
      <c r="K143" s="305" t="s">
        <v>214</v>
      </c>
      <c r="L143">
        <v>106081.2</v>
      </c>
      <c r="M143">
        <v>106081.2</v>
      </c>
      <c r="N143">
        <v>106081.2</v>
      </c>
      <c r="O143">
        <v>106081.2</v>
      </c>
      <c r="P143" s="159">
        <v>106081.2</v>
      </c>
      <c r="Q143"/>
      <c r="R143" s="305" t="s">
        <v>214</v>
      </c>
      <c r="S143" s="235">
        <v>109129</v>
      </c>
      <c r="T143">
        <v>103453</v>
      </c>
      <c r="U143">
        <v>106291</v>
      </c>
      <c r="V143">
        <v>107329</v>
      </c>
      <c r="W143" s="159">
        <v>104204</v>
      </c>
      <c r="X143"/>
      <c r="Y143" s="148" t="s">
        <v>214</v>
      </c>
      <c r="Z143" s="146">
        <f t="shared" si="2"/>
        <v>4532531971.6606874</v>
      </c>
      <c r="AA143" s="147">
        <v>1.3989296208829282E-2</v>
      </c>
      <c r="AB143" s="147"/>
      <c r="AC143" s="147" t="s">
        <v>214</v>
      </c>
      <c r="AD143" s="146">
        <v>0</v>
      </c>
      <c r="AE143" s="146">
        <v>0.12450006105270595</v>
      </c>
      <c r="AF143" s="146">
        <v>0.21807217498801601</v>
      </c>
      <c r="AG143" s="146">
        <v>0.32615004122272379</v>
      </c>
      <c r="AH143" s="147">
        <v>0.3491179720205268</v>
      </c>
      <c r="AI143" s="147"/>
      <c r="AJ143" s="147" t="s">
        <v>214</v>
      </c>
      <c r="AK143" s="147">
        <v>0.56937809388166938</v>
      </c>
      <c r="AM143" s="377" t="s">
        <v>145</v>
      </c>
      <c r="AN143" s="147">
        <v>0.33569393048980012</v>
      </c>
    </row>
    <row r="144" spans="2:40" ht="14.5">
      <c r="B144" s="235" t="s">
        <v>216</v>
      </c>
      <c r="C144" s="238">
        <v>1.7099375999999999</v>
      </c>
      <c r="D144">
        <v>1.628512</v>
      </c>
      <c r="E144">
        <v>1.0156000000000001</v>
      </c>
      <c r="F144">
        <v>0.93738960000000005</v>
      </c>
      <c r="G144">
        <v>0.89530120000000002</v>
      </c>
      <c r="H144">
        <v>0.79004099999999999</v>
      </c>
      <c r="I144" s="321">
        <v>0.4</v>
      </c>
      <c r="J144"/>
      <c r="K144" s="305" t="s">
        <v>215</v>
      </c>
      <c r="L144">
        <v>24303</v>
      </c>
      <c r="M144">
        <v>24303</v>
      </c>
      <c r="N144">
        <v>24303</v>
      </c>
      <c r="O144">
        <v>24303</v>
      </c>
      <c r="P144" s="159">
        <v>24303</v>
      </c>
      <c r="Q144"/>
      <c r="R144" s="305" t="s">
        <v>215</v>
      </c>
      <c r="S144" s="235">
        <v>25308</v>
      </c>
      <c r="T144">
        <v>26627</v>
      </c>
      <c r="U144">
        <v>20978</v>
      </c>
      <c r="V144">
        <v>24814</v>
      </c>
      <c r="W144" s="159">
        <v>23788</v>
      </c>
      <c r="X144"/>
      <c r="Y144" s="148" t="s">
        <v>215</v>
      </c>
      <c r="Z144" s="146">
        <f t="shared" si="2"/>
        <v>529712599.10336697</v>
      </c>
      <c r="AA144" s="147">
        <v>1.6349154293313795E-3</v>
      </c>
      <c r="AB144" s="147"/>
      <c r="AC144" s="147" t="s">
        <v>215</v>
      </c>
      <c r="AD144" s="146">
        <v>0</v>
      </c>
      <c r="AE144" s="146">
        <v>8.0420250471013366E-2</v>
      </c>
      <c r="AF144" s="146">
        <v>0</v>
      </c>
      <c r="AG144" s="146">
        <v>0.31702104907144185</v>
      </c>
      <c r="AH144" s="147">
        <v>1.0236058768235512</v>
      </c>
      <c r="AI144" s="147"/>
      <c r="AJ144" s="147" t="s">
        <v>215</v>
      </c>
      <c r="AK144" s="147">
        <v>1</v>
      </c>
      <c r="AM144" s="377" t="s">
        <v>73</v>
      </c>
      <c r="AN144" s="147">
        <v>0.17874659131014073</v>
      </c>
    </row>
    <row r="145" spans="1:40" ht="14.5">
      <c r="B145" s="235" t="s">
        <v>217</v>
      </c>
      <c r="C145" s="238">
        <v>1.8231864</v>
      </c>
      <c r="D145">
        <v>1.7363679999999999</v>
      </c>
      <c r="E145">
        <v>1.103534</v>
      </c>
      <c r="F145">
        <v>1.0514110000000001</v>
      </c>
      <c r="G145">
        <v>0.95128040000000003</v>
      </c>
      <c r="H145">
        <v>0.78609790000000002</v>
      </c>
      <c r="I145" s="321">
        <v>0.4</v>
      </c>
      <c r="J145"/>
      <c r="K145" s="305" t="s">
        <v>216</v>
      </c>
      <c r="L145">
        <v>414818.85714285716</v>
      </c>
      <c r="M145">
        <v>414818.85714285716</v>
      </c>
      <c r="N145">
        <v>414818.85714285716</v>
      </c>
      <c r="O145">
        <v>414818.85714285716</v>
      </c>
      <c r="P145" s="159">
        <v>414818.85714285716</v>
      </c>
      <c r="Q145"/>
      <c r="R145" s="305" t="s">
        <v>216</v>
      </c>
      <c r="S145" s="235">
        <v>415920</v>
      </c>
      <c r="T145">
        <v>414040</v>
      </c>
      <c r="U145">
        <v>417256</v>
      </c>
      <c r="V145">
        <v>417888</v>
      </c>
      <c r="W145" s="159">
        <v>408991</v>
      </c>
      <c r="X145"/>
      <c r="Y145" s="148" t="s">
        <v>216</v>
      </c>
      <c r="Z145" s="146">
        <f t="shared" si="2"/>
        <v>21978827466.803741</v>
      </c>
      <c r="AA145" s="147">
        <v>6.7835887243221427E-2</v>
      </c>
      <c r="AB145" s="147"/>
      <c r="AC145" s="147" t="s">
        <v>216</v>
      </c>
      <c r="AD145" s="146">
        <v>1.0705634752123086E-2</v>
      </c>
      <c r="AE145" s="146">
        <v>0.14880453869549043</v>
      </c>
      <c r="AF145" s="146">
        <v>0.19895195625728385</v>
      </c>
      <c r="AG145" s="146">
        <v>0.19438416035093498</v>
      </c>
      <c r="AH145" s="147">
        <v>0.44715370994416764</v>
      </c>
      <c r="AI145" s="147"/>
      <c r="AJ145" s="147" t="s">
        <v>216</v>
      </c>
      <c r="AK145" s="147">
        <v>0.44594602841177938</v>
      </c>
      <c r="AM145" s="377" t="s">
        <v>75</v>
      </c>
      <c r="AN145" s="147">
        <v>0.59623440839028585</v>
      </c>
    </row>
    <row r="146" spans="1:40" ht="14.5">
      <c r="B146" s="235" t="s">
        <v>225</v>
      </c>
      <c r="C146" s="238">
        <v>1.6759585500000003</v>
      </c>
      <c r="D146">
        <v>1.5961510000000001</v>
      </c>
      <c r="E146">
        <v>1.0114369999999999</v>
      </c>
      <c r="F146">
        <v>0.95173430000000003</v>
      </c>
      <c r="G146">
        <v>0.99024350000000005</v>
      </c>
      <c r="H146">
        <v>0.74862870000000004</v>
      </c>
      <c r="I146" s="321">
        <v>0.4</v>
      </c>
      <c r="J146"/>
      <c r="K146" s="305" t="s">
        <v>217</v>
      </c>
      <c r="L146">
        <v>302971.18518518517</v>
      </c>
      <c r="M146">
        <v>302971.18518518517</v>
      </c>
      <c r="N146">
        <v>302971.18518518517</v>
      </c>
      <c r="O146">
        <v>302971.18518518517</v>
      </c>
      <c r="P146" s="159">
        <v>302971.18518518517</v>
      </c>
      <c r="Q146"/>
      <c r="R146" s="305" t="s">
        <v>217</v>
      </c>
      <c r="S146" s="235">
        <v>303781</v>
      </c>
      <c r="T146">
        <v>313221</v>
      </c>
      <c r="U146">
        <v>293665</v>
      </c>
      <c r="V146">
        <v>301812</v>
      </c>
      <c r="W146" s="159">
        <v>302376</v>
      </c>
      <c r="X146"/>
      <c r="Y146" s="148" t="s">
        <v>217</v>
      </c>
      <c r="Z146" s="146">
        <f t="shared" si="2"/>
        <v>10433887655.762686</v>
      </c>
      <c r="AA146" s="147">
        <v>3.2203356962230513E-2</v>
      </c>
      <c r="AB146" s="147"/>
      <c r="AC146" s="147" t="s">
        <v>217</v>
      </c>
      <c r="AD146" s="146">
        <v>0</v>
      </c>
      <c r="AE146" s="146">
        <v>5.0734048828990345E-2</v>
      </c>
      <c r="AF146" s="146">
        <v>0.1864061191990331</v>
      </c>
      <c r="AG146" s="146">
        <v>0.1694132527864855</v>
      </c>
      <c r="AH146" s="147">
        <v>0.7060114338851442</v>
      </c>
      <c r="AI146" s="147"/>
      <c r="AJ146" s="147" t="s">
        <v>217</v>
      </c>
      <c r="AK146" s="147">
        <v>0.66196441073103873</v>
      </c>
      <c r="AM146" s="377" t="s">
        <v>146</v>
      </c>
      <c r="AN146" s="147">
        <v>0.36362302305060906</v>
      </c>
    </row>
    <row r="147" spans="1:40" ht="14.5">
      <c r="B147" s="235" t="s">
        <v>219</v>
      </c>
      <c r="C147" s="238">
        <v>1.43691345</v>
      </c>
      <c r="D147">
        <v>1.3684890000000001</v>
      </c>
      <c r="E147">
        <v>1.1056969999999999</v>
      </c>
      <c r="F147">
        <v>1.10351</v>
      </c>
      <c r="G147">
        <v>1.1169480000000001</v>
      </c>
      <c r="H147">
        <v>1.0205550000000001</v>
      </c>
      <c r="I147" s="321">
        <v>0.4</v>
      </c>
      <c r="J147"/>
      <c r="K147" s="305" t="s">
        <v>225</v>
      </c>
      <c r="L147">
        <v>46609.440000000002</v>
      </c>
      <c r="M147">
        <v>46609.440000000002</v>
      </c>
      <c r="N147">
        <v>46609.440000000002</v>
      </c>
      <c r="O147">
        <v>46609.440000000002</v>
      </c>
      <c r="P147" s="159">
        <v>46609.440000000002</v>
      </c>
      <c r="Q147"/>
      <c r="R147" s="305" t="s">
        <v>225</v>
      </c>
      <c r="S147" s="235">
        <v>49421</v>
      </c>
      <c r="T147">
        <v>46839</v>
      </c>
      <c r="U147">
        <v>44443</v>
      </c>
      <c r="V147">
        <v>47599</v>
      </c>
      <c r="W147" s="159">
        <v>44746</v>
      </c>
      <c r="X147"/>
      <c r="Y147" s="148" t="s">
        <v>225</v>
      </c>
      <c r="Z147" s="146">
        <f t="shared" si="2"/>
        <v>1368080252.1364224</v>
      </c>
      <c r="AA147" s="147">
        <v>4.2224699140013039E-3</v>
      </c>
      <c r="AB147" s="147"/>
      <c r="AC147" s="147" t="s">
        <v>225</v>
      </c>
      <c r="AD147" s="146">
        <v>2.4979735435307408E-2</v>
      </c>
      <c r="AE147" s="146">
        <v>0</v>
      </c>
      <c r="AF147" s="146">
        <v>0</v>
      </c>
      <c r="AG147" s="146">
        <v>0.25020766218427826</v>
      </c>
      <c r="AH147" s="147">
        <v>0.85667483239149711</v>
      </c>
      <c r="AI147" s="147"/>
      <c r="AJ147" s="147" t="s">
        <v>225</v>
      </c>
      <c r="AK147" s="147">
        <v>0.61695662504370841</v>
      </c>
      <c r="AM147" s="377" t="s">
        <v>83</v>
      </c>
      <c r="AN147" s="147">
        <v>0</v>
      </c>
    </row>
    <row r="148" spans="1:40" ht="14.5">
      <c r="B148" s="235" t="s">
        <v>220</v>
      </c>
      <c r="C148" s="238">
        <v>1.6066407000000003</v>
      </c>
      <c r="D148">
        <v>1.5301340000000001</v>
      </c>
      <c r="E148">
        <v>1.1810259999999999</v>
      </c>
      <c r="F148">
        <v>1.0621039999999999</v>
      </c>
      <c r="G148">
        <v>1.0143819999999999</v>
      </c>
      <c r="H148">
        <v>0.84362539999999997</v>
      </c>
      <c r="I148" s="321">
        <v>0.4</v>
      </c>
      <c r="J148"/>
      <c r="K148" s="305" t="s">
        <v>219</v>
      </c>
      <c r="L148">
        <v>151817.23076923078</v>
      </c>
      <c r="M148">
        <v>151817.23076923078</v>
      </c>
      <c r="N148">
        <v>151817.23076923078</v>
      </c>
      <c r="O148">
        <v>151817.23076923078</v>
      </c>
      <c r="P148" s="159">
        <v>151817.23076923078</v>
      </c>
      <c r="Q148"/>
      <c r="R148" s="305" t="s">
        <v>219</v>
      </c>
      <c r="S148" s="235">
        <v>152031</v>
      </c>
      <c r="T148">
        <v>153648</v>
      </c>
      <c r="U148">
        <v>152372</v>
      </c>
      <c r="V148">
        <v>151398</v>
      </c>
      <c r="W148" s="159">
        <v>149637</v>
      </c>
      <c r="X148"/>
      <c r="Y148" s="148" t="s">
        <v>219</v>
      </c>
      <c r="Z148" s="146">
        <f t="shared" si="2"/>
        <v>3480210619.6380763</v>
      </c>
      <c r="AA148" s="147">
        <v>1.0741390801352087E-2</v>
      </c>
      <c r="AB148" s="147"/>
      <c r="AC148" s="147" t="s">
        <v>219</v>
      </c>
      <c r="AD148" s="146">
        <v>0</v>
      </c>
      <c r="AE148" s="146">
        <v>0.15266394136229702</v>
      </c>
      <c r="AF148" s="146">
        <v>5.3028646306255027E-2</v>
      </c>
      <c r="AG148" s="146">
        <v>0.23860286012736859</v>
      </c>
      <c r="AH148" s="147">
        <v>0.56278938208545537</v>
      </c>
      <c r="AI148" s="147"/>
      <c r="AJ148" s="147" t="s">
        <v>219</v>
      </c>
      <c r="AK148" s="147">
        <v>0.85812657913613932</v>
      </c>
      <c r="AM148" s="377" t="s">
        <v>85</v>
      </c>
      <c r="AN148" s="147">
        <v>5.6565132976188419E-2</v>
      </c>
    </row>
    <row r="149" spans="1:40" ht="14.5">
      <c r="B149" s="236" t="s">
        <v>221</v>
      </c>
      <c r="C149" s="238">
        <v>1.4507419500000001</v>
      </c>
      <c r="D149" s="237">
        <v>1.381659</v>
      </c>
      <c r="E149" s="237">
        <v>1.130161</v>
      </c>
      <c r="F149" s="237">
        <v>1.1174850000000001</v>
      </c>
      <c r="G149" s="237">
        <v>0.95978660000000005</v>
      </c>
      <c r="H149" s="237">
        <v>0.86770630000000004</v>
      </c>
      <c r="I149" s="322">
        <v>0.4</v>
      </c>
      <c r="J149"/>
      <c r="K149" s="305" t="s">
        <v>220</v>
      </c>
      <c r="L149">
        <v>388003.4615384615</v>
      </c>
      <c r="M149">
        <v>388003.4615384615</v>
      </c>
      <c r="N149">
        <v>388003.4615384615</v>
      </c>
      <c r="O149">
        <v>388003.4615384615</v>
      </c>
      <c r="P149" s="159">
        <v>388003.4615384615</v>
      </c>
      <c r="Q149"/>
      <c r="R149" s="305" t="s">
        <v>220</v>
      </c>
      <c r="S149" s="235">
        <v>392688</v>
      </c>
      <c r="T149">
        <v>388549</v>
      </c>
      <c r="U149">
        <v>383758</v>
      </c>
      <c r="V149">
        <v>387021</v>
      </c>
      <c r="W149" s="159">
        <v>388001</v>
      </c>
      <c r="X149"/>
      <c r="Y149" s="148" t="s">
        <v>220</v>
      </c>
      <c r="Z149" s="146">
        <f t="shared" si="2"/>
        <v>14645184647.411604</v>
      </c>
      <c r="AA149" s="147">
        <v>4.520118718336915E-2</v>
      </c>
      <c r="AB149" s="147"/>
      <c r="AC149" s="147" t="s">
        <v>220</v>
      </c>
      <c r="AD149" s="146">
        <v>7.2459835073755183E-2</v>
      </c>
      <c r="AE149" s="146">
        <v>7.5005070887510225E-2</v>
      </c>
      <c r="AF149" s="146">
        <v>0.12246228308841529</v>
      </c>
      <c r="AG149" s="146">
        <v>0.14967861064676546</v>
      </c>
      <c r="AH149" s="147">
        <v>0.58039420030355382</v>
      </c>
      <c r="AI149" s="147"/>
      <c r="AJ149" s="147" t="s">
        <v>220</v>
      </c>
      <c r="AK149" s="147">
        <v>0.73642053397092799</v>
      </c>
      <c r="AM149" s="377" t="s">
        <v>88</v>
      </c>
      <c r="AN149" s="147">
        <v>0.17121084511025483</v>
      </c>
    </row>
    <row r="150" spans="1:40" ht="14.5">
      <c r="B150"/>
      <c r="C150"/>
      <c r="D150"/>
      <c r="E150"/>
      <c r="F150"/>
      <c r="G150"/>
      <c r="H150"/>
      <c r="I150"/>
      <c r="J150"/>
      <c r="K150" s="307" t="s">
        <v>221</v>
      </c>
      <c r="L150" s="237">
        <v>132296.88</v>
      </c>
      <c r="M150" s="237">
        <v>132296.88</v>
      </c>
      <c r="N150" s="237">
        <v>132296.88</v>
      </c>
      <c r="O150" s="237">
        <v>132296.88</v>
      </c>
      <c r="P150" s="161">
        <v>132296.88</v>
      </c>
      <c r="Q150"/>
      <c r="R150" s="307" t="s">
        <v>221</v>
      </c>
      <c r="S150" s="236">
        <v>136290</v>
      </c>
      <c r="T150" s="237">
        <v>128773</v>
      </c>
      <c r="U150" s="237">
        <v>132372</v>
      </c>
      <c r="V150" s="237">
        <v>132451</v>
      </c>
      <c r="W150" s="161">
        <v>131598</v>
      </c>
      <c r="X150"/>
      <c r="Y150" s="149" t="s">
        <v>221</v>
      </c>
      <c r="Z150" s="146">
        <f t="shared" si="2"/>
        <v>4694969751.1882076</v>
      </c>
      <c r="AA150" s="150">
        <v>1.4490647380210516E-2</v>
      </c>
      <c r="AB150" s="147"/>
      <c r="AC150" s="150" t="s">
        <v>221</v>
      </c>
      <c r="AD150" s="144">
        <v>0</v>
      </c>
      <c r="AE150" s="144">
        <v>5.6325106587414769E-2</v>
      </c>
      <c r="AF150" s="144">
        <v>0.20585609796300577</v>
      </c>
      <c r="AG150" s="144">
        <v>0.32655571590318155</v>
      </c>
      <c r="AH150" s="150">
        <v>0.42052216406242077</v>
      </c>
      <c r="AI150" s="147"/>
      <c r="AJ150" s="150" t="s">
        <v>221</v>
      </c>
      <c r="AK150" s="150">
        <v>0.6173984338088172</v>
      </c>
      <c r="AM150" s="377" t="s">
        <v>147</v>
      </c>
      <c r="AN150" s="150">
        <v>0</v>
      </c>
    </row>
    <row r="151" spans="1:40" ht="14">
      <c r="B151"/>
      <c r="C151"/>
      <c r="D151"/>
      <c r="E151"/>
      <c r="F151"/>
      <c r="G151"/>
      <c r="H151"/>
      <c r="I151"/>
      <c r="J151"/>
      <c r="K151"/>
      <c r="L151"/>
      <c r="M151"/>
      <c r="N151"/>
      <c r="O151"/>
      <c r="P151"/>
      <c r="Q151"/>
      <c r="R151"/>
      <c r="S151"/>
      <c r="T151"/>
      <c r="U151"/>
      <c r="V151"/>
      <c r="W151"/>
      <c r="X151"/>
      <c r="Y151" s="149" t="s">
        <v>865</v>
      </c>
      <c r="Z151" s="329">
        <v>324000000000</v>
      </c>
      <c r="AA151" s="145"/>
    </row>
    <row r="153" spans="1:40" s="172" customFormat="1" ht="56.5" customHeight="1">
      <c r="A153" s="146"/>
      <c r="B153" s="146"/>
      <c r="C153" s="146"/>
      <c r="D153" s="146"/>
      <c r="E153" s="146"/>
      <c r="F153" s="146"/>
      <c r="G153" s="146"/>
      <c r="H153" s="146"/>
      <c r="I153" s="146"/>
      <c r="J153" s="146"/>
      <c r="K153" s="146"/>
      <c r="L153" s="143" t="s">
        <v>186</v>
      </c>
      <c r="M153" s="143" t="s">
        <v>187</v>
      </c>
      <c r="N153" s="143" t="s">
        <v>188</v>
      </c>
      <c r="O153" s="143" t="s">
        <v>189</v>
      </c>
      <c r="P153" s="143" t="s">
        <v>190</v>
      </c>
      <c r="Q153" s="143" t="s">
        <v>1365</v>
      </c>
      <c r="R153" s="146"/>
      <c r="S153" s="146"/>
      <c r="T153" s="146"/>
      <c r="U153" s="146"/>
      <c r="V153" s="146"/>
      <c r="W153" s="146"/>
      <c r="X153" s="146"/>
      <c r="Y153" s="146"/>
      <c r="Z153" s="146"/>
      <c r="AA153" s="146"/>
    </row>
    <row r="154" spans="1:40">
      <c r="K154" s="143" t="s">
        <v>204</v>
      </c>
      <c r="L154" s="355">
        <v>2.2999999999999998</v>
      </c>
      <c r="M154" s="356">
        <v>2.2999999999999998</v>
      </c>
      <c r="N154" s="356">
        <v>2.2999999999999998</v>
      </c>
      <c r="O154" s="356">
        <v>2.2999999999999998</v>
      </c>
      <c r="P154" s="356">
        <v>2.2999999999999998</v>
      </c>
      <c r="Q154" s="357">
        <v>2.2999999999999998</v>
      </c>
    </row>
    <row r="155" spans="1:40">
      <c r="K155" s="143" t="s">
        <v>223</v>
      </c>
      <c r="L155" s="358">
        <v>2.2000000000000002</v>
      </c>
      <c r="M155" s="146">
        <v>2.2000000000000002</v>
      </c>
      <c r="N155" s="146">
        <v>2.2000000000000002</v>
      </c>
      <c r="O155" s="146">
        <v>2.2000000000000002</v>
      </c>
      <c r="P155" s="146">
        <v>2.2000000000000002</v>
      </c>
      <c r="Q155" s="147">
        <v>2.2000000000000002</v>
      </c>
    </row>
    <row r="156" spans="1:40">
      <c r="K156" s="143" t="s">
        <v>205</v>
      </c>
      <c r="L156" s="358">
        <v>2.4</v>
      </c>
      <c r="M156" s="146">
        <v>2.4</v>
      </c>
      <c r="N156" s="146">
        <v>2.4</v>
      </c>
      <c r="O156" s="146">
        <v>2.4</v>
      </c>
      <c r="P156" s="146">
        <v>2.4</v>
      </c>
      <c r="Q156" s="147">
        <v>2.4</v>
      </c>
    </row>
    <row r="157" spans="1:40">
      <c r="K157" s="143" t="s">
        <v>206</v>
      </c>
      <c r="L157" s="358">
        <v>2.4</v>
      </c>
      <c r="M157" s="146">
        <v>2.4</v>
      </c>
      <c r="N157" s="146">
        <v>2.4</v>
      </c>
      <c r="O157" s="146">
        <v>2.4</v>
      </c>
      <c r="P157" s="146">
        <v>2.4</v>
      </c>
      <c r="Q157" s="147">
        <v>2.4</v>
      </c>
      <c r="AA157" s="411">
        <v>9.9180561494054992E-2</v>
      </c>
      <c r="AD157" s="413">
        <v>5.8335675957876004E-2</v>
      </c>
      <c r="AE157" s="413">
        <v>0.13140393746273682</v>
      </c>
      <c r="AF157" s="413">
        <v>0.20456950798706253</v>
      </c>
      <c r="AG157" s="413">
        <v>0.20955667246401882</v>
      </c>
      <c r="AH157" s="411">
        <v>0.3961342061283058</v>
      </c>
    </row>
    <row r="158" spans="1:40">
      <c r="K158" s="143" t="s">
        <v>207</v>
      </c>
      <c r="L158" s="358">
        <v>2.5</v>
      </c>
      <c r="M158" s="146">
        <v>2.5</v>
      </c>
      <c r="N158" s="146">
        <v>2.5</v>
      </c>
      <c r="O158" s="146">
        <v>2.5</v>
      </c>
      <c r="P158" s="146">
        <v>2.5</v>
      </c>
      <c r="Q158" s="147">
        <v>2.5</v>
      </c>
      <c r="AA158" s="411">
        <v>3.5960019571786854E-3</v>
      </c>
      <c r="AD158" s="413">
        <v>0.14892777692102552</v>
      </c>
      <c r="AE158" s="413">
        <v>5.8458715002262109E-2</v>
      </c>
      <c r="AF158" s="413">
        <v>0.43710439701350362</v>
      </c>
      <c r="AG158" s="413">
        <v>0.20695196232713603</v>
      </c>
      <c r="AH158" s="411">
        <v>0.14855714873607268</v>
      </c>
    </row>
    <row r="159" spans="1:40">
      <c r="K159" s="143" t="s">
        <v>208</v>
      </c>
      <c r="L159" s="358">
        <v>2.2999999999999998</v>
      </c>
      <c r="M159" s="146">
        <v>2.2999999999999998</v>
      </c>
      <c r="N159" s="146">
        <v>2.2999999999999998</v>
      </c>
      <c r="O159" s="146">
        <v>2.2999999999999998</v>
      </c>
      <c r="P159" s="146">
        <v>2.2999999999999998</v>
      </c>
      <c r="Q159" s="147">
        <v>2.2999999999999998</v>
      </c>
      <c r="AA159" s="411">
        <v>0.22158871530874955</v>
      </c>
      <c r="AD159" s="413">
        <v>0</v>
      </c>
      <c r="AE159" s="413">
        <v>5.1601038945236911E-2</v>
      </c>
      <c r="AF159" s="413">
        <v>0.12954322497505993</v>
      </c>
      <c r="AG159" s="413">
        <v>0.21621509512488013</v>
      </c>
      <c r="AH159" s="411">
        <v>0.6103174147768321</v>
      </c>
    </row>
    <row r="160" spans="1:40">
      <c r="K160" s="143" t="s">
        <v>209</v>
      </c>
      <c r="L160" s="358">
        <v>2.1</v>
      </c>
      <c r="M160" s="146">
        <v>2.1</v>
      </c>
      <c r="N160" s="146">
        <v>2.1</v>
      </c>
      <c r="O160" s="146">
        <v>2.1</v>
      </c>
      <c r="P160" s="146">
        <v>2.1</v>
      </c>
      <c r="Q160" s="147">
        <v>2.1</v>
      </c>
      <c r="AA160" s="411">
        <v>2.7303189683360492E-2</v>
      </c>
      <c r="AD160" s="413">
        <v>2.1207298634126352E-2</v>
      </c>
      <c r="AE160" s="413">
        <v>0.10870050674610379</v>
      </c>
      <c r="AF160" s="413">
        <v>0.19073843448916811</v>
      </c>
      <c r="AG160" s="413">
        <v>0.31412916942251051</v>
      </c>
      <c r="AH160" s="411">
        <v>0.36522459070809121</v>
      </c>
    </row>
    <row r="161" spans="11:34">
      <c r="K161" s="143" t="s">
        <v>224</v>
      </c>
      <c r="L161" s="358">
        <v>2.2999999999999998</v>
      </c>
      <c r="M161" s="146">
        <v>2.2999999999999998</v>
      </c>
      <c r="N161" s="146">
        <v>2.2999999999999998</v>
      </c>
      <c r="O161" s="146">
        <v>2.2999999999999998</v>
      </c>
      <c r="P161" s="146">
        <v>2.2999999999999998</v>
      </c>
      <c r="Q161" s="147">
        <v>2.2999999999999998</v>
      </c>
      <c r="AA161" s="411">
        <v>9.1539873471112018E-2</v>
      </c>
      <c r="AD161" s="413">
        <v>5.7361628179798098E-2</v>
      </c>
      <c r="AE161" s="413">
        <v>7.7976617022494338E-2</v>
      </c>
      <c r="AF161" s="413">
        <v>0.16294048088029403</v>
      </c>
      <c r="AG161" s="413">
        <v>0.20328249315784663</v>
      </c>
      <c r="AH161" s="411">
        <v>0.49843878075956688</v>
      </c>
    </row>
    <row r="162" spans="11:34">
      <c r="K162" s="143" t="s">
        <v>210</v>
      </c>
      <c r="L162" s="358">
        <v>2.4</v>
      </c>
      <c r="M162" s="146">
        <v>2.4</v>
      </c>
      <c r="N162" s="146">
        <v>2.4</v>
      </c>
      <c r="O162" s="146">
        <v>2.4</v>
      </c>
      <c r="P162" s="146">
        <v>2.4</v>
      </c>
      <c r="Q162" s="147">
        <v>2.4</v>
      </c>
      <c r="AA162" s="411">
        <v>1.9361915416931903E-2</v>
      </c>
      <c r="AD162" s="413">
        <v>0</v>
      </c>
      <c r="AE162" s="413">
        <v>1.4409484117998263E-3</v>
      </c>
      <c r="AF162" s="413">
        <v>9.1759423962437234E-2</v>
      </c>
      <c r="AG162" s="413">
        <v>0.19161955417315654</v>
      </c>
      <c r="AH162" s="411">
        <v>0.74228465171567959</v>
      </c>
    </row>
    <row r="163" spans="11:34">
      <c r="K163" s="143" t="s">
        <v>211</v>
      </c>
      <c r="L163" s="358">
        <v>2.5</v>
      </c>
      <c r="M163" s="146">
        <v>2.5</v>
      </c>
      <c r="N163" s="146">
        <v>2.5</v>
      </c>
      <c r="O163" s="146">
        <v>2.5</v>
      </c>
      <c r="P163" s="146">
        <v>2.5</v>
      </c>
      <c r="Q163" s="147">
        <v>2.5</v>
      </c>
      <c r="AA163" s="411">
        <v>2.7052810935486799E-2</v>
      </c>
      <c r="AD163" s="413">
        <v>9.7451245497271344E-3</v>
      </c>
      <c r="AE163" s="413">
        <v>0.11101690826563149</v>
      </c>
      <c r="AF163" s="413">
        <v>0.18004912088208294</v>
      </c>
      <c r="AG163" s="413">
        <v>0.22610645998718409</v>
      </c>
      <c r="AH163" s="411">
        <v>0.47308238631537436</v>
      </c>
    </row>
    <row r="164" spans="11:34">
      <c r="K164" s="143" t="s">
        <v>212</v>
      </c>
      <c r="L164" s="358">
        <v>2.5</v>
      </c>
      <c r="M164" s="146">
        <v>2.5</v>
      </c>
      <c r="N164" s="146">
        <v>2.5</v>
      </c>
      <c r="O164" s="146">
        <v>2.5</v>
      </c>
      <c r="P164" s="146">
        <v>2.5</v>
      </c>
      <c r="Q164" s="147">
        <v>2.5</v>
      </c>
      <c r="AA164" s="411">
        <v>9.4535533247739847E-2</v>
      </c>
      <c r="AD164" s="413">
        <v>0</v>
      </c>
      <c r="AE164" s="413">
        <v>5.402522700512688E-2</v>
      </c>
      <c r="AF164" s="413">
        <v>0.18031484655824351</v>
      </c>
      <c r="AG164" s="413">
        <v>0.21428888579917116</v>
      </c>
      <c r="AH164" s="411">
        <v>0.55592556545885707</v>
      </c>
    </row>
    <row r="165" spans="11:34">
      <c r="K165" s="143" t="s">
        <v>213</v>
      </c>
      <c r="L165" s="358">
        <v>2.4</v>
      </c>
      <c r="M165" s="146">
        <v>2.4</v>
      </c>
      <c r="N165" s="146">
        <v>2.4</v>
      </c>
      <c r="O165" s="146">
        <v>2.4</v>
      </c>
      <c r="P165" s="146">
        <v>2.4</v>
      </c>
      <c r="Q165" s="147">
        <v>2.4</v>
      </c>
      <c r="AA165" s="411">
        <v>6.5990241925821022E-2</v>
      </c>
      <c r="AD165" s="413">
        <v>0</v>
      </c>
      <c r="AE165" s="413">
        <v>0.11203226258759992</v>
      </c>
      <c r="AF165" s="413">
        <v>0.13560891176910297</v>
      </c>
      <c r="AG165" s="413">
        <v>0.20261664591290104</v>
      </c>
      <c r="AH165" s="411">
        <v>0.55734214370148749</v>
      </c>
    </row>
    <row r="166" spans="11:34">
      <c r="K166" s="143" t="s">
        <v>214</v>
      </c>
      <c r="L166" s="358">
        <v>2.5</v>
      </c>
      <c r="M166" s="146">
        <v>2.5</v>
      </c>
      <c r="N166" s="146">
        <v>2.5</v>
      </c>
      <c r="O166" s="146">
        <v>2.5</v>
      </c>
      <c r="P166" s="146">
        <v>2.5</v>
      </c>
      <c r="Q166" s="147">
        <v>2.5</v>
      </c>
      <c r="AA166" s="411">
        <v>1.4780119140741793E-2</v>
      </c>
      <c r="AD166" s="413">
        <v>2.7615988915461947E-2</v>
      </c>
      <c r="AE166" s="413">
        <v>9.4128399630432485E-2</v>
      </c>
      <c r="AF166" s="413">
        <v>0.15553427776062978</v>
      </c>
      <c r="AG166" s="413">
        <v>0.22931925820327748</v>
      </c>
      <c r="AH166" s="411">
        <v>0.49340207549019832</v>
      </c>
    </row>
    <row r="167" spans="11:34">
      <c r="K167" s="143" t="s">
        <v>215</v>
      </c>
      <c r="L167" s="358">
        <v>2.6</v>
      </c>
      <c r="M167" s="146">
        <v>2.6</v>
      </c>
      <c r="N167" s="146">
        <v>2.6</v>
      </c>
      <c r="O167" s="146">
        <v>2.6</v>
      </c>
      <c r="P167" s="146">
        <v>2.6</v>
      </c>
      <c r="Q167" s="147">
        <v>2.6</v>
      </c>
      <c r="AA167" s="411">
        <v>2.3766706296375083E-2</v>
      </c>
      <c r="AD167" s="413">
        <v>0</v>
      </c>
      <c r="AE167" s="413">
        <v>4.7097443132486601E-2</v>
      </c>
      <c r="AF167" s="413">
        <v>0.11943109217622183</v>
      </c>
      <c r="AG167" s="413">
        <v>0.3773106707666477</v>
      </c>
      <c r="AH167" s="411">
        <v>0.48378848357036108</v>
      </c>
    </row>
    <row r="168" spans="11:34">
      <c r="K168" s="143" t="s">
        <v>216</v>
      </c>
      <c r="L168" s="358">
        <v>2.8</v>
      </c>
      <c r="M168" s="146">
        <v>2.8</v>
      </c>
      <c r="N168" s="146">
        <v>2.8</v>
      </c>
      <c r="O168" s="146">
        <v>2.8</v>
      </c>
      <c r="P168" s="146">
        <v>2.8</v>
      </c>
      <c r="Q168" s="147">
        <v>2.8</v>
      </c>
      <c r="AA168" s="411">
        <v>0.11678256738838066</v>
      </c>
      <c r="AD168" s="413">
        <v>1.7426476028265192E-2</v>
      </c>
      <c r="AE168" s="413">
        <v>0.12339129827941654</v>
      </c>
      <c r="AF168" s="413">
        <v>0.17318122978874567</v>
      </c>
      <c r="AG168" s="413">
        <v>0.20073674826464591</v>
      </c>
      <c r="AH168" s="411">
        <v>0.48526424763892673</v>
      </c>
    </row>
    <row r="169" spans="11:34">
      <c r="K169" s="143" t="s">
        <v>217</v>
      </c>
      <c r="L169" s="358">
        <v>2.7</v>
      </c>
      <c r="M169" s="146">
        <v>2.7</v>
      </c>
      <c r="N169" s="146">
        <v>2.7</v>
      </c>
      <c r="O169" s="146">
        <v>2.7</v>
      </c>
      <c r="P169" s="146">
        <v>2.7</v>
      </c>
      <c r="Q169" s="147">
        <v>2.7</v>
      </c>
      <c r="AA169" s="411">
        <v>1.3836345679868986E-2</v>
      </c>
      <c r="AD169" s="413">
        <v>6.1408557118129096E-3</v>
      </c>
      <c r="AE169" s="413">
        <v>0.14683912671947613</v>
      </c>
      <c r="AF169" s="413">
        <v>0.23574756592307811</v>
      </c>
      <c r="AG169" s="413">
        <v>0.33884007092143614</v>
      </c>
      <c r="AH169" s="411">
        <v>0.27243238072419668</v>
      </c>
    </row>
    <row r="170" spans="11:34">
      <c r="K170" s="143" t="s">
        <v>225</v>
      </c>
      <c r="L170" s="358">
        <v>2.5</v>
      </c>
      <c r="M170" s="146">
        <v>2.5</v>
      </c>
      <c r="N170" s="146">
        <v>2.5</v>
      </c>
      <c r="O170" s="146">
        <v>2.5</v>
      </c>
      <c r="P170" s="146">
        <v>2.5</v>
      </c>
      <c r="Q170" s="147">
        <v>2.5</v>
      </c>
      <c r="AA170" s="411">
        <v>1.8560035501966176E-3</v>
      </c>
      <c r="AD170" s="413">
        <v>0</v>
      </c>
      <c r="AE170" s="413">
        <v>0.14861960600073262</v>
      </c>
      <c r="AF170" s="413">
        <v>0</v>
      </c>
      <c r="AG170" s="413">
        <v>0.31629190288700698</v>
      </c>
      <c r="AH170" s="411">
        <v>0.78900881469237549</v>
      </c>
    </row>
    <row r="171" spans="11:34">
      <c r="K171" s="143" t="s">
        <v>219</v>
      </c>
      <c r="L171" s="358">
        <v>2.6</v>
      </c>
      <c r="M171" s="146">
        <v>2.6</v>
      </c>
      <c r="N171" s="146">
        <v>2.6</v>
      </c>
      <c r="O171" s="146">
        <v>2.6</v>
      </c>
      <c r="P171" s="146">
        <v>2.6</v>
      </c>
      <c r="Q171" s="147">
        <v>2.6</v>
      </c>
      <c r="AA171" s="411">
        <v>6.8374416258241422E-2</v>
      </c>
      <c r="AD171" s="413">
        <v>7.7364559369289517E-3</v>
      </c>
      <c r="AE171" s="413">
        <v>0.15452120008495987</v>
      </c>
      <c r="AF171" s="413">
        <v>0.21177679932533983</v>
      </c>
      <c r="AG171" s="413">
        <v>0.20697360956640895</v>
      </c>
      <c r="AH171" s="411">
        <v>0.4189919350863624</v>
      </c>
    </row>
    <row r="172" spans="11:34">
      <c r="K172" s="143" t="s">
        <v>220</v>
      </c>
      <c r="L172" s="358">
        <v>2.6</v>
      </c>
      <c r="M172" s="146">
        <v>2.6</v>
      </c>
      <c r="N172" s="146">
        <v>2.6</v>
      </c>
      <c r="O172" s="146">
        <v>2.6</v>
      </c>
      <c r="P172" s="146">
        <v>2.6</v>
      </c>
      <c r="Q172" s="147">
        <v>2.6</v>
      </c>
      <c r="AA172" s="411">
        <v>3.3993927500989722E-2</v>
      </c>
      <c r="AD172" s="413">
        <v>0</v>
      </c>
      <c r="AE172" s="413">
        <v>7.5737851016743754E-2</v>
      </c>
      <c r="AF172" s="413">
        <v>0.20415541022247066</v>
      </c>
      <c r="AG172" s="413">
        <v>0.18653055404688509</v>
      </c>
      <c r="AH172" s="411">
        <v>0.62618847230757002</v>
      </c>
    </row>
    <row r="173" spans="11:34">
      <c r="K173" s="143" t="s">
        <v>221</v>
      </c>
      <c r="L173" s="359">
        <v>2.5</v>
      </c>
      <c r="M173" s="144">
        <v>2.5</v>
      </c>
      <c r="N173" s="144">
        <v>2.5</v>
      </c>
      <c r="O173" s="144">
        <v>2.5</v>
      </c>
      <c r="P173" s="144">
        <v>2.5</v>
      </c>
      <c r="Q173" s="150">
        <v>2.5</v>
      </c>
      <c r="AA173" s="411">
        <v>4.7662346005232061E-3</v>
      </c>
      <c r="AD173" s="413">
        <v>3.0031562775210043E-2</v>
      </c>
      <c r="AE173" s="413">
        <v>0</v>
      </c>
      <c r="AF173" s="413">
        <v>3.974531218863097E-2</v>
      </c>
      <c r="AG173" s="413">
        <v>0.25519885834035083</v>
      </c>
      <c r="AH173" s="411">
        <v>0.73595520785790969</v>
      </c>
    </row>
    <row r="174" spans="11:34">
      <c r="AA174" s="411">
        <v>1.1647786637912909E-2</v>
      </c>
      <c r="AD174" s="413">
        <v>5.3973662620285983E-3</v>
      </c>
      <c r="AE174" s="413">
        <v>0.17212834678663502</v>
      </c>
      <c r="AF174" s="413">
        <v>0.10374127784402061</v>
      </c>
      <c r="AG174" s="413">
        <v>0.25809848253490769</v>
      </c>
      <c r="AH174" s="411">
        <v>0.46063452657240805</v>
      </c>
    </row>
    <row r="175" spans="11:34">
      <c r="AA175" s="411">
        <v>4.4623547061080224E-2</v>
      </c>
      <c r="AD175" s="413">
        <v>7.0010738454102037E-2</v>
      </c>
      <c r="AE175" s="413">
        <v>9.7520817770356372E-2</v>
      </c>
      <c r="AF175" s="413">
        <v>0.1448936041657512</v>
      </c>
      <c r="AG175" s="413">
        <v>0.1759232049479281</v>
      </c>
      <c r="AH175" s="411">
        <v>0.51165163466186225</v>
      </c>
    </row>
    <row r="176" spans="11:34">
      <c r="AA176" s="412">
        <v>1.5423502445254093E-2</v>
      </c>
      <c r="AD176" s="414">
        <v>5.9376147197223363E-3</v>
      </c>
      <c r="AE176" s="414">
        <v>8.5672291343200091E-2</v>
      </c>
      <c r="AF176" s="414">
        <v>0.22215955953983388</v>
      </c>
      <c r="AG176" s="414">
        <v>0.33205350488120006</v>
      </c>
      <c r="AH176" s="412">
        <v>0.35417702951604368</v>
      </c>
    </row>
  </sheetData>
  <mergeCells count="11">
    <mergeCell ref="AW1:BO1"/>
    <mergeCell ref="B1:R1"/>
    <mergeCell ref="C105:I105"/>
    <mergeCell ref="L105:P105"/>
    <mergeCell ref="S105:W105"/>
    <mergeCell ref="D128:I128"/>
    <mergeCell ref="K128:W128"/>
    <mergeCell ref="T1:AU1"/>
    <mergeCell ref="Y105:AD105"/>
    <mergeCell ref="Y128:AK128"/>
    <mergeCell ref="AG105:AK105"/>
  </mergeCells>
  <conditionalFormatting sqref="V3:AU102">
    <cfRule type="cellIs" dxfId="0" priority="1" operator="equal">
      <formula>0</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4" tint="0.79998168889431442"/>
  </sheetPr>
  <dimension ref="A1:H1001"/>
  <sheetViews>
    <sheetView workbookViewId="0">
      <selection activeCell="H15" sqref="H15"/>
    </sheetView>
  </sheetViews>
  <sheetFormatPr defaultColWidth="12.58203125" defaultRowHeight="15" customHeight="1"/>
  <cols>
    <col min="1" max="15" width="8.5" customWidth="1"/>
    <col min="16" max="26" width="5.75" customWidth="1"/>
  </cols>
  <sheetData>
    <row r="1" spans="1:8" ht="15" customHeight="1">
      <c r="A1" s="16"/>
      <c r="B1" s="16"/>
      <c r="C1" s="16"/>
      <c r="D1" s="16"/>
      <c r="E1" s="16"/>
    </row>
    <row r="2" spans="1:8" ht="15" customHeight="1">
      <c r="A2" s="343"/>
      <c r="B2" s="344" t="s">
        <v>343</v>
      </c>
      <c r="C2" s="344"/>
      <c r="D2" s="344"/>
      <c r="E2" s="343"/>
      <c r="F2" s="315"/>
      <c r="G2" s="315"/>
      <c r="H2" s="8"/>
    </row>
    <row r="3" spans="1:8" ht="15" customHeight="1">
      <c r="A3" s="343"/>
      <c r="B3" s="345">
        <v>2101384.5151749998</v>
      </c>
      <c r="C3" s="343"/>
      <c r="D3" s="343"/>
      <c r="E3" s="343"/>
      <c r="F3" s="315"/>
      <c r="G3" s="315"/>
      <c r="H3" s="27"/>
    </row>
    <row r="4" spans="1:8" ht="15" customHeight="1">
      <c r="A4" s="343"/>
      <c r="B4" s="343"/>
      <c r="C4" s="343"/>
      <c r="D4" s="343"/>
      <c r="E4" s="343"/>
      <c r="F4" s="315"/>
      <c r="G4" s="315"/>
      <c r="H4" s="27"/>
    </row>
    <row r="5" spans="1:8" ht="15" customHeight="1">
      <c r="A5" s="343"/>
      <c r="B5" s="344" t="s">
        <v>344</v>
      </c>
      <c r="C5" s="344"/>
      <c r="D5" s="344"/>
      <c r="E5" s="344"/>
      <c r="F5" s="315"/>
      <c r="G5" s="315"/>
    </row>
    <row r="6" spans="1:8" ht="15" customHeight="1">
      <c r="A6" s="343"/>
      <c r="B6" s="345" t="s">
        <v>345</v>
      </c>
      <c r="C6" s="345" t="s">
        <v>346</v>
      </c>
      <c r="D6" s="345" t="s">
        <v>347</v>
      </c>
      <c r="E6" s="345" t="s">
        <v>348</v>
      </c>
      <c r="F6" s="315"/>
      <c r="G6" s="315"/>
    </row>
    <row r="7" spans="1:8" ht="15" customHeight="1">
      <c r="A7" s="343"/>
      <c r="B7" s="345">
        <v>-2.4800000000000001E-4</v>
      </c>
      <c r="C7" s="345">
        <v>6.5737000000000004E-2</v>
      </c>
      <c r="D7" s="345">
        <v>0.25611299999999998</v>
      </c>
      <c r="E7" s="345">
        <v>0.67839799999999995</v>
      </c>
      <c r="F7" s="315"/>
      <c r="G7" s="315"/>
    </row>
    <row r="8" spans="1:8" ht="15" customHeight="1">
      <c r="A8" s="343"/>
      <c r="B8" s="343"/>
      <c r="C8" s="343"/>
      <c r="D8" s="343"/>
      <c r="E8" s="343"/>
      <c r="F8" s="315"/>
      <c r="G8" s="315"/>
    </row>
    <row r="9" spans="1:8" ht="15" customHeight="1">
      <c r="A9" s="343"/>
      <c r="B9" s="346" t="s">
        <v>349</v>
      </c>
      <c r="C9" s="344"/>
      <c r="D9" s="344"/>
      <c r="E9" s="343"/>
      <c r="F9" s="315"/>
      <c r="G9" s="315"/>
    </row>
    <row r="10" spans="1:8" ht="15" customHeight="1">
      <c r="A10" s="343"/>
      <c r="B10" s="347">
        <v>2.02</v>
      </c>
      <c r="C10" s="343"/>
      <c r="D10" s="343"/>
      <c r="E10" s="343"/>
      <c r="F10" s="315"/>
      <c r="G10" s="315"/>
    </row>
    <row r="11" spans="1:8" ht="15" customHeight="1">
      <c r="A11" s="315"/>
      <c r="B11" s="315"/>
      <c r="C11" s="315"/>
      <c r="D11" s="315"/>
      <c r="E11" s="315"/>
      <c r="F11" s="315"/>
      <c r="G11" s="315"/>
    </row>
    <row r="12" spans="1:8" ht="14"/>
    <row r="14" spans="1:8" ht="15" customHeight="1">
      <c r="B14" s="112" t="s">
        <v>350</v>
      </c>
      <c r="C14" s="112" t="s">
        <v>351</v>
      </c>
      <c r="D14" s="112"/>
    </row>
    <row r="15" spans="1:8" ht="15" customHeight="1">
      <c r="B15">
        <v>0</v>
      </c>
      <c r="C15" s="162">
        <v>3.601158333333334E-2</v>
      </c>
    </row>
    <row r="16" spans="1:8" ht="15" customHeight="1">
      <c r="B16">
        <v>1</v>
      </c>
      <c r="C16" s="162">
        <v>4.549333333333333E-2</v>
      </c>
    </row>
    <row r="17" spans="2:3" ht="15" customHeight="1">
      <c r="B17">
        <v>2</v>
      </c>
      <c r="C17" s="162">
        <v>5.2631166666666666E-2</v>
      </c>
    </row>
    <row r="18" spans="2:3" ht="15" customHeight="1">
      <c r="B18">
        <v>3</v>
      </c>
      <c r="C18" s="162">
        <v>4.2283250000000008E-2</v>
      </c>
    </row>
    <row r="19" spans="2:3" ht="15" customHeight="1">
      <c r="B19">
        <v>4</v>
      </c>
      <c r="C19" s="162">
        <v>2.7971666666666666E-2</v>
      </c>
    </row>
    <row r="20" spans="2:3" ht="15" customHeight="1">
      <c r="B20">
        <v>5</v>
      </c>
      <c r="C20" s="162">
        <v>1.8219249999999999E-2</v>
      </c>
    </row>
    <row r="21" spans="2:3" ht="15" customHeight="1">
      <c r="B21">
        <v>6</v>
      </c>
      <c r="C21" s="162">
        <v>1.8042833333333331E-2</v>
      </c>
    </row>
    <row r="22" spans="2:3" ht="15.75" customHeight="1">
      <c r="B22">
        <v>7</v>
      </c>
      <c r="C22" s="162">
        <v>2.4696916666666669E-2</v>
      </c>
    </row>
    <row r="23" spans="2:3" ht="15.75" customHeight="1">
      <c r="B23">
        <v>8</v>
      </c>
      <c r="C23" s="162">
        <v>2.9728499999999998E-2</v>
      </c>
    </row>
    <row r="24" spans="2:3" ht="15.75" customHeight="1">
      <c r="B24">
        <v>9</v>
      </c>
      <c r="C24" s="162">
        <v>2.3441749999999997E-2</v>
      </c>
    </row>
    <row r="25" spans="2:3" ht="15.75" customHeight="1">
      <c r="B25">
        <v>10</v>
      </c>
      <c r="C25" s="162">
        <v>1.6290583333333334E-2</v>
      </c>
    </row>
    <row r="26" spans="2:3" ht="15.75" customHeight="1">
      <c r="B26">
        <v>11</v>
      </c>
      <c r="C26" s="162">
        <v>1.2951166666666666E-2</v>
      </c>
    </row>
    <row r="27" spans="2:3" ht="15.75" customHeight="1">
      <c r="B27">
        <v>40</v>
      </c>
      <c r="C27" s="162">
        <v>1.2951166666666666E-2</v>
      </c>
    </row>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ataValidations count="1">
    <dataValidation operator="equal" allowBlank="1" showInputMessage="1" showErrorMessage="1" sqref="I10:I20" xr:uid="{BAD7B26B-1C76-4D5F-91EF-3D5860FE3D7F}"/>
  </dataValidations>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4" tint="0.79998168889431442"/>
  </sheetPr>
  <dimension ref="B1:AS1001"/>
  <sheetViews>
    <sheetView topLeftCell="A49" zoomScale="70" zoomScaleNormal="70" workbookViewId="0">
      <selection activeCell="T60" sqref="T60"/>
    </sheetView>
  </sheetViews>
  <sheetFormatPr defaultColWidth="12.58203125" defaultRowHeight="15" customHeight="1"/>
  <cols>
    <col min="1" max="1" width="5.83203125" customWidth="1"/>
    <col min="2" max="2" width="5.75" customWidth="1"/>
    <col min="3" max="3" width="8.33203125" customWidth="1"/>
    <col min="4" max="4" width="14.25" bestFit="1" customWidth="1"/>
    <col min="5" max="5" width="10.83203125" customWidth="1"/>
    <col min="6" max="6" width="11.83203125" customWidth="1"/>
    <col min="7" max="22" width="9.33203125" customWidth="1"/>
    <col min="23" max="25" width="5.75" customWidth="1"/>
    <col min="26" max="27" width="12" bestFit="1" customWidth="1"/>
  </cols>
  <sheetData>
    <row r="1" spans="2:45" ht="14.5">
      <c r="B1" s="11"/>
      <c r="C1" s="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row>
    <row r="2" spans="2:45" ht="14">
      <c r="D2" s="513" t="s">
        <v>1114</v>
      </c>
      <c r="E2" s="513"/>
      <c r="F2" s="513"/>
      <c r="G2" s="513"/>
      <c r="H2" s="513"/>
      <c r="I2" s="513"/>
      <c r="J2" s="513"/>
      <c r="L2" s="513" t="s">
        <v>1156</v>
      </c>
      <c r="M2" s="513"/>
      <c r="N2" s="513"/>
      <c r="O2" s="513"/>
      <c r="P2" s="513"/>
      <c r="Q2" s="513"/>
      <c r="S2" s="513" t="s">
        <v>1115</v>
      </c>
      <c r="T2" s="513"/>
      <c r="U2" s="513"/>
      <c r="V2" s="513"/>
      <c r="X2" s="513" t="s">
        <v>1116</v>
      </c>
      <c r="Y2" s="513"/>
      <c r="Z2" s="513"/>
      <c r="AA2" s="513"/>
      <c r="AC2" s="513" t="s">
        <v>1117</v>
      </c>
      <c r="AD2" s="513"/>
      <c r="AE2" s="513"/>
      <c r="AF2" s="513"/>
      <c r="AH2" s="513" t="s">
        <v>1118</v>
      </c>
      <c r="AI2" s="513"/>
      <c r="AJ2" s="513"/>
      <c r="AK2" s="513"/>
      <c r="AM2" s="513" t="s">
        <v>1119</v>
      </c>
      <c r="AN2" s="513"/>
      <c r="AO2" s="513"/>
      <c r="AP2" s="513"/>
      <c r="AQ2" s="513"/>
      <c r="AR2" s="513"/>
      <c r="AS2" s="513"/>
    </row>
    <row r="3" spans="2:45" ht="14">
      <c r="E3" s="233" t="s">
        <v>354</v>
      </c>
      <c r="F3" s="42"/>
      <c r="G3" s="234"/>
      <c r="H3" s="233" t="s">
        <v>355</v>
      </c>
      <c r="I3" s="42"/>
      <c r="J3" s="234"/>
      <c r="M3" s="232" t="s">
        <v>1120</v>
      </c>
      <c r="N3" s="303" t="s">
        <v>1121</v>
      </c>
      <c r="O3" s="303" t="s">
        <v>1122</v>
      </c>
      <c r="P3" s="303" t="s">
        <v>1123</v>
      </c>
      <c r="Q3" s="244" t="s">
        <v>1124</v>
      </c>
      <c r="T3" s="232" t="s">
        <v>345</v>
      </c>
      <c r="U3" s="303" t="s">
        <v>357</v>
      </c>
      <c r="V3" s="244" t="s">
        <v>347</v>
      </c>
      <c r="Y3" s="232" t="s">
        <v>345</v>
      </c>
      <c r="Z3" s="303" t="s">
        <v>357</v>
      </c>
      <c r="AA3" s="244" t="s">
        <v>347</v>
      </c>
      <c r="AD3" s="232" t="s">
        <v>345</v>
      </c>
      <c r="AE3" s="303" t="s">
        <v>357</v>
      </c>
      <c r="AF3" s="244" t="s">
        <v>347</v>
      </c>
      <c r="AI3" s="232" t="s">
        <v>345</v>
      </c>
      <c r="AJ3" s="303" t="s">
        <v>357</v>
      </c>
      <c r="AK3" s="244" t="s">
        <v>347</v>
      </c>
      <c r="AN3" s="514" t="s">
        <v>354</v>
      </c>
      <c r="AO3" s="515"/>
      <c r="AP3" s="516"/>
      <c r="AQ3" s="514" t="s">
        <v>355</v>
      </c>
      <c r="AR3" s="515"/>
      <c r="AS3" s="516"/>
    </row>
    <row r="4" spans="2:45" ht="14.5">
      <c r="E4" s="236" t="s">
        <v>345</v>
      </c>
      <c r="F4" s="237" t="s">
        <v>357</v>
      </c>
      <c r="G4" s="161" t="s">
        <v>347</v>
      </c>
      <c r="H4" s="236" t="s">
        <v>345</v>
      </c>
      <c r="I4" s="237" t="s">
        <v>357</v>
      </c>
      <c r="J4" s="161" t="s">
        <v>347</v>
      </c>
      <c r="L4" s="304" t="s">
        <v>1125</v>
      </c>
      <c r="M4" s="233">
        <v>11.383699999999999</v>
      </c>
      <c r="N4" s="42">
        <v>0.15451400000000001</v>
      </c>
      <c r="O4" s="42">
        <v>0.30555599999999999</v>
      </c>
      <c r="P4" s="42">
        <v>7.18316</v>
      </c>
      <c r="Q4" s="234">
        <v>4.9375</v>
      </c>
      <c r="S4" s="238" t="s">
        <v>139</v>
      </c>
      <c r="T4" s="233">
        <v>0.71587800000000001</v>
      </c>
      <c r="U4" s="42">
        <v>0.69519399999999998</v>
      </c>
      <c r="V4" s="234">
        <v>0.61541599999999996</v>
      </c>
      <c r="X4" s="238" t="s">
        <v>139</v>
      </c>
      <c r="Y4" s="233">
        <v>4.8440200000000001E-3</v>
      </c>
      <c r="Z4" s="42">
        <v>3.0733900000000001E-3</v>
      </c>
      <c r="AA4" s="234">
        <v>6.9111199999999998E-3</v>
      </c>
      <c r="AC4" s="238" t="s">
        <v>139</v>
      </c>
      <c r="AD4" s="233">
        <v>0.67207499999999998</v>
      </c>
      <c r="AE4" s="42">
        <v>0.29508200000000001</v>
      </c>
      <c r="AF4" s="234">
        <v>3.2843200000000003E-2</v>
      </c>
      <c r="AH4" s="238" t="s">
        <v>139</v>
      </c>
      <c r="AI4" s="233">
        <v>-7.6773800000000001E-3</v>
      </c>
      <c r="AJ4" s="42">
        <v>5.6223699999999998E-3</v>
      </c>
      <c r="AK4" s="234">
        <v>2.0550099999999999E-3</v>
      </c>
      <c r="AN4" s="236" t="s">
        <v>345</v>
      </c>
      <c r="AO4" s="237" t="s">
        <v>357</v>
      </c>
      <c r="AP4" s="161" t="s">
        <v>347</v>
      </c>
      <c r="AQ4" s="236" t="s">
        <v>345</v>
      </c>
      <c r="AR4" s="237" t="s">
        <v>357</v>
      </c>
      <c r="AS4" s="161" t="s">
        <v>347</v>
      </c>
    </row>
    <row r="5" spans="2:45" ht="14.5">
      <c r="D5" s="238" t="s">
        <v>139</v>
      </c>
      <c r="E5" s="233">
        <v>0.61225700000000005</v>
      </c>
      <c r="F5" s="42">
        <v>0.81850299999999998</v>
      </c>
      <c r="G5" s="234">
        <v>0.61726899999999996</v>
      </c>
      <c r="H5" s="233">
        <v>0.638428</v>
      </c>
      <c r="I5" s="42">
        <v>0.51202099999999995</v>
      </c>
      <c r="J5" s="234">
        <v>0.92605499999999996</v>
      </c>
      <c r="L5" s="305" t="s">
        <v>1126</v>
      </c>
      <c r="M5" s="235">
        <v>10.4033</v>
      </c>
      <c r="N5">
        <v>7.2010199999999996E-2</v>
      </c>
      <c r="O5">
        <v>6.1358800000000002</v>
      </c>
      <c r="P5">
        <v>4.3341000000000003</v>
      </c>
      <c r="Q5" s="159">
        <v>3.0277400000000001</v>
      </c>
      <c r="S5" s="158" t="s">
        <v>37</v>
      </c>
      <c r="T5" s="235">
        <v>0.87609899999999996</v>
      </c>
      <c r="U5">
        <v>0.85906499999999997</v>
      </c>
      <c r="V5" s="159">
        <v>0.67424300000000004</v>
      </c>
      <c r="X5" s="158" t="s">
        <v>37</v>
      </c>
      <c r="Y5" s="235">
        <v>-1.1706899999999999E-2</v>
      </c>
      <c r="Z5">
        <v>-2.6570299999999999E-3</v>
      </c>
      <c r="AA5" s="159">
        <v>-2.11025E-2</v>
      </c>
      <c r="AC5" s="158" t="s">
        <v>37</v>
      </c>
      <c r="AD5" s="235">
        <v>0.48113400000000001</v>
      </c>
      <c r="AE5">
        <v>0.395513</v>
      </c>
      <c r="AF5" s="159">
        <v>0.123353</v>
      </c>
      <c r="AH5" s="158" t="s">
        <v>37</v>
      </c>
      <c r="AI5" s="235">
        <v>-8.83485E-3</v>
      </c>
      <c r="AJ5">
        <v>1.2636399999999999E-3</v>
      </c>
      <c r="AK5" s="159">
        <v>7.5712100000000001E-3</v>
      </c>
      <c r="AM5" s="238" t="s">
        <v>139</v>
      </c>
      <c r="AN5" s="233">
        <v>7.30396</v>
      </c>
      <c r="AO5" s="42">
        <v>10.700100000000001</v>
      </c>
      <c r="AP5" s="234">
        <v>13.1647</v>
      </c>
      <c r="AQ5">
        <v>5.5236400000000003</v>
      </c>
      <c r="AR5">
        <v>9.6124799999999997</v>
      </c>
      <c r="AS5">
        <v>13.257</v>
      </c>
    </row>
    <row r="6" spans="2:45" ht="14.5">
      <c r="D6" s="158" t="s">
        <v>37</v>
      </c>
      <c r="E6" s="235">
        <v>0.43552600000000002</v>
      </c>
      <c r="F6">
        <v>0.464754</v>
      </c>
      <c r="G6" s="159">
        <v>0.60424699999999998</v>
      </c>
      <c r="H6" s="235">
        <v>0.45633600000000002</v>
      </c>
      <c r="I6">
        <v>0.425929</v>
      </c>
      <c r="J6" s="159">
        <v>0.51988199999999996</v>
      </c>
      <c r="L6" s="305" t="s">
        <v>1127</v>
      </c>
      <c r="M6" s="235">
        <v>11.184200000000001</v>
      </c>
      <c r="N6">
        <v>1.60138</v>
      </c>
      <c r="O6">
        <v>3.3640499999999997E-2</v>
      </c>
      <c r="P6">
        <v>6.2568400000000004</v>
      </c>
      <c r="Q6" s="159">
        <v>4.8961600000000001</v>
      </c>
      <c r="S6" s="158" t="s">
        <v>140</v>
      </c>
      <c r="T6" s="235">
        <v>0.74382000000000004</v>
      </c>
      <c r="U6">
        <v>0.72753100000000004</v>
      </c>
      <c r="V6" s="159">
        <v>0.68013599999999996</v>
      </c>
      <c r="X6" s="158" t="s">
        <v>140</v>
      </c>
      <c r="Y6" s="235">
        <v>3.1583599999999998E-3</v>
      </c>
      <c r="Z6">
        <v>2.4039899999999999E-3</v>
      </c>
      <c r="AA6" s="159">
        <v>-6.8859400000000001E-3</v>
      </c>
      <c r="AC6" s="158" t="s">
        <v>140</v>
      </c>
      <c r="AD6" s="235">
        <v>0.44252900000000001</v>
      </c>
      <c r="AE6">
        <v>0.47986299999999998</v>
      </c>
      <c r="AF6" s="159">
        <v>7.7607300000000004E-2</v>
      </c>
      <c r="AH6" s="158" t="s">
        <v>140</v>
      </c>
      <c r="AI6" s="235">
        <v>-8.1327299999999995E-3</v>
      </c>
      <c r="AJ6">
        <v>3.5446700000000002E-3</v>
      </c>
      <c r="AK6" s="159">
        <v>4.5880699999999996E-3</v>
      </c>
      <c r="AM6" s="158" t="s">
        <v>37</v>
      </c>
      <c r="AN6" s="235">
        <v>13.3405</v>
      </c>
      <c r="AO6">
        <v>15.482200000000001</v>
      </c>
      <c r="AP6" s="159">
        <v>22.4451</v>
      </c>
      <c r="AQ6">
        <v>10.533799999999999</v>
      </c>
      <c r="AR6">
        <v>13.297700000000001</v>
      </c>
      <c r="AS6">
        <v>17.577200000000001</v>
      </c>
    </row>
    <row r="7" spans="2:45" ht="14.5">
      <c r="D7" s="158" t="s">
        <v>140</v>
      </c>
      <c r="E7" s="235">
        <v>0.43552600000000002</v>
      </c>
      <c r="F7">
        <v>0.464754</v>
      </c>
      <c r="G7" s="159">
        <v>0.60424699999999998</v>
      </c>
      <c r="H7" s="235">
        <v>0.45633600000000002</v>
      </c>
      <c r="I7">
        <v>0.425929</v>
      </c>
      <c r="J7" s="159">
        <v>0.51988199999999996</v>
      </c>
      <c r="L7" s="305" t="s">
        <v>1128</v>
      </c>
      <c r="M7" s="235">
        <v>12.5375</v>
      </c>
      <c r="N7">
        <v>7.7881599999999997E-3</v>
      </c>
      <c r="O7">
        <v>7.3876300000000006E-2</v>
      </c>
      <c r="P7">
        <v>5.5286999999999997</v>
      </c>
      <c r="Q7" s="159">
        <v>5.8284399999999996</v>
      </c>
      <c r="S7" s="158" t="s">
        <v>48</v>
      </c>
      <c r="T7" s="235">
        <v>0.74382000000000004</v>
      </c>
      <c r="U7">
        <v>0.72753100000000004</v>
      </c>
      <c r="V7" s="159">
        <v>0.68013599999999996</v>
      </c>
      <c r="X7" s="158" t="s">
        <v>48</v>
      </c>
      <c r="Y7" s="235">
        <v>3.1583599999999998E-3</v>
      </c>
      <c r="Z7">
        <v>2.4039899999999999E-3</v>
      </c>
      <c r="AA7" s="159">
        <v>-6.8859400000000001E-3</v>
      </c>
      <c r="AC7" s="158" t="s">
        <v>48</v>
      </c>
      <c r="AD7" s="235">
        <v>0.44252900000000001</v>
      </c>
      <c r="AE7">
        <v>0.47986299999999998</v>
      </c>
      <c r="AF7" s="159">
        <v>7.7607300000000004E-2</v>
      </c>
      <c r="AH7" s="158" t="s">
        <v>48</v>
      </c>
      <c r="AI7" s="235">
        <v>-8.1327299999999995E-3</v>
      </c>
      <c r="AJ7">
        <v>3.5446700000000002E-3</v>
      </c>
      <c r="AK7" s="159">
        <v>4.5880699999999996E-3</v>
      </c>
      <c r="AM7" s="158" t="s">
        <v>140</v>
      </c>
      <c r="AN7" s="235">
        <v>13.3405</v>
      </c>
      <c r="AO7">
        <v>15.482200000000001</v>
      </c>
      <c r="AP7" s="159">
        <v>22.4451</v>
      </c>
      <c r="AQ7">
        <v>10.533799999999999</v>
      </c>
      <c r="AR7">
        <v>13.297700000000001</v>
      </c>
      <c r="AS7">
        <v>17.577200000000001</v>
      </c>
    </row>
    <row r="8" spans="2:45" ht="14.5">
      <c r="D8" s="158" t="s">
        <v>48</v>
      </c>
      <c r="E8" s="235">
        <v>0.43552600000000002</v>
      </c>
      <c r="F8">
        <v>0.464754</v>
      </c>
      <c r="G8" s="159">
        <v>0.60424699999999998</v>
      </c>
      <c r="H8" s="235">
        <v>0.45633600000000002</v>
      </c>
      <c r="I8">
        <v>0.425929</v>
      </c>
      <c r="J8" s="159">
        <v>0.51988199999999996</v>
      </c>
      <c r="L8" s="305" t="s">
        <v>1129</v>
      </c>
      <c r="M8" s="235">
        <v>11.759</v>
      </c>
      <c r="N8">
        <v>6.0060099999999998E-2</v>
      </c>
      <c r="O8">
        <v>1.69069</v>
      </c>
      <c r="P8">
        <v>3.47898</v>
      </c>
      <c r="Q8" s="159">
        <v>6.9767299999999999</v>
      </c>
      <c r="S8" s="158" t="s">
        <v>141</v>
      </c>
      <c r="T8" s="235">
        <v>0.74382000000000004</v>
      </c>
      <c r="U8">
        <v>0.72753100000000004</v>
      </c>
      <c r="V8" s="159">
        <v>0.68013599999999996</v>
      </c>
      <c r="X8" s="158" t="s">
        <v>141</v>
      </c>
      <c r="Y8" s="235">
        <v>3.1583599999999998E-3</v>
      </c>
      <c r="Z8">
        <v>2.4039899999999999E-3</v>
      </c>
      <c r="AA8" s="159">
        <v>-6.8859400000000001E-3</v>
      </c>
      <c r="AC8" s="158" t="s">
        <v>141</v>
      </c>
      <c r="AD8" s="235">
        <v>0.44252900000000001</v>
      </c>
      <c r="AE8">
        <v>0.47986299999999998</v>
      </c>
      <c r="AF8" s="159">
        <v>7.7607300000000004E-2</v>
      </c>
      <c r="AH8" s="158" t="s">
        <v>141</v>
      </c>
      <c r="AI8" s="235">
        <v>-8.1327299999999995E-3</v>
      </c>
      <c r="AJ8">
        <v>3.5446700000000002E-3</v>
      </c>
      <c r="AK8" s="159">
        <v>4.5880699999999996E-3</v>
      </c>
      <c r="AM8" s="158" t="s">
        <v>48</v>
      </c>
      <c r="AN8" s="235">
        <v>13.3405</v>
      </c>
      <c r="AO8">
        <v>15.482200000000001</v>
      </c>
      <c r="AP8" s="159">
        <v>22.4451</v>
      </c>
      <c r="AQ8">
        <v>10.533799999999999</v>
      </c>
      <c r="AR8">
        <v>13.297700000000001</v>
      </c>
      <c r="AS8">
        <v>17.577200000000001</v>
      </c>
    </row>
    <row r="9" spans="2:45" ht="14.5">
      <c r="D9" s="158" t="s">
        <v>141</v>
      </c>
      <c r="E9" s="235">
        <v>0.43552600000000002</v>
      </c>
      <c r="F9">
        <v>0.464754</v>
      </c>
      <c r="G9" s="159">
        <v>0.60424699999999998</v>
      </c>
      <c r="H9" s="235">
        <v>0.45633600000000002</v>
      </c>
      <c r="I9">
        <v>0.425929</v>
      </c>
      <c r="J9" s="159">
        <v>0.51988199999999996</v>
      </c>
      <c r="L9" s="305" t="s">
        <v>1130</v>
      </c>
      <c r="M9" s="235">
        <v>10.5426</v>
      </c>
      <c r="N9">
        <v>3.16612E-2</v>
      </c>
      <c r="O9">
        <v>8.2841299999999993</v>
      </c>
      <c r="P9">
        <v>1.3887100000000001</v>
      </c>
      <c r="Q9" s="159">
        <v>3.7203900000000001</v>
      </c>
      <c r="S9" s="158" t="s">
        <v>142</v>
      </c>
      <c r="T9" s="235">
        <v>0.94316900000000004</v>
      </c>
      <c r="U9">
        <v>0.80610000000000004</v>
      </c>
      <c r="V9" s="159">
        <v>0.65797799999999995</v>
      </c>
      <c r="X9" s="158" t="s">
        <v>142</v>
      </c>
      <c r="Y9" s="235">
        <v>-7.1469000000000003E-3</v>
      </c>
      <c r="Z9">
        <v>-1.8743200000000001E-3</v>
      </c>
      <c r="AA9" s="159">
        <v>-1.2247900000000001E-2</v>
      </c>
      <c r="AC9" s="158" t="s">
        <v>142</v>
      </c>
      <c r="AD9" s="235">
        <v>0.17979600000000001</v>
      </c>
      <c r="AE9">
        <v>0.64516700000000005</v>
      </c>
      <c r="AF9" s="159">
        <v>0.175037</v>
      </c>
      <c r="AH9" s="158" t="s">
        <v>142</v>
      </c>
      <c r="AI9" s="235">
        <v>-3.8446600000000002E-3</v>
      </c>
      <c r="AJ9">
        <v>-7.4855800000000004E-3</v>
      </c>
      <c r="AK9" s="159">
        <v>1.13302E-2</v>
      </c>
      <c r="AM9" s="158" t="s">
        <v>141</v>
      </c>
      <c r="AN9" s="235">
        <v>13.3405</v>
      </c>
      <c r="AO9">
        <v>15.482200000000001</v>
      </c>
      <c r="AP9" s="159">
        <v>22.4451</v>
      </c>
      <c r="AQ9">
        <v>10.533799999999999</v>
      </c>
      <c r="AR9">
        <v>13.297700000000001</v>
      </c>
      <c r="AS9">
        <v>17.577200000000001</v>
      </c>
    </row>
    <row r="10" spans="2:45" ht="14.5">
      <c r="D10" s="158" t="s">
        <v>142</v>
      </c>
      <c r="E10" s="235">
        <v>0.43552600000000002</v>
      </c>
      <c r="F10">
        <v>0.464754</v>
      </c>
      <c r="G10" s="159">
        <v>0.60424699999999998</v>
      </c>
      <c r="H10" s="235">
        <v>0.45633600000000002</v>
      </c>
      <c r="I10">
        <v>0.425929</v>
      </c>
      <c r="J10" s="159">
        <v>0.51988199999999996</v>
      </c>
      <c r="L10" s="305" t="s">
        <v>1131</v>
      </c>
      <c r="M10" s="235">
        <v>11.505000000000001</v>
      </c>
      <c r="N10">
        <v>2.6137700000000001</v>
      </c>
      <c r="O10">
        <v>0.194215</v>
      </c>
      <c r="P10">
        <v>2.2724500000000001</v>
      </c>
      <c r="Q10" s="159">
        <v>7.3889800000000001</v>
      </c>
      <c r="S10" s="158" t="s">
        <v>143</v>
      </c>
      <c r="T10" s="235">
        <v>0.94316900000000004</v>
      </c>
      <c r="U10">
        <v>0.80610000000000004</v>
      </c>
      <c r="V10" s="159">
        <v>0.65797799999999995</v>
      </c>
      <c r="X10" s="158" t="s">
        <v>143</v>
      </c>
      <c r="Y10" s="235">
        <v>-7.1469000000000003E-3</v>
      </c>
      <c r="Z10">
        <v>-1.8743200000000001E-3</v>
      </c>
      <c r="AA10" s="159">
        <v>-1.2247900000000001E-2</v>
      </c>
      <c r="AC10" s="158" t="s">
        <v>143</v>
      </c>
      <c r="AD10" s="235">
        <v>0.17979600000000001</v>
      </c>
      <c r="AE10">
        <v>0.64516700000000005</v>
      </c>
      <c r="AF10" s="159">
        <v>0.175037</v>
      </c>
      <c r="AH10" s="158" t="s">
        <v>143</v>
      </c>
      <c r="AI10" s="235">
        <v>-3.8446600000000002E-3</v>
      </c>
      <c r="AJ10">
        <v>-7.4855800000000004E-3</v>
      </c>
      <c r="AK10" s="159">
        <v>1.13302E-2</v>
      </c>
      <c r="AM10" s="158" t="s">
        <v>142</v>
      </c>
      <c r="AN10" s="235">
        <v>13.3405</v>
      </c>
      <c r="AO10">
        <v>15.482200000000001</v>
      </c>
      <c r="AP10" s="159">
        <v>22.4451</v>
      </c>
      <c r="AQ10">
        <v>10.533799999999999</v>
      </c>
      <c r="AR10">
        <v>13.297700000000001</v>
      </c>
      <c r="AS10">
        <v>17.577200000000001</v>
      </c>
    </row>
    <row r="11" spans="2:45" ht="14.5">
      <c r="D11" s="158" t="s">
        <v>143</v>
      </c>
      <c r="E11" s="235">
        <v>0.43552600000000002</v>
      </c>
      <c r="F11">
        <v>0.464754</v>
      </c>
      <c r="G11" s="159">
        <v>0.60424699999999998</v>
      </c>
      <c r="H11" s="235">
        <v>0.45633600000000002</v>
      </c>
      <c r="I11">
        <v>0.425929</v>
      </c>
      <c r="J11" s="159">
        <v>0.51988199999999996</v>
      </c>
      <c r="L11" s="305" t="s">
        <v>1132</v>
      </c>
      <c r="M11" s="235">
        <v>12.6685</v>
      </c>
      <c r="N11">
        <v>3.1045700000000001E-3</v>
      </c>
      <c r="O11">
        <v>0.43545800000000001</v>
      </c>
      <c r="P11">
        <v>3.3955899999999999</v>
      </c>
      <c r="Q11" s="159">
        <v>7.4771200000000002</v>
      </c>
      <c r="S11" s="158" t="s">
        <v>144</v>
      </c>
      <c r="T11" s="235">
        <v>0.94316900000000004</v>
      </c>
      <c r="U11">
        <v>0.80610000000000004</v>
      </c>
      <c r="V11" s="159">
        <v>0.65797799999999995</v>
      </c>
      <c r="X11" s="158" t="s">
        <v>144</v>
      </c>
      <c r="Y11" s="235">
        <v>-7.1469000000000003E-3</v>
      </c>
      <c r="Z11">
        <v>-1.8743200000000001E-3</v>
      </c>
      <c r="AA11" s="159">
        <v>-1.2247900000000001E-2</v>
      </c>
      <c r="AC11" s="158" t="s">
        <v>144</v>
      </c>
      <c r="AD11" s="235">
        <v>0.17979600000000001</v>
      </c>
      <c r="AE11">
        <v>0.64516700000000005</v>
      </c>
      <c r="AF11" s="159">
        <v>0.175037</v>
      </c>
      <c r="AH11" s="158" t="s">
        <v>144</v>
      </c>
      <c r="AI11" s="235">
        <v>-3.8446600000000002E-3</v>
      </c>
      <c r="AJ11">
        <v>-7.4855800000000004E-3</v>
      </c>
      <c r="AK11" s="159">
        <v>1.13302E-2</v>
      </c>
      <c r="AM11" s="158" t="s">
        <v>143</v>
      </c>
      <c r="AN11" s="235">
        <v>13.3405</v>
      </c>
      <c r="AO11">
        <v>15.482200000000001</v>
      </c>
      <c r="AP11" s="159">
        <v>22.4451</v>
      </c>
      <c r="AQ11">
        <v>10.533799999999999</v>
      </c>
      <c r="AR11">
        <v>13.297700000000001</v>
      </c>
      <c r="AS11">
        <v>17.577200000000001</v>
      </c>
    </row>
    <row r="12" spans="2:45" ht="14.5">
      <c r="D12" s="158" t="s">
        <v>144</v>
      </c>
      <c r="E12" s="235">
        <v>0.43552600000000002</v>
      </c>
      <c r="F12">
        <v>0.464754</v>
      </c>
      <c r="G12" s="159">
        <v>0.60424699999999998</v>
      </c>
      <c r="H12" s="235">
        <v>0.45633600000000002</v>
      </c>
      <c r="I12">
        <v>0.425929</v>
      </c>
      <c r="J12" s="159">
        <v>0.51988199999999996</v>
      </c>
      <c r="L12" s="305" t="s">
        <v>1133</v>
      </c>
      <c r="M12" s="235">
        <v>11.677899999999999</v>
      </c>
      <c r="N12">
        <v>0.60239200000000004</v>
      </c>
      <c r="O12">
        <v>0.59716000000000002</v>
      </c>
      <c r="P12">
        <v>5.6263100000000001</v>
      </c>
      <c r="Q12" s="159">
        <v>5.4723499999999996</v>
      </c>
      <c r="S12" s="158" t="s">
        <v>61</v>
      </c>
      <c r="T12" s="235">
        <v>0.94937700000000003</v>
      </c>
      <c r="U12">
        <v>0.79133699999999996</v>
      </c>
      <c r="V12" s="159">
        <v>0.579982</v>
      </c>
      <c r="X12" s="158" t="s">
        <v>61</v>
      </c>
      <c r="Y12" s="306">
        <v>7.0539999999999999E-5</v>
      </c>
      <c r="Z12">
        <v>2.3968599999999998E-3</v>
      </c>
      <c r="AA12" s="159">
        <v>-1.7462700000000001E-3</v>
      </c>
      <c r="AC12" s="158" t="s">
        <v>61</v>
      </c>
      <c r="AD12" s="235">
        <v>0.52925599999999995</v>
      </c>
      <c r="AE12">
        <v>0.408138</v>
      </c>
      <c r="AF12" s="159">
        <v>6.2605800000000003E-2</v>
      </c>
      <c r="AH12" s="158" t="s">
        <v>61</v>
      </c>
      <c r="AI12" s="235">
        <v>-1.4673399999999999E-3</v>
      </c>
      <c r="AJ12">
        <v>-1.73E-3</v>
      </c>
      <c r="AK12" s="159">
        <v>3.1971199999999999E-3</v>
      </c>
      <c r="AM12" s="158" t="s">
        <v>144</v>
      </c>
      <c r="AN12" s="235">
        <v>13.3405</v>
      </c>
      <c r="AO12">
        <v>15.482200000000001</v>
      </c>
      <c r="AP12" s="159">
        <v>22.4451</v>
      </c>
      <c r="AQ12">
        <v>10.533799999999999</v>
      </c>
      <c r="AR12">
        <v>13.297700000000001</v>
      </c>
      <c r="AS12">
        <v>17.577200000000001</v>
      </c>
    </row>
    <row r="13" spans="2:45" ht="14.5">
      <c r="D13" s="158" t="s">
        <v>61</v>
      </c>
      <c r="E13" s="235">
        <v>0.43552600000000002</v>
      </c>
      <c r="F13">
        <v>0.464754</v>
      </c>
      <c r="G13" s="159">
        <v>0.60424699999999998</v>
      </c>
      <c r="H13" s="235">
        <v>0.45633600000000002</v>
      </c>
      <c r="I13">
        <v>0.425929</v>
      </c>
      <c r="J13" s="159">
        <v>0.51988199999999996</v>
      </c>
      <c r="L13" s="305" t="s">
        <v>1134</v>
      </c>
      <c r="M13" s="235">
        <v>10.4434</v>
      </c>
      <c r="N13">
        <v>5.0883100000000001E-2</v>
      </c>
      <c r="O13">
        <v>6.4708399999999999</v>
      </c>
      <c r="P13">
        <v>3.8565999999999998</v>
      </c>
      <c r="Q13" s="159">
        <v>3.1502699999999999</v>
      </c>
      <c r="S13" s="158" t="s">
        <v>63</v>
      </c>
      <c r="T13" s="235">
        <v>0.98353900000000005</v>
      </c>
      <c r="U13">
        <v>0.89183999999999997</v>
      </c>
      <c r="V13" s="159">
        <v>0.79775700000000005</v>
      </c>
      <c r="X13" s="158" t="s">
        <v>63</v>
      </c>
      <c r="Y13" s="235">
        <v>-1.8155999999999999E-4</v>
      </c>
      <c r="Z13">
        <v>2.4578E-3</v>
      </c>
      <c r="AA13" s="159">
        <v>-1.16784E-2</v>
      </c>
      <c r="AC13" s="158" t="s">
        <v>63</v>
      </c>
      <c r="AD13" s="235">
        <v>0.59062499999999996</v>
      </c>
      <c r="AE13">
        <v>0.37290099999999998</v>
      </c>
      <c r="AF13" s="159">
        <v>3.6474600000000003E-2</v>
      </c>
      <c r="AH13" s="158" t="s">
        <v>63</v>
      </c>
      <c r="AI13" s="235">
        <v>-5.0265500000000003E-3</v>
      </c>
      <c r="AJ13">
        <v>3.8726899999999998E-3</v>
      </c>
      <c r="AK13" s="159">
        <v>1.15386E-3</v>
      </c>
      <c r="AM13" s="158" t="s">
        <v>61</v>
      </c>
      <c r="AN13" s="235">
        <v>13.3405</v>
      </c>
      <c r="AO13">
        <v>15.482200000000001</v>
      </c>
      <c r="AP13" s="159">
        <v>22.4451</v>
      </c>
      <c r="AQ13">
        <v>10.533799999999999</v>
      </c>
      <c r="AR13">
        <v>13.297700000000001</v>
      </c>
      <c r="AS13">
        <v>17.577200000000001</v>
      </c>
    </row>
    <row r="14" spans="2:45" ht="14.5">
      <c r="D14" s="158" t="s">
        <v>63</v>
      </c>
      <c r="E14" s="235">
        <v>0.46535100000000001</v>
      </c>
      <c r="F14">
        <v>0.58385299999999996</v>
      </c>
      <c r="G14" s="159">
        <v>0.724823</v>
      </c>
      <c r="H14" s="235">
        <v>0.60241100000000003</v>
      </c>
      <c r="I14">
        <v>0.40212399999999998</v>
      </c>
      <c r="J14" s="159">
        <v>0.44122400000000001</v>
      </c>
      <c r="L14" s="305" t="s">
        <v>1135</v>
      </c>
      <c r="M14" s="235">
        <v>11.2257</v>
      </c>
      <c r="N14">
        <v>1.7977300000000001</v>
      </c>
      <c r="O14">
        <v>7.9827400000000007E-2</v>
      </c>
      <c r="P14">
        <v>5.6984899999999996</v>
      </c>
      <c r="Q14" s="159">
        <v>5.1712499999999997</v>
      </c>
      <c r="S14" s="158" t="s">
        <v>65</v>
      </c>
      <c r="T14" s="235">
        <v>0.67702899999999999</v>
      </c>
      <c r="U14">
        <v>0.54503999999999997</v>
      </c>
      <c r="V14" s="159">
        <v>0.46856700000000001</v>
      </c>
      <c r="X14" s="158" t="s">
        <v>65</v>
      </c>
      <c r="Y14" s="235">
        <v>2.9982899999999998E-3</v>
      </c>
      <c r="Z14">
        <v>1.39427E-3</v>
      </c>
      <c r="AA14" s="159">
        <v>-1.46444E-3</v>
      </c>
      <c r="AC14" s="158" t="s">
        <v>65</v>
      </c>
      <c r="AD14" s="235">
        <v>0.41236</v>
      </c>
      <c r="AE14">
        <v>0.51588599999999996</v>
      </c>
      <c r="AF14" s="159">
        <v>7.1753999999999998E-2</v>
      </c>
      <c r="AH14" s="158" t="s">
        <v>65</v>
      </c>
      <c r="AI14" s="235">
        <v>-7.6199900000000001E-3</v>
      </c>
      <c r="AJ14">
        <v>2.1786800000000001E-3</v>
      </c>
      <c r="AK14" s="159">
        <v>5.4412999999999996E-3</v>
      </c>
      <c r="AM14" s="158" t="s">
        <v>63</v>
      </c>
      <c r="AN14" s="235">
        <v>10.629300000000001</v>
      </c>
      <c r="AO14">
        <v>12.29</v>
      </c>
      <c r="AP14" s="159">
        <v>22.826699999999999</v>
      </c>
      <c r="AQ14">
        <v>8.7020900000000001</v>
      </c>
      <c r="AR14">
        <v>13.876899999999999</v>
      </c>
      <c r="AS14">
        <v>13.4818</v>
      </c>
    </row>
    <row r="15" spans="2:45" ht="14.5">
      <c r="D15" s="158" t="s">
        <v>65</v>
      </c>
      <c r="E15" s="235">
        <v>0.49099100000000001</v>
      </c>
      <c r="F15">
        <v>0.56136799999999998</v>
      </c>
      <c r="G15" s="159">
        <v>0.53537299999999999</v>
      </c>
      <c r="H15" s="235">
        <v>0.46306599999999998</v>
      </c>
      <c r="I15">
        <v>0.44894099999999998</v>
      </c>
      <c r="J15" s="159">
        <v>0.49129400000000001</v>
      </c>
      <c r="L15" s="305" t="s">
        <v>1136</v>
      </c>
      <c r="M15" s="235">
        <v>11.624000000000001</v>
      </c>
      <c r="N15">
        <v>1.0330600000000001E-2</v>
      </c>
      <c r="O15">
        <v>0.28650100000000001</v>
      </c>
      <c r="P15">
        <v>5.9428400000000003</v>
      </c>
      <c r="Q15" s="159">
        <v>6.1143299999999998</v>
      </c>
      <c r="S15" s="158" t="s">
        <v>67</v>
      </c>
      <c r="T15" s="235">
        <v>0.92048600000000003</v>
      </c>
      <c r="U15">
        <v>0.74045799999999995</v>
      </c>
      <c r="V15" s="159">
        <v>0.57366099999999998</v>
      </c>
      <c r="X15" s="158" t="s">
        <v>67</v>
      </c>
      <c r="Y15" s="235">
        <v>-1.07562E-3</v>
      </c>
      <c r="Z15">
        <v>1.28498E-3</v>
      </c>
      <c r="AA15" s="159">
        <v>-3.48453E-3</v>
      </c>
      <c r="AC15" s="158" t="s">
        <v>67</v>
      </c>
      <c r="AD15" s="235">
        <v>0.41564000000000001</v>
      </c>
      <c r="AE15">
        <v>0.52130699999999996</v>
      </c>
      <c r="AF15" s="159">
        <v>6.3052800000000006E-2</v>
      </c>
      <c r="AH15" s="158" t="s">
        <v>67</v>
      </c>
      <c r="AI15" s="235">
        <v>-3.9909799999999999E-3</v>
      </c>
      <c r="AJ15">
        <v>-4.2701000000000002E-4</v>
      </c>
      <c r="AK15" s="159">
        <v>4.4179900000000001E-3</v>
      </c>
      <c r="AM15" s="158" t="s">
        <v>65</v>
      </c>
      <c r="AN15" s="235">
        <v>11.1089</v>
      </c>
      <c r="AO15">
        <v>13.847</v>
      </c>
      <c r="AP15" s="159">
        <v>15.852</v>
      </c>
      <c r="AQ15">
        <v>10.407299999999999</v>
      </c>
      <c r="AR15">
        <v>12.2057</v>
      </c>
      <c r="AS15">
        <v>15.472899999999999</v>
      </c>
    </row>
    <row r="16" spans="2:45" ht="14.5">
      <c r="D16" s="158" t="s">
        <v>67</v>
      </c>
      <c r="E16" s="235">
        <v>0.47420699999999999</v>
      </c>
      <c r="F16">
        <v>0.45651000000000003</v>
      </c>
      <c r="G16" s="159">
        <v>0.52610999999999997</v>
      </c>
      <c r="H16" s="235">
        <v>0.46733799999999998</v>
      </c>
      <c r="I16">
        <v>0.35845100000000002</v>
      </c>
      <c r="J16" s="159">
        <v>0.40725</v>
      </c>
      <c r="L16" s="305" t="s">
        <v>1137</v>
      </c>
      <c r="M16" s="235">
        <v>11.775399999999999</v>
      </c>
      <c r="N16">
        <v>0.474603</v>
      </c>
      <c r="O16">
        <v>1.5103200000000001</v>
      </c>
      <c r="P16">
        <v>2.3174600000000001</v>
      </c>
      <c r="Q16" s="159">
        <v>7.88809</v>
      </c>
      <c r="S16" s="158" t="s">
        <v>69</v>
      </c>
      <c r="T16" s="235">
        <v>0.50041000000000002</v>
      </c>
      <c r="U16">
        <v>0.49842500000000001</v>
      </c>
      <c r="V16" s="159">
        <v>0.36777100000000001</v>
      </c>
      <c r="X16" s="158" t="s">
        <v>69</v>
      </c>
      <c r="Y16" s="235">
        <v>2.41683E-3</v>
      </c>
      <c r="Z16">
        <v>-1.4763999999999999E-4</v>
      </c>
      <c r="AA16" s="159">
        <v>4.8758999999999999E-4</v>
      </c>
      <c r="AC16" s="158" t="s">
        <v>69</v>
      </c>
      <c r="AD16" s="235">
        <v>0.47679300000000002</v>
      </c>
      <c r="AE16">
        <v>0.47799900000000001</v>
      </c>
      <c r="AF16" s="159">
        <v>4.5208100000000001E-2</v>
      </c>
      <c r="AH16" s="158" t="s">
        <v>69</v>
      </c>
      <c r="AI16" s="235">
        <v>-7.5661399999999998E-3</v>
      </c>
      <c r="AJ16">
        <v>3.6633199999999999E-3</v>
      </c>
      <c r="AK16" s="159">
        <v>3.90282E-3</v>
      </c>
      <c r="AM16" s="158" t="s">
        <v>67</v>
      </c>
      <c r="AN16" s="235">
        <v>12.8734</v>
      </c>
      <c r="AO16">
        <v>16.315100000000001</v>
      </c>
      <c r="AP16" s="159">
        <v>23.3689</v>
      </c>
      <c r="AQ16">
        <v>10.4864</v>
      </c>
      <c r="AR16">
        <v>16.183399999999999</v>
      </c>
      <c r="AS16">
        <v>17.206399999999999</v>
      </c>
    </row>
    <row r="17" spans="4:45" ht="14.5">
      <c r="D17" s="158" t="s">
        <v>69</v>
      </c>
      <c r="E17" s="235">
        <v>0.55198999999999998</v>
      </c>
      <c r="F17">
        <v>0.67053799999999997</v>
      </c>
      <c r="G17" s="159">
        <v>1.0926800000000001</v>
      </c>
      <c r="H17" s="235">
        <v>0.51467399999999996</v>
      </c>
      <c r="I17">
        <v>0.57952499999999996</v>
      </c>
      <c r="J17" s="159">
        <v>0.66149800000000003</v>
      </c>
      <c r="L17" s="305" t="s">
        <v>1138</v>
      </c>
      <c r="M17" s="235">
        <v>10.366300000000001</v>
      </c>
      <c r="N17">
        <v>3.3092700000000003E-2</v>
      </c>
      <c r="O17">
        <v>8.5105900000000005</v>
      </c>
      <c r="P17">
        <v>1.45319</v>
      </c>
      <c r="Q17" s="159">
        <v>3.6151599999999999</v>
      </c>
      <c r="S17" s="158" t="s">
        <v>145</v>
      </c>
      <c r="T17" s="235">
        <v>0.631741</v>
      </c>
      <c r="U17">
        <v>0.59791000000000005</v>
      </c>
      <c r="V17" s="159">
        <v>0.56825700000000001</v>
      </c>
      <c r="X17" s="158" t="s">
        <v>145</v>
      </c>
      <c r="Y17" s="235">
        <v>-3.57464E-3</v>
      </c>
      <c r="Z17">
        <v>3.1817199999999999E-3</v>
      </c>
      <c r="AA17" s="159">
        <v>2.5231899999999998E-3</v>
      </c>
      <c r="AC17" s="158" t="s">
        <v>145</v>
      </c>
      <c r="AD17" s="235">
        <v>0.15878999999999999</v>
      </c>
      <c r="AE17">
        <v>0.56937599999999999</v>
      </c>
      <c r="AF17" s="159">
        <v>0.27183400000000002</v>
      </c>
      <c r="AH17" s="158" t="s">
        <v>145</v>
      </c>
      <c r="AI17" s="235">
        <v>-2.3840100000000002E-3</v>
      </c>
      <c r="AJ17">
        <v>-6.3299599999999999E-3</v>
      </c>
      <c r="AK17" s="159">
        <v>8.7139699999999997E-3</v>
      </c>
      <c r="AM17" s="158" t="s">
        <v>69</v>
      </c>
      <c r="AN17" s="235">
        <v>9.1577000000000002</v>
      </c>
      <c r="AO17">
        <v>10.3018</v>
      </c>
      <c r="AP17" s="159">
        <v>19.016400000000001</v>
      </c>
      <c r="AQ17">
        <v>8.4991699999999994</v>
      </c>
      <c r="AR17">
        <v>8.7289399999999997</v>
      </c>
      <c r="AS17">
        <v>13.3299</v>
      </c>
    </row>
    <row r="18" spans="4:45" ht="14.5">
      <c r="D18" s="158" t="s">
        <v>145</v>
      </c>
      <c r="E18" s="235">
        <v>1.75851</v>
      </c>
      <c r="F18">
        <v>0.55911</v>
      </c>
      <c r="G18" s="159">
        <v>0.56606100000000004</v>
      </c>
      <c r="H18" s="235">
        <v>0.48931799999999998</v>
      </c>
      <c r="I18">
        <v>0.51602400000000004</v>
      </c>
      <c r="J18" s="159">
        <v>0.57557800000000003</v>
      </c>
      <c r="L18" s="305" t="s">
        <v>1139</v>
      </c>
      <c r="M18" s="235">
        <v>11.565200000000001</v>
      </c>
      <c r="N18">
        <v>2.54325</v>
      </c>
      <c r="O18">
        <v>0.12110700000000001</v>
      </c>
      <c r="P18">
        <v>2.4123399999999999</v>
      </c>
      <c r="Q18" s="159">
        <v>7.3160299999999996</v>
      </c>
      <c r="S18" s="158" t="s">
        <v>73</v>
      </c>
      <c r="T18" s="235">
        <v>0.64624099999999995</v>
      </c>
      <c r="U18">
        <v>0.55718999999999996</v>
      </c>
      <c r="V18" s="159">
        <v>0.57867999999999997</v>
      </c>
      <c r="X18" s="158" t="s">
        <v>73</v>
      </c>
      <c r="Y18" s="235">
        <v>-1.6843400000000001E-3</v>
      </c>
      <c r="Z18">
        <v>-2.3236E-4</v>
      </c>
      <c r="AA18" s="159">
        <v>-3.5325700000000001E-3</v>
      </c>
      <c r="AC18" s="158" t="s">
        <v>73</v>
      </c>
      <c r="AD18" s="235">
        <v>6.1402400000000003E-2</v>
      </c>
      <c r="AE18">
        <v>0.63360799999999995</v>
      </c>
      <c r="AF18" s="159">
        <v>0.30498999999999998</v>
      </c>
      <c r="AH18" s="158" t="s">
        <v>73</v>
      </c>
      <c r="AI18" s="235">
        <v>-2.48307E-3</v>
      </c>
      <c r="AJ18">
        <v>-8.7788799999999993E-3</v>
      </c>
      <c r="AK18" s="159">
        <v>1.1261999999999999E-2</v>
      </c>
      <c r="AM18" s="158" t="s">
        <v>145</v>
      </c>
      <c r="AN18" s="235">
        <v>13.5351</v>
      </c>
      <c r="AO18">
        <v>15.68</v>
      </c>
      <c r="AP18" s="159">
        <v>21.701899999999998</v>
      </c>
      <c r="AQ18">
        <v>9.9227100000000004</v>
      </c>
      <c r="AR18">
        <v>12.536199999999999</v>
      </c>
      <c r="AS18">
        <v>14.8704</v>
      </c>
    </row>
    <row r="19" spans="4:45" ht="15.75" customHeight="1">
      <c r="D19" s="158" t="s">
        <v>73</v>
      </c>
      <c r="E19" s="235">
        <v>0.65424000000000004</v>
      </c>
      <c r="F19">
        <v>0.55642400000000003</v>
      </c>
      <c r="G19" s="159">
        <v>0.61227200000000004</v>
      </c>
      <c r="H19" s="235">
        <v>0.39271600000000001</v>
      </c>
      <c r="I19">
        <v>0.46158700000000003</v>
      </c>
      <c r="J19" s="159">
        <v>0.36461100000000002</v>
      </c>
      <c r="L19" s="305" t="s">
        <v>1140</v>
      </c>
      <c r="M19" s="235">
        <v>11.754899999999999</v>
      </c>
      <c r="N19">
        <v>1.3888899999999999E-2</v>
      </c>
      <c r="O19">
        <v>0.82430599999999998</v>
      </c>
      <c r="P19">
        <v>3.77569</v>
      </c>
      <c r="Q19" s="159">
        <v>7.5972200000000001</v>
      </c>
      <c r="S19" s="158" t="s">
        <v>75</v>
      </c>
      <c r="T19" s="235">
        <v>0.52050700000000005</v>
      </c>
      <c r="U19">
        <v>0.56345900000000004</v>
      </c>
      <c r="V19" s="159">
        <v>0.57101900000000005</v>
      </c>
      <c r="X19" s="158" t="s">
        <v>75</v>
      </c>
      <c r="Y19" s="235">
        <v>9.4881400000000008E-3</v>
      </c>
      <c r="Z19">
        <v>-3.9958900000000002E-3</v>
      </c>
      <c r="AA19" s="159">
        <v>-7.2863199999999998E-3</v>
      </c>
      <c r="AC19" s="158" t="s">
        <v>75</v>
      </c>
      <c r="AD19" s="235">
        <v>0.17660300000000001</v>
      </c>
      <c r="AE19">
        <v>0.67251700000000003</v>
      </c>
      <c r="AF19" s="159">
        <v>0.15087999999999999</v>
      </c>
      <c r="AH19" s="158" t="s">
        <v>75</v>
      </c>
      <c r="AI19" s="235">
        <v>-4.3204599999999999E-3</v>
      </c>
      <c r="AJ19">
        <v>-5.7742999999999996E-3</v>
      </c>
      <c r="AK19" s="159">
        <v>1.0094799999999999E-2</v>
      </c>
      <c r="AM19" s="158" t="s">
        <v>73</v>
      </c>
      <c r="AN19" s="235">
        <v>19.4177</v>
      </c>
      <c r="AO19">
        <v>27.8353</v>
      </c>
      <c r="AP19" s="159">
        <v>30.924499999999998</v>
      </c>
      <c r="AQ19">
        <v>17.836099999999998</v>
      </c>
      <c r="AR19">
        <v>19.650099999999998</v>
      </c>
      <c r="AS19">
        <v>21.527799999999999</v>
      </c>
    </row>
    <row r="20" spans="4:45" ht="15.75" customHeight="1">
      <c r="D20" s="158" t="s">
        <v>75</v>
      </c>
      <c r="E20" s="235">
        <v>0.43449900000000002</v>
      </c>
      <c r="F20">
        <v>0.95509999999999995</v>
      </c>
      <c r="G20" s="159">
        <v>0.7026</v>
      </c>
      <c r="H20" s="235">
        <v>1.23987</v>
      </c>
      <c r="I20">
        <v>0.48470600000000003</v>
      </c>
      <c r="J20" s="159">
        <v>0.67654700000000001</v>
      </c>
      <c r="L20" s="305" t="s">
        <v>1141</v>
      </c>
      <c r="M20" s="235">
        <v>11.5183</v>
      </c>
      <c r="N20">
        <v>1.0162599999999999</v>
      </c>
      <c r="O20">
        <v>0.46951199999999998</v>
      </c>
      <c r="P20">
        <v>5.1971499999999997</v>
      </c>
      <c r="Q20" s="159">
        <v>5.7601599999999999</v>
      </c>
      <c r="S20" s="158" t="s">
        <v>146</v>
      </c>
      <c r="T20" s="235">
        <v>0.59625499999999998</v>
      </c>
      <c r="U20">
        <v>0.52366299999999999</v>
      </c>
      <c r="V20" s="159">
        <v>0.531999</v>
      </c>
      <c r="X20" s="158" t="s">
        <v>146</v>
      </c>
      <c r="Y20" s="235">
        <v>1.7929599999999999E-3</v>
      </c>
      <c r="Z20">
        <v>2.4836599999999999E-3</v>
      </c>
      <c r="AA20" s="159">
        <v>-4.8679400000000003E-3</v>
      </c>
      <c r="AC20" s="158" t="s">
        <v>146</v>
      </c>
      <c r="AD20" s="235">
        <v>0.24082600000000001</v>
      </c>
      <c r="AE20">
        <v>0.470113</v>
      </c>
      <c r="AF20" s="159">
        <v>0.28906100000000001</v>
      </c>
      <c r="AH20" s="158" t="s">
        <v>146</v>
      </c>
      <c r="AI20" s="235">
        <v>-1.81883E-3</v>
      </c>
      <c r="AJ20">
        <v>-4.6206900000000002E-3</v>
      </c>
      <c r="AK20" s="159">
        <v>6.4395299999999997E-3</v>
      </c>
      <c r="AM20" s="158" t="s">
        <v>75</v>
      </c>
      <c r="AN20" s="235">
        <v>12.015700000000001</v>
      </c>
      <c r="AO20">
        <v>15.3995</v>
      </c>
      <c r="AP20" s="159">
        <v>18.7774</v>
      </c>
      <c r="AQ20">
        <v>11.655900000000001</v>
      </c>
      <c r="AR20">
        <v>12.4641</v>
      </c>
      <c r="AS20">
        <v>15.4763</v>
      </c>
    </row>
    <row r="21" spans="4:45" ht="15.75" customHeight="1">
      <c r="D21" s="158" t="s">
        <v>146</v>
      </c>
      <c r="E21" s="235">
        <v>0.44029600000000002</v>
      </c>
      <c r="F21">
        <v>0.88231000000000004</v>
      </c>
      <c r="G21" s="159">
        <v>0.67683400000000005</v>
      </c>
      <c r="H21" s="235">
        <v>1.1270899999999999</v>
      </c>
      <c r="I21">
        <v>0.46627400000000002</v>
      </c>
      <c r="J21" s="159">
        <v>0.63723099999999999</v>
      </c>
      <c r="L21" s="305" t="s">
        <v>1142</v>
      </c>
      <c r="M21" s="235">
        <v>10.4618</v>
      </c>
      <c r="N21">
        <v>0.112487</v>
      </c>
      <c r="O21">
        <v>6.6181599999999996</v>
      </c>
      <c r="P21">
        <v>3.5807500000000001</v>
      </c>
      <c r="Q21" s="159">
        <v>3.1857600000000001</v>
      </c>
      <c r="S21" s="158" t="s">
        <v>83</v>
      </c>
      <c r="T21" s="235">
        <v>0.829878</v>
      </c>
      <c r="U21">
        <v>0.64538600000000002</v>
      </c>
      <c r="V21" s="159">
        <v>0.54747299999999999</v>
      </c>
      <c r="X21" s="158" t="s">
        <v>83</v>
      </c>
      <c r="Y21" s="235">
        <v>-9.1328000000000004E-4</v>
      </c>
      <c r="Z21">
        <v>1.4211600000000001E-3</v>
      </c>
      <c r="AA21" s="159">
        <v>2.2635400000000001E-3</v>
      </c>
      <c r="AC21" s="158" t="s">
        <v>83</v>
      </c>
      <c r="AD21" s="235">
        <v>0.193518</v>
      </c>
      <c r="AE21">
        <v>0.58944399999999997</v>
      </c>
      <c r="AF21" s="159">
        <v>0.21703800000000001</v>
      </c>
      <c r="AH21" s="158" t="s">
        <v>83</v>
      </c>
      <c r="AI21" s="235">
        <v>-7.3494399999999996E-3</v>
      </c>
      <c r="AJ21">
        <v>-7.8806000000000004E-4</v>
      </c>
      <c r="AK21" s="159">
        <v>8.1375000000000006E-3</v>
      </c>
      <c r="AM21" s="158" t="s">
        <v>146</v>
      </c>
      <c r="AN21" s="235">
        <v>12.1409</v>
      </c>
      <c r="AO21">
        <v>15.533200000000001</v>
      </c>
      <c r="AP21" s="159">
        <v>19.447800000000001</v>
      </c>
      <c r="AQ21">
        <v>11.485200000000001</v>
      </c>
      <c r="AR21">
        <v>13.007099999999999</v>
      </c>
      <c r="AS21">
        <v>15.728899999999999</v>
      </c>
    </row>
    <row r="22" spans="4:45" ht="15.75" customHeight="1">
      <c r="D22" s="158" t="s">
        <v>83</v>
      </c>
      <c r="E22" s="235">
        <v>0.30064299999999999</v>
      </c>
      <c r="F22">
        <v>0.35498800000000003</v>
      </c>
      <c r="G22" s="159">
        <v>0.65567399999999998</v>
      </c>
      <c r="H22" s="235">
        <v>0.50717299999999998</v>
      </c>
      <c r="I22">
        <v>0.294707</v>
      </c>
      <c r="J22" s="159">
        <v>0.56107799999999997</v>
      </c>
      <c r="L22" s="305" t="s">
        <v>1143</v>
      </c>
      <c r="M22" s="235">
        <v>10.9762</v>
      </c>
      <c r="N22">
        <v>1.96078</v>
      </c>
      <c r="O22">
        <v>0.44957999999999998</v>
      </c>
      <c r="P22">
        <v>5.3963599999999996</v>
      </c>
      <c r="Q22" s="159">
        <v>5.1988799999999999</v>
      </c>
      <c r="S22" s="158" t="s">
        <v>85</v>
      </c>
      <c r="T22" s="235">
        <v>0.34634500000000001</v>
      </c>
      <c r="U22">
        <v>0.17802299999999999</v>
      </c>
      <c r="V22" s="159">
        <v>0.269704</v>
      </c>
      <c r="X22" s="158" t="s">
        <v>85</v>
      </c>
      <c r="Y22" s="235">
        <v>-9.9533999999999994E-4</v>
      </c>
      <c r="Z22">
        <v>1.89679E-3</v>
      </c>
      <c r="AA22" s="159">
        <v>-1.6773300000000001E-3</v>
      </c>
      <c r="AC22" s="158" t="s">
        <v>85</v>
      </c>
      <c r="AD22" s="235">
        <v>8.3990099999999998E-2</v>
      </c>
      <c r="AE22">
        <v>0.40675699999999998</v>
      </c>
      <c r="AF22" s="159">
        <v>0.50925299999999996</v>
      </c>
      <c r="AH22" s="158" t="s">
        <v>85</v>
      </c>
      <c r="AI22" s="235">
        <v>-1.4340100000000001E-3</v>
      </c>
      <c r="AJ22">
        <v>-8.0035699999999998E-3</v>
      </c>
      <c r="AK22" s="159">
        <v>9.4375799999999992E-3</v>
      </c>
      <c r="AM22" s="158" t="s">
        <v>83</v>
      </c>
      <c r="AN22" s="235">
        <v>18.125</v>
      </c>
      <c r="AO22">
        <v>19.1798</v>
      </c>
      <c r="AP22" s="159">
        <v>26.766999999999999</v>
      </c>
      <c r="AQ22">
        <v>13.952999999999999</v>
      </c>
      <c r="AR22">
        <v>17.310500000000001</v>
      </c>
      <c r="AS22">
        <v>23.643599999999999</v>
      </c>
    </row>
    <row r="23" spans="4:45" ht="15.75" customHeight="1">
      <c r="D23" s="158" t="s">
        <v>85</v>
      </c>
      <c r="E23" s="235">
        <v>0.40160800000000002</v>
      </c>
      <c r="F23">
        <v>0.48716599999999999</v>
      </c>
      <c r="G23" s="159">
        <v>0.54057299999999997</v>
      </c>
      <c r="H23" s="235">
        <v>0.55953699999999995</v>
      </c>
      <c r="I23">
        <v>0.40628399999999998</v>
      </c>
      <c r="J23" s="159">
        <v>0.47812199999999999</v>
      </c>
      <c r="L23" s="305" t="s">
        <v>1144</v>
      </c>
      <c r="M23" s="235">
        <v>11.8</v>
      </c>
      <c r="N23">
        <v>5.1666700000000003E-2</v>
      </c>
      <c r="O23">
        <v>0.23166700000000001</v>
      </c>
      <c r="P23">
        <v>5.2666700000000004</v>
      </c>
      <c r="Q23" s="159">
        <v>6.5733300000000003</v>
      </c>
      <c r="S23" s="158" t="s">
        <v>88</v>
      </c>
      <c r="T23" s="235">
        <v>0.26153100000000001</v>
      </c>
      <c r="U23">
        <v>0.231381</v>
      </c>
      <c r="V23" s="159">
        <v>0.40829799999999999</v>
      </c>
      <c r="X23" s="158" t="s">
        <v>88</v>
      </c>
      <c r="Y23" s="235">
        <v>-3.6241699999999999E-3</v>
      </c>
      <c r="Z23">
        <v>2.0164499999999999E-3</v>
      </c>
      <c r="AA23" s="159">
        <v>-7.1772299999999997E-3</v>
      </c>
      <c r="AC23" s="158" t="s">
        <v>88</v>
      </c>
      <c r="AD23" s="235">
        <v>0.15729000000000001</v>
      </c>
      <c r="AE23">
        <v>0.40272599999999997</v>
      </c>
      <c r="AF23" s="159">
        <v>0.43998399999999999</v>
      </c>
      <c r="AH23" s="158" t="s">
        <v>88</v>
      </c>
      <c r="AI23" s="235">
        <v>-1.8939499999999999E-3</v>
      </c>
      <c r="AJ23">
        <v>-8.8242800000000003E-3</v>
      </c>
      <c r="AK23" s="159">
        <v>1.0718200000000001E-2</v>
      </c>
      <c r="AM23" s="158" t="s">
        <v>85</v>
      </c>
      <c r="AN23" s="235">
        <v>14.2624</v>
      </c>
      <c r="AO23">
        <v>16.787099999999999</v>
      </c>
      <c r="AP23" s="159">
        <v>26.616199999999999</v>
      </c>
      <c r="AQ23">
        <v>12.9068</v>
      </c>
      <c r="AR23">
        <v>18.724299999999999</v>
      </c>
      <c r="AS23">
        <v>22.4953</v>
      </c>
    </row>
    <row r="24" spans="4:45" ht="15.75" customHeight="1">
      <c r="D24" s="158" t="s">
        <v>88</v>
      </c>
      <c r="E24" s="235">
        <v>0.58128599999999997</v>
      </c>
      <c r="F24">
        <v>0.40223599999999998</v>
      </c>
      <c r="G24" s="159">
        <v>0.563971</v>
      </c>
      <c r="H24" s="235">
        <v>0.46629799999999999</v>
      </c>
      <c r="I24">
        <v>0.35444300000000001</v>
      </c>
      <c r="J24" s="159">
        <v>0.60442600000000002</v>
      </c>
      <c r="L24" s="305" t="s">
        <v>1145</v>
      </c>
      <c r="M24" s="235">
        <v>11.438000000000001</v>
      </c>
      <c r="N24">
        <v>1.9612400000000001</v>
      </c>
      <c r="O24">
        <v>1.0465100000000001</v>
      </c>
      <c r="P24">
        <v>2.5310100000000002</v>
      </c>
      <c r="Q24" s="159">
        <v>6.9728700000000003</v>
      </c>
      <c r="S24" s="160" t="s">
        <v>147</v>
      </c>
      <c r="T24" s="236">
        <v>0.32933400000000002</v>
      </c>
      <c r="U24" s="237">
        <v>0.37838500000000003</v>
      </c>
      <c r="V24" s="161">
        <v>0.40606300000000001</v>
      </c>
      <c r="X24" s="160" t="s">
        <v>147</v>
      </c>
      <c r="Y24" s="236">
        <v>-1.8983900000000001E-2</v>
      </c>
      <c r="Z24" s="237">
        <v>7.3253000000000001E-4</v>
      </c>
      <c r="AA24" s="161">
        <v>-3.11772E-3</v>
      </c>
      <c r="AC24" s="160" t="s">
        <v>147</v>
      </c>
      <c r="AD24" s="236">
        <v>0.41091800000000001</v>
      </c>
      <c r="AE24" s="237">
        <v>0.453102</v>
      </c>
      <c r="AF24" s="161">
        <v>0.13598099999999999</v>
      </c>
      <c r="AH24" s="160" t="s">
        <v>147</v>
      </c>
      <c r="AI24" s="236">
        <v>1.0613599999999999E-3</v>
      </c>
      <c r="AJ24" s="237">
        <v>-4.7328600000000002E-3</v>
      </c>
      <c r="AK24" s="161">
        <v>3.6715099999999998E-3</v>
      </c>
      <c r="AM24" s="158" t="s">
        <v>88</v>
      </c>
      <c r="AN24" s="235">
        <v>15.563700000000001</v>
      </c>
      <c r="AO24">
        <v>16.639500000000002</v>
      </c>
      <c r="AP24" s="159">
        <v>31.129000000000001</v>
      </c>
      <c r="AQ24">
        <v>13.4328</v>
      </c>
      <c r="AR24">
        <v>14.996499999999999</v>
      </c>
      <c r="AS24">
        <v>20.295500000000001</v>
      </c>
    </row>
    <row r="25" spans="4:45" ht="15.75" customHeight="1">
      <c r="D25" s="160" t="s">
        <v>147</v>
      </c>
      <c r="E25" s="236">
        <v>2.4998399999999998</v>
      </c>
      <c r="F25" s="237">
        <v>0.62888200000000005</v>
      </c>
      <c r="G25" s="161">
        <v>0.59669300000000003</v>
      </c>
      <c r="H25" s="236">
        <v>0.45874399999999999</v>
      </c>
      <c r="I25" s="237">
        <v>0.58204999999999996</v>
      </c>
      <c r="J25" s="161">
        <v>0.53818999999999995</v>
      </c>
      <c r="L25" s="305" t="s">
        <v>1146</v>
      </c>
      <c r="M25" s="235">
        <v>10.2468</v>
      </c>
      <c r="N25">
        <v>8.2692299999999996E-2</v>
      </c>
      <c r="O25">
        <v>8.2201900000000006</v>
      </c>
      <c r="P25">
        <v>1.46122</v>
      </c>
      <c r="Q25" s="159">
        <v>3.9615399999999998</v>
      </c>
      <c r="AM25" s="160" t="s">
        <v>147</v>
      </c>
      <c r="AN25" s="236">
        <v>7.35379</v>
      </c>
      <c r="AO25" s="237">
        <v>8.1190200000000008</v>
      </c>
      <c r="AP25" s="161">
        <v>11.0322</v>
      </c>
      <c r="AQ25">
        <v>4.8954899999999997</v>
      </c>
      <c r="AR25">
        <v>5.5813699999999997</v>
      </c>
      <c r="AS25">
        <v>7.1364099999999997</v>
      </c>
    </row>
    <row r="26" spans="4:45" ht="15.75" customHeight="1">
      <c r="L26" s="305" t="s">
        <v>1147</v>
      </c>
      <c r="M26" s="235">
        <v>11.231</v>
      </c>
      <c r="N26">
        <v>3.4035099999999998</v>
      </c>
      <c r="O26">
        <v>0.57602299999999995</v>
      </c>
      <c r="P26">
        <v>2.1023399999999999</v>
      </c>
      <c r="Q26" s="159">
        <v>6.6578999999999997</v>
      </c>
    </row>
    <row r="27" spans="4:45" ht="15.75" customHeight="1">
      <c r="L27" s="305" t="s">
        <v>1148</v>
      </c>
      <c r="M27" s="235">
        <v>11.6349</v>
      </c>
      <c r="N27">
        <v>5.68783E-2</v>
      </c>
      <c r="O27">
        <v>1.4312199999999999</v>
      </c>
      <c r="P27">
        <v>3.15741</v>
      </c>
      <c r="Q27" s="159">
        <v>7.6362399999999999</v>
      </c>
    </row>
    <row r="28" spans="4:45" ht="15.75" customHeight="1">
      <c r="L28" s="307" t="s">
        <v>1149</v>
      </c>
      <c r="M28" s="236">
        <v>0</v>
      </c>
      <c r="N28" s="237">
        <v>0</v>
      </c>
      <c r="O28" s="237">
        <v>0</v>
      </c>
      <c r="P28" s="237">
        <v>0</v>
      </c>
      <c r="Q28" s="161">
        <v>0</v>
      </c>
    </row>
    <row r="29" spans="4:45" ht="15.75" customHeight="1"/>
    <row r="30" spans="4:45" ht="15.75" customHeight="1"/>
    <row r="31" spans="4:45" ht="15.75" customHeight="1"/>
    <row r="32" spans="4:45" ht="15.75" customHeight="1">
      <c r="K32" s="175"/>
      <c r="L32" s="11"/>
      <c r="M32" s="11"/>
      <c r="N32" s="11"/>
      <c r="O32" s="11"/>
      <c r="P32" s="11"/>
      <c r="Q32" s="11"/>
      <c r="R32" s="11"/>
      <c r="S32" s="11"/>
      <c r="AO32" s="142"/>
    </row>
    <row r="33" spans="4:41" ht="15.75" customHeight="1">
      <c r="D33" s="513" t="s">
        <v>1088</v>
      </c>
      <c r="E33" s="513"/>
      <c r="F33" s="513"/>
      <c r="G33" s="513"/>
      <c r="K33" s="175"/>
      <c r="L33" s="11"/>
      <c r="M33" s="11"/>
      <c r="N33" s="117" t="s">
        <v>356</v>
      </c>
      <c r="O33" s="118"/>
      <c r="P33" s="118"/>
      <c r="Q33" s="118"/>
      <c r="R33" s="11"/>
      <c r="S33" s="11"/>
      <c r="U33" s="379"/>
      <c r="V33" s="156"/>
      <c r="W33" s="156"/>
      <c r="X33" s="379"/>
      <c r="Y33" s="156"/>
      <c r="Z33" s="156"/>
      <c r="AA33" s="379"/>
      <c r="AB33" s="156"/>
      <c r="AC33" s="156"/>
      <c r="AD33" s="379"/>
      <c r="AE33" s="156"/>
      <c r="AF33" s="156"/>
      <c r="AO33" s="142"/>
    </row>
    <row r="34" spans="4:41" ht="15.75" customHeight="1">
      <c r="E34" s="204" t="s">
        <v>345</v>
      </c>
      <c r="F34" s="204" t="s">
        <v>357</v>
      </c>
      <c r="G34" s="204" t="s">
        <v>347</v>
      </c>
      <c r="K34" s="175"/>
      <c r="L34" s="11"/>
      <c r="M34" s="11"/>
      <c r="N34" s="112"/>
      <c r="O34" s="112" t="s">
        <v>345</v>
      </c>
      <c r="P34" s="112" t="s">
        <v>357</v>
      </c>
      <c r="Q34" s="112" t="s">
        <v>358</v>
      </c>
      <c r="R34" s="11"/>
      <c r="S34" s="11"/>
      <c r="U34" s="380"/>
      <c r="V34" s="380"/>
      <c r="W34" s="380"/>
      <c r="X34" s="383"/>
      <c r="Y34" s="383"/>
      <c r="Z34" s="384"/>
      <c r="AA34" s="381"/>
      <c r="AB34" s="381"/>
      <c r="AC34" s="381"/>
      <c r="AD34" s="382"/>
      <c r="AE34" s="382"/>
      <c r="AF34" s="382"/>
    </row>
    <row r="35" spans="4:41" ht="15.75" customHeight="1">
      <c r="D35" s="204" t="s">
        <v>355</v>
      </c>
      <c r="E35" s="287">
        <v>0.36154649927778587</v>
      </c>
      <c r="F35" s="288">
        <v>0.70141515028098522</v>
      </c>
      <c r="G35" s="289">
        <v>0.8617450309127016</v>
      </c>
      <c r="K35" s="175"/>
      <c r="L35" s="11"/>
      <c r="M35" s="31"/>
      <c r="N35" t="s">
        <v>139</v>
      </c>
      <c r="O35">
        <v>-0.72</v>
      </c>
      <c r="P35">
        <v>0.1</v>
      </c>
      <c r="Q35">
        <v>3.4586299999999999</v>
      </c>
      <c r="R35" s="11"/>
      <c r="S35" s="8"/>
      <c r="U35" s="380"/>
      <c r="V35" s="380"/>
      <c r="W35" s="380"/>
      <c r="X35" s="384"/>
      <c r="Y35" s="383"/>
      <c r="Z35" s="383"/>
      <c r="AA35" s="381"/>
      <c r="AB35" s="381"/>
      <c r="AC35" s="381"/>
      <c r="AD35" s="380"/>
      <c r="AE35" s="380"/>
      <c r="AF35" s="380"/>
    </row>
    <row r="36" spans="4:41" ht="15.75" customHeight="1">
      <c r="D36" s="204" t="s">
        <v>354</v>
      </c>
      <c r="E36" s="290">
        <v>0.71628976139728107</v>
      </c>
      <c r="F36" s="291">
        <v>0.89365533390564</v>
      </c>
      <c r="G36" s="292">
        <v>0.96640498325531277</v>
      </c>
      <c r="K36" s="175"/>
      <c r="L36" s="11"/>
      <c r="M36" s="175"/>
      <c r="N36" t="s">
        <v>37</v>
      </c>
      <c r="O36">
        <v>-0.314</v>
      </c>
      <c r="P36">
        <v>0.1</v>
      </c>
      <c r="Q36">
        <v>1.034</v>
      </c>
      <c r="R36" s="175"/>
      <c r="S36" s="8"/>
      <c r="U36" s="156"/>
      <c r="V36" s="156"/>
      <c r="W36" s="156"/>
      <c r="X36" s="379"/>
      <c r="Y36" s="156"/>
      <c r="Z36" s="156"/>
      <c r="AA36" s="379"/>
      <c r="AB36" s="156"/>
      <c r="AC36" s="156"/>
      <c r="AD36" s="379"/>
      <c r="AE36" s="156"/>
      <c r="AF36" s="156"/>
    </row>
    <row r="37" spans="4:41" ht="15.75" customHeight="1">
      <c r="K37" s="175"/>
      <c r="L37" s="11"/>
      <c r="M37" s="175"/>
      <c r="N37" t="s">
        <v>140</v>
      </c>
      <c r="O37" s="141">
        <v>-1.7306600000000001</v>
      </c>
      <c r="P37" s="141">
        <v>0.1</v>
      </c>
      <c r="Q37" s="141">
        <v>5.4340000000000002</v>
      </c>
      <c r="R37" s="175"/>
      <c r="S37" s="8"/>
      <c r="U37" s="156"/>
      <c r="V37" s="156"/>
      <c r="W37" s="156"/>
      <c r="X37" s="382"/>
      <c r="Y37" s="382"/>
      <c r="Z37" s="382"/>
      <c r="AA37" s="382"/>
      <c r="AB37" s="382"/>
      <c r="AC37" s="382"/>
      <c r="AD37" s="382"/>
      <c r="AE37" s="382"/>
      <c r="AF37" s="382"/>
    </row>
    <row r="38" spans="4:41" ht="15.75" customHeight="1">
      <c r="D38" s="517" t="s">
        <v>1089</v>
      </c>
      <c r="E38" s="517"/>
      <c r="F38" s="517"/>
      <c r="G38" s="517"/>
      <c r="K38" s="175"/>
      <c r="L38" s="11"/>
      <c r="M38" s="175"/>
      <c r="N38" t="s">
        <v>48</v>
      </c>
      <c r="O38" s="141">
        <v>-0.73399999999999999</v>
      </c>
      <c r="P38" s="141">
        <v>0.1</v>
      </c>
      <c r="Q38" s="141">
        <v>2.54644</v>
      </c>
      <c r="R38" s="175"/>
      <c r="S38" s="11"/>
      <c r="U38" s="156"/>
      <c r="V38" s="156"/>
      <c r="W38" s="156"/>
      <c r="X38" s="382"/>
      <c r="Y38" s="382"/>
      <c r="Z38" s="382"/>
      <c r="AA38" s="382"/>
      <c r="AB38" s="382"/>
      <c r="AC38" s="382"/>
      <c r="AD38" s="382"/>
      <c r="AE38" s="382"/>
      <c r="AF38" s="382"/>
    </row>
    <row r="39" spans="4:41" ht="15.75" customHeight="1">
      <c r="E39" s="204" t="s">
        <v>345</v>
      </c>
      <c r="F39" s="204" t="s">
        <v>357</v>
      </c>
      <c r="G39" s="204" t="s">
        <v>347</v>
      </c>
      <c r="K39" s="175"/>
      <c r="L39" s="11"/>
      <c r="M39" s="175"/>
      <c r="N39" t="s">
        <v>141</v>
      </c>
      <c r="O39" s="141">
        <v>-0.59399999999999997</v>
      </c>
      <c r="P39" s="141">
        <v>0.1</v>
      </c>
      <c r="Q39" s="141">
        <v>1.8091200000000001</v>
      </c>
      <c r="R39" s="175"/>
      <c r="S39" s="11"/>
      <c r="U39" s="302"/>
      <c r="V39" s="302"/>
      <c r="W39" s="302"/>
      <c r="X39" s="302"/>
    </row>
    <row r="40" spans="4:41" ht="15.75" customHeight="1">
      <c r="D40" s="293" t="s">
        <v>1090</v>
      </c>
      <c r="E40" s="294">
        <v>0</v>
      </c>
      <c r="F40" s="295">
        <v>0</v>
      </c>
      <c r="G40" s="296">
        <v>0</v>
      </c>
      <c r="K40" s="175"/>
      <c r="L40" s="11"/>
      <c r="M40" s="175"/>
      <c r="N40" t="s">
        <v>58</v>
      </c>
      <c r="O40" s="141">
        <v>2.9426299999999999</v>
      </c>
      <c r="P40" s="141">
        <v>0.1</v>
      </c>
      <c r="Q40" s="141">
        <v>-0.69399999999999995</v>
      </c>
      <c r="R40" s="175"/>
      <c r="S40" s="11"/>
    </row>
    <row r="41" spans="4:41" ht="15.75" customHeight="1">
      <c r="D41" s="293" t="s">
        <v>1091</v>
      </c>
      <c r="E41" s="297">
        <v>0.73599999999999999</v>
      </c>
      <c r="F41" s="283">
        <v>0.753</v>
      </c>
      <c r="G41" s="298">
        <v>0.68799999999999994</v>
      </c>
      <c r="K41" s="175"/>
      <c r="L41" s="11"/>
      <c r="M41" s="175"/>
      <c r="N41" t="s">
        <v>58</v>
      </c>
      <c r="O41" s="141">
        <v>2.9426299999999999</v>
      </c>
      <c r="P41" s="141">
        <v>0.1</v>
      </c>
      <c r="Q41" s="141">
        <v>-0.69399999999999995</v>
      </c>
      <c r="R41" s="175"/>
      <c r="S41" s="11"/>
    </row>
    <row r="42" spans="4:41" ht="15.75" customHeight="1">
      <c r="D42" s="293" t="s">
        <v>1092</v>
      </c>
      <c r="E42" s="297">
        <v>0.73599999999999999</v>
      </c>
      <c r="F42" s="283">
        <v>0.753</v>
      </c>
      <c r="G42" s="298">
        <v>0.68799999999999994</v>
      </c>
      <c r="K42" s="175"/>
      <c r="L42" s="11"/>
      <c r="M42" s="175"/>
      <c r="N42" t="s">
        <v>58</v>
      </c>
      <c r="O42" s="141">
        <v>2.9426299999999999</v>
      </c>
      <c r="P42" s="141">
        <v>0.1</v>
      </c>
      <c r="Q42" s="141">
        <v>-0.69399999999999995</v>
      </c>
      <c r="R42" s="175"/>
      <c r="S42" s="11"/>
      <c r="T42" s="31"/>
      <c r="U42" s="11"/>
      <c r="V42" s="11"/>
      <c r="W42" s="11"/>
      <c r="AJ42" s="30"/>
    </row>
    <row r="43" spans="4:41" ht="15.75" customHeight="1">
      <c r="D43" s="293" t="s">
        <v>1093</v>
      </c>
      <c r="E43" s="297">
        <v>0.73599999999999999</v>
      </c>
      <c r="F43" s="283">
        <v>0.753</v>
      </c>
      <c r="G43" s="298">
        <v>0.68799999999999994</v>
      </c>
      <c r="K43" s="175"/>
      <c r="L43" s="11"/>
      <c r="M43" s="175"/>
      <c r="N43" t="s">
        <v>61</v>
      </c>
      <c r="O43" s="141">
        <v>0.1</v>
      </c>
      <c r="P43" s="141">
        <v>0.1</v>
      </c>
      <c r="Q43" s="141">
        <v>-2.2742800000000001</v>
      </c>
      <c r="R43" s="175"/>
      <c r="S43" s="11"/>
      <c r="T43" s="31"/>
      <c r="U43" s="11"/>
      <c r="V43" s="11"/>
      <c r="W43" s="11"/>
      <c r="AJ43" s="30"/>
    </row>
    <row r="44" spans="4:41" ht="15.75" customHeight="1">
      <c r="D44" s="293" t="s">
        <v>1094</v>
      </c>
      <c r="E44" s="299">
        <v>0</v>
      </c>
      <c r="F44" s="300">
        <v>0</v>
      </c>
      <c r="G44" s="301">
        <v>0</v>
      </c>
      <c r="K44" s="175"/>
      <c r="L44" s="11"/>
      <c r="M44" s="175"/>
      <c r="N44" t="s">
        <v>63</v>
      </c>
      <c r="O44" s="141">
        <v>0.64</v>
      </c>
      <c r="P44" s="141">
        <v>0.1</v>
      </c>
      <c r="Q44" s="141">
        <v>-1.20424</v>
      </c>
      <c r="R44" s="175"/>
      <c r="S44" s="11"/>
      <c r="T44" s="31"/>
      <c r="U44" s="11"/>
      <c r="V44" s="11"/>
      <c r="W44" s="11"/>
      <c r="AJ44" s="30"/>
    </row>
    <row r="45" spans="4:41" ht="15.75" customHeight="1">
      <c r="K45" s="175"/>
      <c r="L45" s="11"/>
      <c r="M45" s="175"/>
      <c r="N45" t="s">
        <v>65</v>
      </c>
      <c r="O45" s="141">
        <v>-1.3480000000000001</v>
      </c>
      <c r="P45" s="141">
        <v>0.1</v>
      </c>
      <c r="Q45" s="141">
        <v>3.9377900000000001</v>
      </c>
      <c r="R45" s="175"/>
      <c r="S45" s="11"/>
      <c r="T45" s="31"/>
      <c r="U45" s="11"/>
      <c r="V45" s="11"/>
      <c r="W45" s="11"/>
      <c r="AJ45" s="30"/>
    </row>
    <row r="46" spans="4:41" ht="15.75" customHeight="1">
      <c r="K46" s="175"/>
      <c r="L46" s="11"/>
      <c r="M46" s="175"/>
      <c r="N46" t="s">
        <v>67</v>
      </c>
      <c r="O46" s="141">
        <v>0.99399999999999999</v>
      </c>
      <c r="P46" s="141">
        <v>0.1</v>
      </c>
      <c r="Q46" s="141">
        <v>-5.53186</v>
      </c>
      <c r="R46" s="175"/>
      <c r="S46" s="11"/>
      <c r="T46" s="31"/>
      <c r="U46" s="11"/>
      <c r="V46" s="11"/>
      <c r="W46" s="11"/>
      <c r="AJ46" s="30"/>
    </row>
    <row r="47" spans="4:41" ht="15.75" customHeight="1">
      <c r="D47" s="517" t="s">
        <v>1095</v>
      </c>
      <c r="E47" s="517"/>
      <c r="F47" s="517"/>
      <c r="G47" s="517"/>
      <c r="H47" s="518" t="s">
        <v>1096</v>
      </c>
      <c r="I47" s="518"/>
      <c r="J47" s="518"/>
      <c r="K47" s="175"/>
      <c r="L47" s="11"/>
      <c r="M47" s="175"/>
      <c r="N47" s="141" t="s">
        <v>69</v>
      </c>
      <c r="O47" s="141">
        <v>2.9633099999999999</v>
      </c>
      <c r="P47" s="141">
        <v>0.1</v>
      </c>
      <c r="Q47" s="141">
        <v>-11.350899999999999</v>
      </c>
      <c r="R47" s="175"/>
      <c r="S47" s="11"/>
      <c r="T47" s="31"/>
      <c r="U47" s="11"/>
      <c r="V47" s="11"/>
      <c r="W47" s="11"/>
      <c r="AJ47" s="30"/>
    </row>
    <row r="48" spans="4:41" ht="15.75" customHeight="1">
      <c r="E48" s="204" t="s">
        <v>345</v>
      </c>
      <c r="F48" s="204" t="s">
        <v>357</v>
      </c>
      <c r="G48" s="204" t="s">
        <v>347</v>
      </c>
      <c r="H48" s="204" t="s">
        <v>345</v>
      </c>
      <c r="I48" s="204" t="s">
        <v>357</v>
      </c>
      <c r="J48" s="204" t="s">
        <v>347</v>
      </c>
      <c r="K48" s="175"/>
      <c r="L48" s="11"/>
      <c r="M48" s="175"/>
      <c r="N48" s="141" t="s">
        <v>145</v>
      </c>
      <c r="O48" s="141">
        <v>2.5821100000000001</v>
      </c>
      <c r="P48" s="141">
        <v>0.1</v>
      </c>
      <c r="Q48" s="141">
        <v>-5.1781899999999998</v>
      </c>
      <c r="R48" s="175"/>
      <c r="S48" s="11"/>
      <c r="T48" s="31"/>
      <c r="U48" s="11"/>
      <c r="V48" s="11"/>
      <c r="W48" s="11"/>
      <c r="AJ48" s="30"/>
    </row>
    <row r="49" spans="4:40" ht="15.75" customHeight="1">
      <c r="D49" s="293" t="s">
        <v>1090</v>
      </c>
      <c r="E49" s="294">
        <v>0</v>
      </c>
      <c r="F49" s="295">
        <v>0</v>
      </c>
      <c r="G49" s="296">
        <v>0</v>
      </c>
      <c r="H49" s="294">
        <v>0</v>
      </c>
      <c r="I49" s="295">
        <v>0</v>
      </c>
      <c r="J49" s="296">
        <v>0</v>
      </c>
      <c r="K49" s="175"/>
      <c r="L49" s="11"/>
      <c r="M49" s="175"/>
      <c r="N49" s="141" t="s">
        <v>73</v>
      </c>
      <c r="O49" s="141">
        <v>-7.1045699999999998</v>
      </c>
      <c r="P49" s="141">
        <v>0.1</v>
      </c>
      <c r="Q49" s="141">
        <v>4.3954899999999997</v>
      </c>
      <c r="R49" s="175"/>
      <c r="S49" s="11"/>
      <c r="T49" s="31"/>
      <c r="U49" s="11"/>
      <c r="V49" s="11"/>
      <c r="W49" s="11"/>
      <c r="AJ49" s="30"/>
    </row>
    <row r="50" spans="4:40" ht="15.75" customHeight="1">
      <c r="D50" s="293" t="s">
        <v>1091</v>
      </c>
      <c r="E50" s="297">
        <v>-1.0385319686450845E-2</v>
      </c>
      <c r="F50" s="283">
        <v>-2.331804896578582E-3</v>
      </c>
      <c r="G50" s="298">
        <v>4.7113441248372689E-2</v>
      </c>
      <c r="H50" s="297">
        <v>-1.0475110712424685E-2</v>
      </c>
      <c r="I50" s="283">
        <v>3.9943756231299865E-3</v>
      </c>
      <c r="J50" s="298">
        <v>5.8835782190474806E-2</v>
      </c>
      <c r="K50" s="175"/>
      <c r="L50" s="11"/>
      <c r="M50" s="175"/>
      <c r="N50" s="141" t="s">
        <v>75</v>
      </c>
      <c r="O50" s="141">
        <v>-1.768</v>
      </c>
      <c r="P50" s="141">
        <v>0.1</v>
      </c>
      <c r="Q50" s="141">
        <v>4.68</v>
      </c>
      <c r="R50" s="175"/>
      <c r="S50" s="11"/>
      <c r="T50" s="31"/>
      <c r="U50" s="11"/>
      <c r="V50" s="11"/>
      <c r="W50" s="11"/>
      <c r="AJ50" s="30"/>
    </row>
    <row r="51" spans="4:40" ht="15.75" customHeight="1">
      <c r="D51" s="293" t="s">
        <v>1092</v>
      </c>
      <c r="E51" s="297">
        <v>-5.1097263614196864E-2</v>
      </c>
      <c r="F51" s="283">
        <v>-2.0760786654727248E-2</v>
      </c>
      <c r="G51" s="298">
        <v>8.3834316915780693E-3</v>
      </c>
      <c r="H51" s="297">
        <v>-4.1560227942621375E-2</v>
      </c>
      <c r="I51" s="283">
        <v>-1.3741235014702591E-2</v>
      </c>
      <c r="J51" s="298">
        <v>2.2549609140108284E-2</v>
      </c>
      <c r="K51" s="175"/>
      <c r="L51" s="11"/>
      <c r="M51" s="175"/>
      <c r="N51" s="141" t="s">
        <v>146</v>
      </c>
      <c r="O51" s="141">
        <v>0.44</v>
      </c>
      <c r="P51" s="141">
        <v>0.1</v>
      </c>
      <c r="Q51" s="141">
        <v>-1.4339999999999999</v>
      </c>
      <c r="R51" s="175"/>
      <c r="S51" s="11"/>
      <c r="T51" s="31"/>
      <c r="U51" s="11"/>
      <c r="V51" s="11"/>
      <c r="W51" s="11"/>
      <c r="AJ51" s="30"/>
    </row>
    <row r="52" spans="4:40" ht="15.75" customHeight="1">
      <c r="D52" s="293" t="s">
        <v>1093</v>
      </c>
      <c r="E52" s="297">
        <v>-1.1547742157876462E-2</v>
      </c>
      <c r="F52" s="283">
        <v>2.5287079176587568E-2</v>
      </c>
      <c r="G52" s="298">
        <v>4.9545146981429866E-2</v>
      </c>
      <c r="H52" s="297">
        <v>-2.3633325375983505E-3</v>
      </c>
      <c r="I52" s="283">
        <v>2.192500305362155E-2</v>
      </c>
      <c r="J52" s="298">
        <v>3.373779224622675E-2</v>
      </c>
      <c r="K52" s="175"/>
      <c r="L52" s="11"/>
      <c r="M52" s="175"/>
      <c r="N52" s="141" t="s">
        <v>83</v>
      </c>
      <c r="O52" s="141">
        <v>-5.1114600000000001</v>
      </c>
      <c r="P52" s="141">
        <v>0.1</v>
      </c>
      <c r="Q52" s="141">
        <v>4.5246700000000004</v>
      </c>
      <c r="R52" s="175"/>
      <c r="S52" s="11"/>
      <c r="T52" s="31"/>
      <c r="U52" s="11"/>
      <c r="V52" s="11"/>
      <c r="W52" s="11"/>
      <c r="AJ52" s="30"/>
    </row>
    <row r="53" spans="4:40" ht="15.75" customHeight="1">
      <c r="D53" s="293" t="s">
        <v>1094</v>
      </c>
      <c r="E53" s="299">
        <v>-3.5525321239606722E-3</v>
      </c>
      <c r="F53" s="300">
        <v>7.8274405158994975E-2</v>
      </c>
      <c r="G53" s="301">
        <v>0.1139442231075698</v>
      </c>
      <c r="H53" s="299">
        <v>-1.0934112545951558E-2</v>
      </c>
      <c r="I53" s="300">
        <v>6.1133987963256198E-2</v>
      </c>
      <c r="J53" s="301">
        <v>5.361050328227579E-2</v>
      </c>
      <c r="K53" s="175"/>
      <c r="L53" s="11"/>
      <c r="M53" s="175"/>
      <c r="N53" s="141" t="s">
        <v>85</v>
      </c>
      <c r="O53" s="141">
        <v>2.1701600000000001</v>
      </c>
      <c r="P53" s="141">
        <v>0.1</v>
      </c>
      <c r="Q53" s="141">
        <v>-1.77519</v>
      </c>
      <c r="R53" s="175"/>
      <c r="S53" s="11"/>
      <c r="T53" s="31"/>
      <c r="U53" s="11"/>
      <c r="V53" s="11"/>
      <c r="W53" s="11"/>
    </row>
    <row r="54" spans="4:40" ht="15.75" customHeight="1">
      <c r="K54" s="175"/>
      <c r="L54" s="11"/>
      <c r="M54" s="175"/>
      <c r="N54" s="141" t="s">
        <v>88</v>
      </c>
      <c r="O54" s="141">
        <v>1.7220800000000001</v>
      </c>
      <c r="P54" s="141">
        <v>13.2949</v>
      </c>
      <c r="Q54" s="141">
        <v>-2.282</v>
      </c>
      <c r="R54" s="175"/>
      <c r="S54" s="11"/>
      <c r="T54" s="32"/>
      <c r="U54" s="11"/>
      <c r="V54" s="11"/>
      <c r="W54" s="11"/>
    </row>
    <row r="55" spans="4:40" ht="15.75" customHeight="1">
      <c r="D55" s="517" t="s">
        <v>1097</v>
      </c>
      <c r="E55" s="517"/>
      <c r="F55" s="517"/>
      <c r="G55" s="517"/>
      <c r="H55" s="518" t="s">
        <v>1098</v>
      </c>
      <c r="I55" s="518"/>
      <c r="J55" s="518"/>
      <c r="K55" s="175"/>
      <c r="L55" s="11"/>
      <c r="M55" s="175"/>
      <c r="N55" s="141" t="s">
        <v>147</v>
      </c>
      <c r="O55" s="141">
        <v>0</v>
      </c>
      <c r="P55" s="141">
        <v>0</v>
      </c>
      <c r="Q55" s="141">
        <v>0</v>
      </c>
      <c r="R55" s="175"/>
      <c r="S55" s="11"/>
      <c r="T55" s="33"/>
      <c r="U55" s="11"/>
      <c r="V55" s="11"/>
      <c r="W55" s="11"/>
      <c r="AC55" s="142"/>
      <c r="AD55" s="142"/>
      <c r="AE55" s="142"/>
      <c r="AF55" s="142"/>
      <c r="AG55" s="142"/>
      <c r="AH55" s="142"/>
      <c r="AI55" s="142"/>
      <c r="AJ55" s="142"/>
      <c r="AK55" s="142"/>
      <c r="AL55" s="142"/>
      <c r="AM55" s="142"/>
      <c r="AN55" s="142"/>
    </row>
    <row r="56" spans="4:40" ht="15.75" customHeight="1">
      <c r="E56" s="204" t="s">
        <v>345</v>
      </c>
      <c r="F56" s="204" t="s">
        <v>357</v>
      </c>
      <c r="G56" s="204" t="s">
        <v>347</v>
      </c>
      <c r="H56" s="204" t="s">
        <v>345</v>
      </c>
      <c r="I56" s="204" t="s">
        <v>357</v>
      </c>
      <c r="J56" s="204" t="s">
        <v>347</v>
      </c>
      <c r="K56" s="175"/>
      <c r="L56" s="11"/>
      <c r="M56" s="175"/>
      <c r="N56" s="175"/>
      <c r="O56" s="175"/>
      <c r="P56" s="175"/>
      <c r="Q56" s="175"/>
      <c r="R56" s="175"/>
      <c r="S56" s="11"/>
      <c r="T56" s="33"/>
      <c r="U56" s="142"/>
      <c r="V56" s="142"/>
      <c r="W56" s="142"/>
      <c r="X56" s="142"/>
      <c r="Y56" s="142"/>
      <c r="Z56" s="142"/>
      <c r="AC56" s="142"/>
      <c r="AD56" s="142"/>
      <c r="AE56" s="142"/>
      <c r="AF56" s="142"/>
      <c r="AG56" s="142"/>
      <c r="AH56" s="142"/>
      <c r="AI56" s="142"/>
      <c r="AJ56" s="142"/>
      <c r="AK56" s="142"/>
      <c r="AL56" s="142"/>
      <c r="AM56" s="142"/>
      <c r="AN56" s="142"/>
    </row>
    <row r="57" spans="4:40" ht="15.75" customHeight="1">
      <c r="D57" s="293" t="s">
        <v>1090</v>
      </c>
      <c r="E57" s="294">
        <v>0</v>
      </c>
      <c r="F57" s="295">
        <v>0</v>
      </c>
      <c r="G57" s="296">
        <v>0</v>
      </c>
      <c r="H57" s="294">
        <v>0</v>
      </c>
      <c r="I57" s="295">
        <v>0</v>
      </c>
      <c r="J57" s="296">
        <v>0</v>
      </c>
      <c r="K57" s="175"/>
      <c r="L57" s="7"/>
      <c r="M57" s="175"/>
      <c r="N57" s="175"/>
      <c r="O57" s="175"/>
      <c r="P57" s="175"/>
      <c r="Q57" s="175"/>
      <c r="R57" s="175"/>
      <c r="S57" s="9"/>
      <c r="T57" s="33"/>
      <c r="U57" s="142"/>
      <c r="V57" s="142"/>
      <c r="W57" s="142"/>
      <c r="X57" s="142"/>
      <c r="Y57" s="142"/>
      <c r="Z57" s="142"/>
      <c r="AC57" s="142"/>
      <c r="AD57" s="142"/>
      <c r="AE57" s="142"/>
      <c r="AF57" s="142"/>
      <c r="AG57" s="142"/>
      <c r="AH57" s="142"/>
      <c r="AI57" s="142"/>
      <c r="AJ57" s="142"/>
      <c r="AK57" s="142"/>
      <c r="AL57" s="142"/>
      <c r="AM57" s="142"/>
      <c r="AN57" s="142"/>
    </row>
    <row r="58" spans="4:40" ht="15.75" customHeight="1">
      <c r="D58" s="293" t="s">
        <v>1091</v>
      </c>
      <c r="E58" s="297">
        <v>0.51220681390172917</v>
      </c>
      <c r="F58" s="283">
        <v>0.44766307139188494</v>
      </c>
      <c r="G58" s="298">
        <v>4.0130114706385896E-2</v>
      </c>
      <c r="H58" s="297">
        <v>0.56549854665403831</v>
      </c>
      <c r="I58" s="283">
        <v>0.41320748554818904</v>
      </c>
      <c r="J58" s="298">
        <v>2.1293967797772626E-2</v>
      </c>
      <c r="K58" s="7"/>
      <c r="L58" s="7"/>
      <c r="M58" s="175"/>
      <c r="N58" s="175"/>
      <c r="O58" s="175"/>
      <c r="P58" s="175"/>
      <c r="Q58" s="175"/>
      <c r="R58" s="175"/>
      <c r="S58" s="7"/>
      <c r="T58" s="33"/>
      <c r="U58" s="142"/>
      <c r="V58" s="142"/>
      <c r="W58" s="142"/>
      <c r="X58" s="142"/>
      <c r="Y58" s="142"/>
      <c r="Z58" s="142"/>
      <c r="AC58" s="142"/>
      <c r="AD58" s="142"/>
      <c r="AE58" s="142"/>
      <c r="AF58" s="142"/>
      <c r="AG58" s="142"/>
      <c r="AH58" s="142"/>
      <c r="AI58" s="142"/>
      <c r="AJ58" s="142"/>
      <c r="AK58" s="142"/>
      <c r="AL58" s="142"/>
      <c r="AM58" s="142"/>
      <c r="AN58" s="142"/>
    </row>
    <row r="59" spans="4:40" ht="15.75" customHeight="1">
      <c r="D59" s="293" t="s">
        <v>1092</v>
      </c>
      <c r="E59" s="297">
        <v>0.32493738149301249</v>
      </c>
      <c r="F59" s="283">
        <v>0.46285025398534607</v>
      </c>
      <c r="G59" s="298">
        <v>0.21221236452164141</v>
      </c>
      <c r="H59" s="297">
        <v>0.3860436093058302</v>
      </c>
      <c r="I59" s="283">
        <v>0.46618630498257513</v>
      </c>
      <c r="J59" s="298">
        <v>0.14777008571159461</v>
      </c>
      <c r="K59" s="7"/>
      <c r="L59" s="7"/>
      <c r="M59" s="175"/>
      <c r="N59" s="175"/>
      <c r="O59" s="175"/>
      <c r="P59" s="175"/>
      <c r="Q59" s="175"/>
      <c r="R59" s="175"/>
      <c r="S59" s="7"/>
      <c r="T59" s="33"/>
      <c r="U59" s="142"/>
      <c r="V59" s="142"/>
      <c r="W59" s="142"/>
      <c r="X59" s="142"/>
      <c r="Y59" s="142"/>
      <c r="Z59" s="142"/>
      <c r="AC59" s="142"/>
      <c r="AD59" s="142"/>
      <c r="AE59" s="142"/>
      <c r="AF59" s="142"/>
      <c r="AG59" s="142"/>
      <c r="AH59" s="142"/>
      <c r="AI59" s="142"/>
      <c r="AJ59" s="142"/>
      <c r="AK59" s="142"/>
      <c r="AL59" s="142"/>
      <c r="AM59" s="142"/>
      <c r="AN59" s="142"/>
    </row>
    <row r="60" spans="4:40" ht="15.75" customHeight="1">
      <c r="D60" s="293" t="s">
        <v>1093</v>
      </c>
      <c r="E60" s="297">
        <v>0.56079049644349932</v>
      </c>
      <c r="F60" s="283">
        <v>0.32663586810393291</v>
      </c>
      <c r="G60" s="298">
        <v>0.11257363545256777</v>
      </c>
      <c r="H60" s="297">
        <v>0.53477971992231421</v>
      </c>
      <c r="I60" s="283">
        <v>0.34881938055811101</v>
      </c>
      <c r="J60" s="298">
        <v>0.11640089951957477</v>
      </c>
      <c r="K60" s="7"/>
      <c r="L60" s="7"/>
      <c r="M60" s="175"/>
      <c r="N60" s="175"/>
      <c r="O60" s="175"/>
      <c r="P60" s="175"/>
      <c r="Q60" s="175"/>
      <c r="R60" s="175"/>
      <c r="S60" s="7"/>
      <c r="T60" s="33"/>
      <c r="U60" s="142"/>
      <c r="V60" s="142"/>
      <c r="W60" s="142"/>
      <c r="X60" s="142"/>
      <c r="Y60" s="142"/>
      <c r="Z60" s="142"/>
      <c r="AC60" s="142"/>
      <c r="AD60" s="142"/>
      <c r="AE60" s="142"/>
      <c r="AF60" s="142"/>
      <c r="AG60" s="142"/>
      <c r="AH60" s="142"/>
      <c r="AI60" s="142"/>
      <c r="AJ60" s="142"/>
      <c r="AK60" s="142"/>
      <c r="AL60" s="142"/>
      <c r="AM60" s="142"/>
      <c r="AN60" s="142"/>
    </row>
    <row r="61" spans="4:40" ht="15.75" customHeight="1">
      <c r="D61" s="293" t="s">
        <v>1094</v>
      </c>
      <c r="E61" s="299">
        <v>0.8001335680893692</v>
      </c>
      <c r="F61" s="300">
        <v>0.15099265375508469</v>
      </c>
      <c r="G61" s="301">
        <v>4.887377815554611E-2</v>
      </c>
      <c r="H61" s="299">
        <v>0.70186461289015001</v>
      </c>
      <c r="I61" s="300">
        <v>0.21328198892041617</v>
      </c>
      <c r="J61" s="301">
        <v>8.4853398189433854E-2</v>
      </c>
      <c r="K61" s="7"/>
      <c r="L61" s="7"/>
      <c r="M61" s="175"/>
      <c r="N61" s="175"/>
      <c r="O61" s="175"/>
      <c r="P61" s="175"/>
      <c r="Q61" s="175"/>
      <c r="R61" s="175"/>
      <c r="S61" s="7"/>
      <c r="T61" s="33"/>
      <c r="U61" s="142"/>
      <c r="V61" s="142"/>
      <c r="W61" s="142"/>
      <c r="X61" s="142"/>
      <c r="Y61" s="142"/>
      <c r="Z61" s="142"/>
      <c r="AC61" s="142"/>
      <c r="AD61" s="142"/>
      <c r="AE61" s="142"/>
      <c r="AF61" s="142"/>
      <c r="AG61" s="142"/>
      <c r="AH61" s="142"/>
      <c r="AI61" s="142"/>
      <c r="AJ61" s="142"/>
      <c r="AK61" s="142"/>
      <c r="AL61" s="142"/>
      <c r="AM61" s="142"/>
      <c r="AN61" s="142"/>
    </row>
    <row r="62" spans="4:40" ht="15.75" customHeight="1">
      <c r="K62" s="7"/>
      <c r="L62" s="7"/>
      <c r="M62" s="175"/>
      <c r="N62" s="175"/>
      <c r="O62" s="175"/>
      <c r="P62" s="175"/>
      <c r="Q62" s="175"/>
      <c r="R62" s="175"/>
      <c r="S62" s="7"/>
      <c r="T62" s="33"/>
      <c r="U62" s="142"/>
      <c r="V62" s="142"/>
      <c r="W62" s="142"/>
      <c r="X62" s="142"/>
      <c r="Y62" s="142"/>
      <c r="Z62" s="142"/>
      <c r="AC62" s="142"/>
      <c r="AD62" s="142"/>
      <c r="AE62" s="142"/>
      <c r="AF62" s="142"/>
      <c r="AG62" s="142"/>
      <c r="AH62" s="142"/>
      <c r="AI62" s="142"/>
      <c r="AJ62" s="142"/>
      <c r="AK62" s="142"/>
      <c r="AL62" s="142"/>
      <c r="AM62" s="142"/>
      <c r="AN62" s="142"/>
    </row>
    <row r="63" spans="4:40" ht="15.75" customHeight="1">
      <c r="D63" s="513" t="s">
        <v>1099</v>
      </c>
      <c r="E63" s="513"/>
      <c r="F63" s="513"/>
      <c r="G63" s="513"/>
      <c r="K63" s="11"/>
      <c r="L63" s="11"/>
      <c r="M63" s="175"/>
      <c r="N63" s="175"/>
      <c r="O63" s="175"/>
      <c r="P63" s="175"/>
      <c r="Q63" s="175"/>
      <c r="R63" s="175"/>
      <c r="S63" s="11"/>
      <c r="T63" s="33"/>
      <c r="U63" s="142"/>
      <c r="V63" s="142"/>
      <c r="W63" s="142"/>
      <c r="X63" s="142"/>
      <c r="Y63" s="142"/>
      <c r="Z63" s="142"/>
      <c r="AC63" s="142"/>
      <c r="AD63" s="142"/>
      <c r="AE63" s="142"/>
      <c r="AF63" s="142"/>
      <c r="AG63" s="142"/>
      <c r="AH63" s="142"/>
      <c r="AI63" s="142"/>
      <c r="AJ63" s="142"/>
      <c r="AK63" s="142"/>
      <c r="AL63" s="142"/>
      <c r="AM63" s="142"/>
      <c r="AN63" s="142"/>
    </row>
    <row r="64" spans="4:40" ht="15.75" customHeight="1">
      <c r="E64" s="204" t="s">
        <v>345</v>
      </c>
      <c r="F64" s="204" t="s">
        <v>357</v>
      </c>
      <c r="G64" s="204" t="s">
        <v>347</v>
      </c>
      <c r="K64" s="11"/>
      <c r="L64" s="11"/>
      <c r="M64" s="175"/>
      <c r="N64" s="175"/>
      <c r="O64" s="175"/>
      <c r="P64" s="175"/>
      <c r="Q64" s="175"/>
      <c r="R64" s="175"/>
      <c r="S64" s="11"/>
      <c r="T64" s="33"/>
      <c r="U64" s="142"/>
      <c r="V64" s="142"/>
      <c r="W64" s="142"/>
      <c r="X64" s="142"/>
      <c r="Y64" s="142"/>
      <c r="Z64" s="142"/>
      <c r="AC64" s="142"/>
      <c r="AD64" s="142"/>
      <c r="AE64" s="142"/>
      <c r="AF64" s="142"/>
      <c r="AG64" s="142"/>
      <c r="AH64" s="142"/>
      <c r="AI64" s="142"/>
      <c r="AJ64" s="142"/>
      <c r="AK64" s="142"/>
      <c r="AL64" s="142"/>
      <c r="AM64" s="142"/>
      <c r="AN64" s="142"/>
    </row>
    <row r="65" spans="4:39" ht="15.75" customHeight="1">
      <c r="D65" s="204" t="s">
        <v>355</v>
      </c>
      <c r="E65" s="233">
        <v>1.4655432606031527E-2</v>
      </c>
      <c r="F65" s="42">
        <v>1.5749960329332069E-3</v>
      </c>
      <c r="G65" s="234">
        <v>7.4394035798923674E-3</v>
      </c>
      <c r="K65" s="11"/>
      <c r="L65" s="11"/>
      <c r="M65" s="175"/>
      <c r="N65" s="175"/>
      <c r="O65" s="175"/>
      <c r="P65" s="175"/>
      <c r="Q65" s="175"/>
      <c r="R65" s="175"/>
      <c r="S65" s="11"/>
      <c r="T65" s="33"/>
      <c r="U65" s="142"/>
      <c r="V65" s="142"/>
      <c r="W65" s="142"/>
      <c r="X65" s="142"/>
      <c r="Y65" s="142"/>
      <c r="Z65" s="142"/>
      <c r="AM65" s="176"/>
    </row>
    <row r="66" spans="4:39" ht="15.75" customHeight="1">
      <c r="D66" s="204" t="s">
        <v>354</v>
      </c>
      <c r="E66" s="236">
        <v>2.5768122784499692E-3</v>
      </c>
      <c r="F66" s="237">
        <v>3.0031114634079259E-3</v>
      </c>
      <c r="G66" s="161">
        <v>3.2582551836166651E-3</v>
      </c>
      <c r="K66" s="11"/>
      <c r="L66" s="11"/>
      <c r="M66" s="175"/>
      <c r="N66" s="175"/>
      <c r="O66" s="175"/>
      <c r="P66" s="175"/>
      <c r="Q66" s="175"/>
      <c r="R66" s="175"/>
      <c r="S66" s="11"/>
      <c r="T66" s="11"/>
      <c r="U66" s="11"/>
      <c r="V66" s="11"/>
      <c r="W66" s="11"/>
    </row>
    <row r="67" spans="4:39" ht="15.75" customHeight="1">
      <c r="K67" s="11"/>
      <c r="L67" s="11"/>
      <c r="R67" s="11"/>
      <c r="S67" s="11"/>
      <c r="T67" s="11"/>
      <c r="U67" s="11"/>
      <c r="V67" s="11"/>
      <c r="W67" s="11"/>
    </row>
    <row r="68" spans="4:39" ht="15.75" customHeight="1">
      <c r="K68" s="11"/>
      <c r="L68" s="11"/>
      <c r="M68" s="11"/>
      <c r="N68" s="11"/>
      <c r="O68" s="11"/>
      <c r="P68" s="11"/>
      <c r="Q68" s="11"/>
      <c r="R68" s="11"/>
      <c r="S68" s="11"/>
      <c r="T68" s="11"/>
      <c r="U68" s="11"/>
      <c r="V68" s="11"/>
      <c r="W68" s="11"/>
    </row>
    <row r="69" spans="4:39" ht="15.75" customHeight="1">
      <c r="K69" s="11"/>
      <c r="L69" s="11"/>
      <c r="M69" s="11"/>
      <c r="N69" s="11"/>
      <c r="O69" s="11"/>
      <c r="P69" s="11"/>
      <c r="Q69" s="11"/>
      <c r="R69" s="11"/>
      <c r="S69" s="11"/>
      <c r="T69" s="11"/>
      <c r="U69" s="11"/>
      <c r="V69" s="11"/>
      <c r="W69" s="11"/>
    </row>
    <row r="70" spans="4:39" ht="15.75" customHeight="1">
      <c r="K70" s="11"/>
      <c r="L70" s="11"/>
      <c r="M70" s="11"/>
      <c r="N70" s="11"/>
      <c r="O70" s="11"/>
      <c r="P70" s="11"/>
      <c r="Q70" s="11"/>
      <c r="R70" s="11"/>
      <c r="S70" s="11"/>
      <c r="T70" s="11"/>
      <c r="U70" s="11"/>
      <c r="V70" s="11"/>
      <c r="W70" s="11"/>
    </row>
    <row r="71" spans="4:39" ht="15.75" customHeight="1">
      <c r="K71" s="11"/>
      <c r="L71" s="11"/>
      <c r="M71" s="11"/>
      <c r="N71" s="11"/>
      <c r="O71" s="11"/>
      <c r="P71" s="11"/>
      <c r="Q71" s="11"/>
      <c r="R71" s="11"/>
      <c r="S71" s="11"/>
      <c r="T71" s="11"/>
      <c r="U71" s="11"/>
      <c r="V71" s="11"/>
      <c r="W71" s="11"/>
    </row>
    <row r="72" spans="4:39" ht="15.75" customHeight="1">
      <c r="K72" s="11"/>
      <c r="L72" s="11"/>
      <c r="M72" s="11"/>
      <c r="N72" s="11"/>
      <c r="O72" s="11"/>
      <c r="P72" s="11"/>
      <c r="Q72" s="11"/>
      <c r="R72" s="11"/>
      <c r="S72" s="11"/>
      <c r="T72" s="11"/>
      <c r="U72" s="11"/>
      <c r="V72" s="11"/>
      <c r="W72" s="11"/>
    </row>
    <row r="73" spans="4:39" ht="15.75" customHeight="1">
      <c r="K73" s="11"/>
      <c r="L73" s="11"/>
      <c r="M73" s="11"/>
      <c r="N73" s="11"/>
      <c r="O73" s="11"/>
      <c r="P73" s="11"/>
      <c r="Q73" s="11"/>
      <c r="R73" s="11"/>
      <c r="S73" s="11"/>
      <c r="T73" s="11"/>
      <c r="U73" s="11"/>
      <c r="V73" s="11"/>
      <c r="W73" s="11"/>
    </row>
    <row r="74" spans="4:39" ht="15.75" customHeight="1">
      <c r="K74" s="11"/>
      <c r="L74" s="11"/>
      <c r="M74" s="11"/>
      <c r="N74" s="11"/>
      <c r="O74" s="11"/>
      <c r="P74" s="11"/>
      <c r="Q74" s="11"/>
      <c r="R74" s="11"/>
      <c r="S74" s="11"/>
      <c r="T74" s="11"/>
      <c r="U74" s="11"/>
      <c r="V74" s="11"/>
      <c r="W74" s="11"/>
    </row>
    <row r="75" spans="4:39" ht="15.75" customHeight="1"/>
    <row r="76" spans="4:39" ht="15.75" customHeight="1"/>
    <row r="77" spans="4:39" ht="15.75" customHeight="1"/>
    <row r="78" spans="4:39" ht="15.75" customHeight="1"/>
    <row r="79" spans="4:39" ht="15.75" customHeight="1"/>
    <row r="80" spans="4:39" ht="15.75" customHeight="1"/>
    <row r="81" spans="7:8" ht="15.75" customHeight="1"/>
    <row r="82" spans="7:8" ht="15.75" customHeight="1"/>
    <row r="83" spans="7:8" ht="15.75" customHeight="1">
      <c r="G83" s="11"/>
      <c r="H83" s="11"/>
    </row>
    <row r="84" spans="7:8" ht="15.75" customHeight="1"/>
    <row r="85" spans="7:8" ht="15.75" customHeight="1"/>
    <row r="86" spans="7:8" ht="15.75" customHeight="1"/>
    <row r="87" spans="7:8" ht="15.75" customHeight="1"/>
    <row r="88" spans="7:8" ht="15.75" customHeight="1"/>
    <row r="89" spans="7:8" ht="15.75" customHeight="1"/>
    <row r="90" spans="7:8" ht="15.75" customHeight="1"/>
    <row r="91" spans="7:8" ht="15.75" customHeight="1"/>
    <row r="92" spans="7:8" ht="15.75" customHeight="1"/>
    <row r="93" spans="7:8" ht="15.75" customHeight="1"/>
    <row r="94" spans="7:8" ht="15.75" customHeight="1"/>
    <row r="95" spans="7:8" ht="15.75" customHeight="1"/>
    <row r="96" spans="7:8"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6">
    <mergeCell ref="D55:G55"/>
    <mergeCell ref="H55:J55"/>
    <mergeCell ref="D63:G63"/>
    <mergeCell ref="D2:J2"/>
    <mergeCell ref="L2:Q2"/>
    <mergeCell ref="D33:G33"/>
    <mergeCell ref="D38:G38"/>
    <mergeCell ref="D47:G47"/>
    <mergeCell ref="H47:J47"/>
    <mergeCell ref="AN3:AP3"/>
    <mergeCell ref="AQ3:AS3"/>
    <mergeCell ref="S2:V2"/>
    <mergeCell ref="X2:AA2"/>
    <mergeCell ref="AC2:AF2"/>
    <mergeCell ref="AH2:AK2"/>
    <mergeCell ref="AM2:AS2"/>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4" tint="0.79998168889431442"/>
  </sheetPr>
  <dimension ref="B2:AH993"/>
  <sheetViews>
    <sheetView zoomScale="55" zoomScaleNormal="55" workbookViewId="0">
      <selection activeCell="U79" sqref="U79"/>
    </sheetView>
  </sheetViews>
  <sheetFormatPr defaultColWidth="12.58203125" defaultRowHeight="15" customHeight="1"/>
  <cols>
    <col min="1" max="2" width="5.75" customWidth="1"/>
    <col min="3" max="3" width="31" customWidth="1"/>
    <col min="4" max="9" width="11.83203125" customWidth="1"/>
    <col min="10" max="10" width="13.25" customWidth="1"/>
    <col min="11" max="22" width="11.83203125" customWidth="1"/>
    <col min="23" max="27" width="5.75" customWidth="1"/>
  </cols>
  <sheetData>
    <row r="2" spans="2:34" ht="14.5">
      <c r="C2" s="20" t="s">
        <v>359</v>
      </c>
      <c r="D2" s="2">
        <v>5.8299999999999998E-2</v>
      </c>
      <c r="J2" s="1" t="s">
        <v>360</v>
      </c>
      <c r="V2" s="519" t="s">
        <v>1239</v>
      </c>
      <c r="W2" s="457"/>
      <c r="X2" s="457"/>
      <c r="Y2" s="457"/>
    </row>
    <row r="3" spans="2:34" ht="14.5">
      <c r="C3" s="20" t="s">
        <v>361</v>
      </c>
      <c r="D3" s="2">
        <v>0.223</v>
      </c>
      <c r="J3" s="11">
        <v>910441</v>
      </c>
      <c r="V3" s="457"/>
      <c r="W3" s="457"/>
      <c r="X3" s="457"/>
      <c r="Y3" s="457"/>
    </row>
    <row r="4" spans="2:34" ht="15" customHeight="1">
      <c r="J4" s="1" t="s">
        <v>362</v>
      </c>
      <c r="V4" s="457"/>
      <c r="W4" s="457"/>
      <c r="X4" s="457"/>
      <c r="Y4" s="457"/>
    </row>
    <row r="5" spans="2:34" ht="14.5">
      <c r="B5" s="116" t="s">
        <v>363</v>
      </c>
      <c r="C5" s="112"/>
      <c r="E5" s="67" t="s">
        <v>364</v>
      </c>
      <c r="F5" s="67" t="s">
        <v>365</v>
      </c>
      <c r="J5" s="11">
        <v>2325679</v>
      </c>
      <c r="V5" s="457"/>
      <c r="W5" s="457"/>
      <c r="X5" s="457"/>
      <c r="Y5" s="457"/>
    </row>
    <row r="6" spans="2:34" ht="14.5">
      <c r="C6" s="20" t="s">
        <v>366</v>
      </c>
      <c r="D6" s="2">
        <f>E6/F6</f>
        <v>1337.0392714613608</v>
      </c>
      <c r="E6" s="2">
        <v>4479000000</v>
      </c>
      <c r="F6" s="2">
        <v>3349939</v>
      </c>
      <c r="G6" s="67" t="s">
        <v>367</v>
      </c>
      <c r="J6" s="170" t="s">
        <v>368</v>
      </c>
      <c r="V6" s="457"/>
      <c r="W6" s="457"/>
      <c r="X6" s="457"/>
      <c r="Y6" s="457"/>
    </row>
    <row r="7" spans="2:34" ht="14.5">
      <c r="C7" s="20" t="s">
        <v>369</v>
      </c>
      <c r="D7" s="2">
        <f>E7/F7</f>
        <v>5574.1236710270996</v>
      </c>
      <c r="E7" s="2">
        <v>6044000000</v>
      </c>
      <c r="F7" s="2">
        <v>1084296</v>
      </c>
      <c r="G7" s="67" t="s">
        <v>370</v>
      </c>
      <c r="J7" s="38">
        <v>20475000000</v>
      </c>
    </row>
    <row r="8" spans="2:34" ht="14.5">
      <c r="C8" s="20" t="s">
        <v>371</v>
      </c>
      <c r="D8" s="8">
        <f>F8/G8</f>
        <v>0.57210282028818016</v>
      </c>
      <c r="E8" s="2">
        <v>3950000000</v>
      </c>
      <c r="F8" s="2">
        <f>ROUND(E8/(2145*12),0)</f>
        <v>153458</v>
      </c>
      <c r="G8" s="67">
        <v>268235</v>
      </c>
      <c r="J8" s="1" t="s">
        <v>372</v>
      </c>
    </row>
    <row r="9" spans="2:34" ht="14.5">
      <c r="C9" s="111" t="s">
        <v>373</v>
      </c>
      <c r="D9" s="7">
        <v>0.530407294832827</v>
      </c>
      <c r="E9" s="2"/>
      <c r="F9" s="2"/>
      <c r="G9" s="67"/>
      <c r="J9">
        <v>92404000000</v>
      </c>
    </row>
    <row r="10" spans="2:34" ht="14.5">
      <c r="C10" s="20" t="s">
        <v>374</v>
      </c>
      <c r="D10" s="7">
        <f>J7/(J9/J5*J3)</f>
        <v>0.56601912187042758</v>
      </c>
      <c r="E10" s="2"/>
      <c r="F10" s="2"/>
      <c r="G10" s="67"/>
    </row>
    <row r="11" spans="2:34" ht="14.5">
      <c r="C11" s="111" t="s">
        <v>375</v>
      </c>
      <c r="D11" s="7">
        <v>118.534329748215</v>
      </c>
      <c r="E11" s="2"/>
      <c r="F11" s="2"/>
      <c r="G11" s="67"/>
    </row>
    <row r="13" spans="2:34" ht="14"/>
    <row r="14" spans="2:34" ht="14.5">
      <c r="B14" s="164" t="s">
        <v>376</v>
      </c>
      <c r="C14" s="165"/>
      <c r="D14" s="58" t="s">
        <v>31</v>
      </c>
      <c r="E14" s="58" t="s">
        <v>33</v>
      </c>
      <c r="F14" s="58" t="s">
        <v>35</v>
      </c>
      <c r="G14" s="58" t="s">
        <v>37</v>
      </c>
      <c r="H14" s="58" t="s">
        <v>39</v>
      </c>
      <c r="I14" s="58" t="s">
        <v>41</v>
      </c>
      <c r="J14" s="58" t="s">
        <v>43</v>
      </c>
      <c r="K14" s="58" t="s">
        <v>46</v>
      </c>
      <c r="L14" s="58" t="s">
        <v>48</v>
      </c>
      <c r="M14" s="58" t="s">
        <v>50</v>
      </c>
      <c r="N14" s="58" t="s">
        <v>52</v>
      </c>
      <c r="O14" s="58" t="s">
        <v>54</v>
      </c>
      <c r="P14" s="58" t="s">
        <v>56</v>
      </c>
      <c r="Q14" s="58" t="s">
        <v>58</v>
      </c>
      <c r="R14" s="58" t="s">
        <v>61</v>
      </c>
      <c r="S14" s="58" t="s">
        <v>63</v>
      </c>
      <c r="T14" s="58" t="s">
        <v>65</v>
      </c>
      <c r="U14" s="58" t="s">
        <v>67</v>
      </c>
      <c r="V14" s="58" t="s">
        <v>69</v>
      </c>
      <c r="W14" s="58" t="s">
        <v>71</v>
      </c>
      <c r="X14" s="58" t="s">
        <v>73</v>
      </c>
      <c r="Y14" s="58" t="s">
        <v>75</v>
      </c>
      <c r="Z14" s="58" t="s">
        <v>77</v>
      </c>
      <c r="AA14" s="58" t="s">
        <v>79</v>
      </c>
      <c r="AB14" s="58" t="s">
        <v>81</v>
      </c>
      <c r="AC14" s="58" t="s">
        <v>83</v>
      </c>
      <c r="AD14" s="58" t="s">
        <v>85</v>
      </c>
      <c r="AE14" s="58" t="s">
        <v>88</v>
      </c>
      <c r="AF14" s="58" t="s">
        <v>91</v>
      </c>
      <c r="AG14" s="58" t="s">
        <v>93</v>
      </c>
      <c r="AH14" s="58" t="s">
        <v>95</v>
      </c>
    </row>
    <row r="15" spans="2:34" ht="15.5">
      <c r="C15" s="20" t="s">
        <v>377</v>
      </c>
      <c r="D15" s="35">
        <v>7748277.2891433677</v>
      </c>
      <c r="E15" s="35">
        <v>3800961.504626296</v>
      </c>
      <c r="F15" s="35">
        <v>841137.32406916062</v>
      </c>
      <c r="G15" s="16">
        <v>10000</v>
      </c>
      <c r="H15" s="16">
        <v>2215000</v>
      </c>
      <c r="I15" s="16">
        <v>2787000</v>
      </c>
      <c r="J15" s="16">
        <v>824000</v>
      </c>
      <c r="K15" s="16">
        <v>118388000</v>
      </c>
      <c r="L15" s="35">
        <v>15420934.914436599</v>
      </c>
      <c r="M15" s="16">
        <v>310000</v>
      </c>
      <c r="N15" s="16">
        <v>7817000</v>
      </c>
      <c r="O15" s="16">
        <v>1197000</v>
      </c>
      <c r="P15" s="16">
        <v>291000</v>
      </c>
      <c r="Q15" s="35">
        <v>15724563.637146657</v>
      </c>
      <c r="R15" s="16">
        <v>161000</v>
      </c>
      <c r="S15" s="16">
        <v>394657000</v>
      </c>
      <c r="T15" s="16">
        <v>438472000</v>
      </c>
      <c r="U15" s="16">
        <v>62456000</v>
      </c>
      <c r="V15" s="16">
        <v>6000000</v>
      </c>
      <c r="W15" s="16">
        <v>20375000</v>
      </c>
      <c r="X15" s="35">
        <v>32864739.648953054</v>
      </c>
      <c r="Y15" s="16">
        <v>99030000</v>
      </c>
      <c r="Z15" s="16">
        <v>495649000</v>
      </c>
      <c r="AA15" s="16">
        <v>802152000</v>
      </c>
      <c r="AB15" s="16">
        <v>142000</v>
      </c>
      <c r="AC15" s="16">
        <v>14460426000</v>
      </c>
      <c r="AD15" s="16">
        <v>9442560000</v>
      </c>
      <c r="AE15" s="16">
        <v>16489712000</v>
      </c>
      <c r="AF15" s="16">
        <v>1159265000</v>
      </c>
      <c r="AG15" s="16">
        <v>71000</v>
      </c>
      <c r="AH15" s="16">
        <v>-3163000</v>
      </c>
    </row>
    <row r="16" spans="2:34" ht="14.5">
      <c r="C16" s="111" t="s">
        <v>378</v>
      </c>
      <c r="D16" s="7">
        <v>21831206.896551698</v>
      </c>
      <c r="E16" s="7">
        <v>3377931.0344827599</v>
      </c>
      <c r="F16" s="7">
        <v>111730862.068965</v>
      </c>
      <c r="G16" s="7">
        <v>-1222068.9655172401</v>
      </c>
      <c r="H16" s="7">
        <v>3549655.1724137901</v>
      </c>
      <c r="I16" s="7">
        <v>225590172.413793</v>
      </c>
      <c r="J16" s="7">
        <v>-163051551.72413799</v>
      </c>
      <c r="K16" s="7">
        <v>-11884310.3448276</v>
      </c>
      <c r="L16" s="7">
        <v>99094999.999999896</v>
      </c>
      <c r="M16" s="7">
        <v>-98063275.862068996</v>
      </c>
      <c r="N16" s="7">
        <v>361934310.34482801</v>
      </c>
      <c r="O16" s="7">
        <v>22979310.3448276</v>
      </c>
      <c r="P16" s="7">
        <v>-132978103.448276</v>
      </c>
      <c r="Q16" s="7">
        <v>580982068.96551704</v>
      </c>
      <c r="R16" s="7">
        <v>-1787224482.75862</v>
      </c>
      <c r="S16" s="7">
        <v>-59911379.3103448</v>
      </c>
      <c r="T16" s="7">
        <v>477006724.13793302</v>
      </c>
      <c r="U16" s="7">
        <v>-151901896.55172399</v>
      </c>
      <c r="V16" s="7">
        <v>-47276551.724137902</v>
      </c>
    </row>
    <row r="17" spans="2:34" ht="15.5">
      <c r="D17" s="14"/>
      <c r="E17" s="14"/>
      <c r="F17" s="14"/>
      <c r="G17" s="14"/>
      <c r="H17" s="14"/>
      <c r="I17" s="14"/>
      <c r="J17" s="14"/>
      <c r="K17" s="14"/>
      <c r="L17" s="14"/>
      <c r="M17" s="14"/>
      <c r="N17" s="14"/>
      <c r="O17" s="14"/>
      <c r="P17" s="14"/>
      <c r="Q17" s="14"/>
      <c r="R17" s="14"/>
      <c r="S17" s="14"/>
      <c r="T17" s="14"/>
      <c r="U17" s="14"/>
      <c r="V17" s="14"/>
      <c r="W17" s="17"/>
    </row>
    <row r="19" spans="2:34" ht="14.5">
      <c r="B19" s="20" t="s">
        <v>379</v>
      </c>
      <c r="C19" s="19"/>
    </row>
    <row r="20" spans="2:34" ht="14.5">
      <c r="C20" s="19" t="s">
        <v>380</v>
      </c>
      <c r="D20" s="2">
        <v>0.88473775499999996</v>
      </c>
    </row>
    <row r="21" spans="2:34" ht="14.5">
      <c r="C21" s="19" t="s">
        <v>381</v>
      </c>
      <c r="D21" s="8">
        <v>0.16203008399999999</v>
      </c>
    </row>
    <row r="22" spans="2:34" ht="15.75" customHeight="1"/>
    <row r="23" spans="2:34" ht="15.75" customHeight="1">
      <c r="C23" s="20" t="s">
        <v>382</v>
      </c>
      <c r="D23" s="2">
        <v>0.02</v>
      </c>
    </row>
    <row r="24" spans="2:34" ht="15.75" customHeight="1">
      <c r="C24" s="20" t="s">
        <v>383</v>
      </c>
      <c r="D24">
        <v>0.01</v>
      </c>
    </row>
    <row r="25" spans="2:34" ht="15.75" customHeight="1">
      <c r="C25" s="20" t="s">
        <v>384</v>
      </c>
      <c r="D25" s="9">
        <v>94286000000</v>
      </c>
    </row>
    <row r="26" spans="2:34" ht="15.75" customHeight="1"/>
    <row r="27" spans="2:34" ht="15.75" customHeight="1"/>
    <row r="28" spans="2:34" ht="15.75" customHeight="1">
      <c r="C28" s="111" t="s">
        <v>385</v>
      </c>
      <c r="D28" s="58" t="s">
        <v>31</v>
      </c>
      <c r="E28" s="58" t="s">
        <v>33</v>
      </c>
      <c r="F28" s="58" t="s">
        <v>35</v>
      </c>
      <c r="G28" s="58" t="s">
        <v>37</v>
      </c>
      <c r="H28" s="58" t="s">
        <v>39</v>
      </c>
      <c r="I28" s="58" t="s">
        <v>41</v>
      </c>
      <c r="J28" s="58" t="s">
        <v>43</v>
      </c>
      <c r="K28" s="58" t="s">
        <v>46</v>
      </c>
      <c r="L28" s="58" t="s">
        <v>48</v>
      </c>
      <c r="M28" s="58" t="s">
        <v>50</v>
      </c>
      <c r="N28" s="58" t="s">
        <v>52</v>
      </c>
      <c r="O28" s="58" t="s">
        <v>54</v>
      </c>
      <c r="P28" s="58" t="s">
        <v>56</v>
      </c>
      <c r="Q28" s="58" t="s">
        <v>58</v>
      </c>
      <c r="R28" s="58" t="s">
        <v>61</v>
      </c>
      <c r="S28" s="58" t="s">
        <v>63</v>
      </c>
      <c r="T28" s="58" t="s">
        <v>65</v>
      </c>
      <c r="U28" s="58" t="s">
        <v>67</v>
      </c>
      <c r="V28" s="58" t="s">
        <v>69</v>
      </c>
      <c r="W28" s="58" t="s">
        <v>71</v>
      </c>
      <c r="X28" s="58" t="s">
        <v>73</v>
      </c>
      <c r="Y28" s="58" t="s">
        <v>75</v>
      </c>
      <c r="Z28" s="58" t="s">
        <v>77</v>
      </c>
      <c r="AA28" s="58" t="s">
        <v>79</v>
      </c>
      <c r="AB28" s="58" t="s">
        <v>81</v>
      </c>
      <c r="AC28" s="58" t="s">
        <v>83</v>
      </c>
      <c r="AD28" s="58" t="s">
        <v>85</v>
      </c>
      <c r="AE28" s="58" t="s">
        <v>88</v>
      </c>
      <c r="AF28" s="58" t="s">
        <v>91</v>
      </c>
      <c r="AG28" s="58" t="s">
        <v>93</v>
      </c>
      <c r="AH28" s="58" t="s">
        <v>95</v>
      </c>
    </row>
    <row r="29" spans="2:34" ht="15.75" customHeight="1">
      <c r="C29" s="3" t="s">
        <v>386</v>
      </c>
      <c r="D29" s="2">
        <v>6.238585057378232E-2</v>
      </c>
      <c r="E29" s="2">
        <v>5.3747770478966374E-2</v>
      </c>
      <c r="F29" s="2">
        <v>3.1952753265925185E-2</v>
      </c>
      <c r="G29" s="2">
        <v>0.10384028836822404</v>
      </c>
      <c r="H29" s="2">
        <v>5.1120193293194637E-2</v>
      </c>
      <c r="I29" s="2">
        <v>5.7449673273697828E-2</v>
      </c>
      <c r="J29" s="2">
        <v>3.3483484223073817E-2</v>
      </c>
      <c r="K29" s="2">
        <v>3.0125063639679293E-2</v>
      </c>
      <c r="L29" s="2">
        <v>3.1999383837281695E-2</v>
      </c>
      <c r="M29" s="2">
        <v>2.5307903468729551E-2</v>
      </c>
      <c r="N29" s="2">
        <v>2.8748600714057423E-2</v>
      </c>
      <c r="O29" s="2">
        <v>5.177058591830578E-2</v>
      </c>
      <c r="P29" s="2">
        <v>1.3760836002708405E-2</v>
      </c>
      <c r="Q29" s="2">
        <v>2.2717243245946688E-2</v>
      </c>
      <c r="R29" s="2">
        <v>4.1214813665198753E-2</v>
      </c>
      <c r="S29" s="2">
        <v>5.5215628918332343E-2</v>
      </c>
      <c r="T29" s="2">
        <v>4.3100833568656981E-2</v>
      </c>
      <c r="U29" s="2">
        <v>2.6087793608009242E-2</v>
      </c>
      <c r="V29" s="2">
        <v>1.086690452701149E-2</v>
      </c>
    </row>
    <row r="30" spans="2:34" ht="15.75" customHeight="1">
      <c r="C30" s="2"/>
      <c r="D30" s="2"/>
    </row>
    <row r="31" spans="2:34" ht="15.75" customHeight="1">
      <c r="C31" s="2"/>
      <c r="D31" s="2"/>
    </row>
    <row r="32" spans="2:34" ht="15.75" customHeight="1"/>
    <row r="33" spans="2:7" ht="15.75" customHeight="1">
      <c r="B33" s="111" t="s">
        <v>387</v>
      </c>
      <c r="C33" s="112"/>
      <c r="D33" s="112"/>
      <c r="E33" s="112"/>
      <c r="G33" s="166">
        <v>2010</v>
      </c>
    </row>
    <row r="34" spans="2:7" ht="15.75" customHeight="1">
      <c r="C34" s="2" t="s">
        <v>388</v>
      </c>
      <c r="D34" s="2" t="s">
        <v>389</v>
      </c>
      <c r="E34" s="2" t="s">
        <v>390</v>
      </c>
      <c r="G34" s="167" t="s">
        <v>391</v>
      </c>
    </row>
    <row r="35" spans="2:7" ht="15.75" customHeight="1">
      <c r="C35" s="2" t="s">
        <v>392</v>
      </c>
      <c r="D35" s="2">
        <v>0</v>
      </c>
      <c r="E35" s="2">
        <v>0.23</v>
      </c>
      <c r="G35" s="168" t="s">
        <v>393</v>
      </c>
    </row>
    <row r="36" spans="2:7" ht="15.75" customHeight="1">
      <c r="C36" s="2" t="s">
        <v>394</v>
      </c>
      <c r="D36" s="2">
        <v>15000</v>
      </c>
      <c r="E36" s="2">
        <v>0.27</v>
      </c>
      <c r="G36" s="168" t="s">
        <v>395</v>
      </c>
    </row>
    <row r="37" spans="2:7" ht="15.75" customHeight="1">
      <c r="C37" s="2" t="s">
        <v>396</v>
      </c>
      <c r="D37" s="2">
        <v>28000</v>
      </c>
      <c r="E37" s="2">
        <v>0.38</v>
      </c>
      <c r="G37" s="168" t="s">
        <v>397</v>
      </c>
    </row>
    <row r="38" spans="2:7" ht="15.75" customHeight="1">
      <c r="C38" s="2" t="s">
        <v>398</v>
      </c>
      <c r="D38" s="2">
        <v>55000</v>
      </c>
      <c r="E38" s="2">
        <v>0.41</v>
      </c>
      <c r="G38" s="168" t="s">
        <v>399</v>
      </c>
    </row>
    <row r="39" spans="2:7" ht="15.75" customHeight="1">
      <c r="C39" s="2" t="s">
        <v>400</v>
      </c>
      <c r="D39" s="2">
        <v>75000</v>
      </c>
      <c r="E39" s="2">
        <v>0.43</v>
      </c>
      <c r="G39" s="168" t="s">
        <v>401</v>
      </c>
    </row>
    <row r="40" spans="2:7" ht="15.75" customHeight="1">
      <c r="G40" s="168" t="s">
        <v>402</v>
      </c>
    </row>
    <row r="41" spans="2:7" ht="15.75" customHeight="1">
      <c r="C41" s="20" t="s">
        <v>403</v>
      </c>
      <c r="D41" s="19"/>
      <c r="E41" s="19"/>
      <c r="G41" s="168" t="s">
        <v>404</v>
      </c>
    </row>
    <row r="42" spans="2:7" ht="15.75" customHeight="1">
      <c r="C42" t="s">
        <v>405</v>
      </c>
      <c r="D42" s="2" t="s">
        <v>406</v>
      </c>
      <c r="E42" t="s">
        <v>390</v>
      </c>
      <c r="G42" s="168" t="s">
        <v>407</v>
      </c>
    </row>
    <row r="43" spans="2:7" ht="15.75" customHeight="1">
      <c r="C43">
        <v>2010</v>
      </c>
      <c r="D43" s="2">
        <f t="shared" ref="D43:D54" si="0">C43-2010</f>
        <v>0</v>
      </c>
      <c r="E43" s="169">
        <v>26</v>
      </c>
      <c r="G43" s="168" t="s">
        <v>408</v>
      </c>
    </row>
    <row r="44" spans="2:7" ht="15.75" customHeight="1">
      <c r="C44">
        <v>2011</v>
      </c>
      <c r="D44" s="2">
        <f t="shared" si="0"/>
        <v>1</v>
      </c>
      <c r="E44" s="169">
        <v>26</v>
      </c>
    </row>
    <row r="45" spans="2:7" ht="15.75" customHeight="1">
      <c r="C45">
        <v>2012</v>
      </c>
      <c r="D45" s="2">
        <f t="shared" si="0"/>
        <v>2</v>
      </c>
      <c r="E45" s="169">
        <v>24.5</v>
      </c>
    </row>
    <row r="46" spans="2:7" ht="15.75" customHeight="1">
      <c r="C46">
        <v>2013</v>
      </c>
      <c r="D46" s="2">
        <f t="shared" si="0"/>
        <v>3</v>
      </c>
      <c r="E46" s="169">
        <v>24.5</v>
      </c>
    </row>
    <row r="47" spans="2:7" ht="15.75" customHeight="1">
      <c r="C47">
        <v>2014</v>
      </c>
      <c r="D47" s="2">
        <f t="shared" si="0"/>
        <v>4</v>
      </c>
      <c r="E47" s="169">
        <v>20</v>
      </c>
    </row>
    <row r="48" spans="2:7" ht="15.75" customHeight="1">
      <c r="C48">
        <v>2015</v>
      </c>
      <c r="D48" s="2">
        <f t="shared" si="0"/>
        <v>5</v>
      </c>
      <c r="E48" s="169">
        <v>20</v>
      </c>
    </row>
    <row r="49" spans="3:7" ht="15.75" customHeight="1">
      <c r="C49">
        <v>2016</v>
      </c>
      <c r="D49" s="2">
        <f t="shared" si="0"/>
        <v>6</v>
      </c>
      <c r="E49" s="169">
        <v>20</v>
      </c>
    </row>
    <row r="50" spans="3:7" ht="15.75" customHeight="1">
      <c r="C50">
        <v>2017</v>
      </c>
      <c r="D50" s="2">
        <f t="shared" si="0"/>
        <v>7</v>
      </c>
      <c r="E50" s="169">
        <v>20</v>
      </c>
    </row>
    <row r="51" spans="3:7" ht="15.75" customHeight="1">
      <c r="C51">
        <v>2018</v>
      </c>
      <c r="D51" s="2">
        <f t="shared" si="0"/>
        <v>8</v>
      </c>
      <c r="E51" s="169">
        <v>20</v>
      </c>
    </row>
    <row r="52" spans="3:7" ht="15.75" customHeight="1">
      <c r="C52">
        <v>2019</v>
      </c>
      <c r="D52" s="2">
        <f t="shared" si="0"/>
        <v>9</v>
      </c>
      <c r="E52" s="169">
        <v>20</v>
      </c>
    </row>
    <row r="53" spans="3:7" ht="15.75" customHeight="1">
      <c r="C53">
        <v>2020</v>
      </c>
      <c r="D53" s="2">
        <f t="shared" si="0"/>
        <v>10</v>
      </c>
      <c r="E53" s="169">
        <v>20</v>
      </c>
    </row>
    <row r="54" spans="3:7" ht="15.75" customHeight="1">
      <c r="C54" s="2">
        <v>2021</v>
      </c>
      <c r="D54" s="2">
        <f t="shared" si="0"/>
        <v>11</v>
      </c>
      <c r="E54" s="169">
        <v>20</v>
      </c>
    </row>
    <row r="55" spans="3:7" ht="15.75" customHeight="1"/>
    <row r="56" spans="3:7" ht="15.75" customHeight="1">
      <c r="C56" s="111" t="s">
        <v>409</v>
      </c>
      <c r="D56" s="112"/>
      <c r="E56" s="112"/>
    </row>
    <row r="57" spans="3:7" ht="15.75" customHeight="1">
      <c r="C57" s="2" t="s">
        <v>405</v>
      </c>
      <c r="D57" s="2" t="s">
        <v>406</v>
      </c>
      <c r="E57" s="2" t="s">
        <v>390</v>
      </c>
      <c r="F57" t="s">
        <v>410</v>
      </c>
      <c r="G57" t="s">
        <v>411</v>
      </c>
    </row>
    <row r="58" spans="3:7" ht="15.75" customHeight="1">
      <c r="C58" s="2">
        <v>2010</v>
      </c>
      <c r="D58" s="2">
        <f t="shared" ref="D58:D69" si="1">C58-2010</f>
        <v>0</v>
      </c>
      <c r="E58" s="20">
        <v>0.28000000000000003</v>
      </c>
      <c r="F58" s="19"/>
      <c r="G58" s="19"/>
    </row>
    <row r="59" spans="3:7" ht="15.75" customHeight="1">
      <c r="C59" s="2">
        <v>2011</v>
      </c>
      <c r="D59" s="2">
        <f t="shared" si="1"/>
        <v>1</v>
      </c>
      <c r="E59" s="20">
        <v>0.28000000000000003</v>
      </c>
      <c r="F59" s="19"/>
      <c r="G59" s="19"/>
    </row>
    <row r="60" spans="3:7" ht="15.75" customHeight="1">
      <c r="C60" s="2">
        <v>2012</v>
      </c>
      <c r="D60" s="2">
        <f t="shared" si="1"/>
        <v>2</v>
      </c>
      <c r="E60" s="20">
        <v>0.3</v>
      </c>
      <c r="F60" s="19">
        <v>0.32</v>
      </c>
      <c r="G60" s="19">
        <v>50000</v>
      </c>
    </row>
    <row r="61" spans="3:7" ht="15.75" customHeight="1">
      <c r="C61" s="2">
        <v>2013</v>
      </c>
      <c r="D61" s="2">
        <f t="shared" si="1"/>
        <v>3</v>
      </c>
      <c r="E61" s="20">
        <v>0.3</v>
      </c>
      <c r="F61" s="19">
        <v>0.32</v>
      </c>
      <c r="G61" s="19">
        <v>50000</v>
      </c>
    </row>
    <row r="62" spans="3:7" ht="15.75" customHeight="1">
      <c r="C62" s="2">
        <v>2014</v>
      </c>
      <c r="D62" s="2">
        <f t="shared" si="1"/>
        <v>4</v>
      </c>
      <c r="E62" s="20">
        <v>0.3</v>
      </c>
      <c r="F62" s="19">
        <v>0.32</v>
      </c>
      <c r="G62" s="19">
        <v>40000</v>
      </c>
    </row>
    <row r="63" spans="3:7" ht="15.75" customHeight="1">
      <c r="C63" s="2">
        <v>2015</v>
      </c>
      <c r="D63" s="2">
        <f t="shared" si="1"/>
        <v>5</v>
      </c>
      <c r="E63" s="20">
        <v>0.3</v>
      </c>
      <c r="F63" s="19">
        <v>0.33</v>
      </c>
      <c r="G63" s="19">
        <v>30000</v>
      </c>
    </row>
    <row r="64" spans="3:7" ht="15.75" customHeight="1">
      <c r="C64" s="2">
        <v>2016</v>
      </c>
      <c r="D64" s="2">
        <f t="shared" si="1"/>
        <v>6</v>
      </c>
      <c r="E64" s="20">
        <v>0.3</v>
      </c>
      <c r="F64" s="19">
        <v>0.34</v>
      </c>
      <c r="G64" s="19">
        <v>30000</v>
      </c>
    </row>
    <row r="65" spans="3:5" ht="15.75" customHeight="1">
      <c r="C65" s="2">
        <v>2017</v>
      </c>
      <c r="D65" s="2">
        <f t="shared" si="1"/>
        <v>7</v>
      </c>
      <c r="E65" s="111">
        <v>0.26</v>
      </c>
    </row>
    <row r="66" spans="3:5" ht="15.75" customHeight="1">
      <c r="C66" s="2">
        <v>2018</v>
      </c>
      <c r="D66" s="2">
        <f t="shared" si="1"/>
        <v>8</v>
      </c>
      <c r="E66" s="111">
        <v>0.26</v>
      </c>
    </row>
    <row r="67" spans="3:5" ht="15.75" customHeight="1">
      <c r="C67" s="2">
        <v>2019</v>
      </c>
      <c r="D67" s="2">
        <f t="shared" si="1"/>
        <v>9</v>
      </c>
      <c r="E67" s="111">
        <v>0.26</v>
      </c>
    </row>
    <row r="68" spans="3:5" ht="15.75" customHeight="1">
      <c r="C68" s="2">
        <v>2020</v>
      </c>
      <c r="D68" s="2">
        <f t="shared" si="1"/>
        <v>10</v>
      </c>
      <c r="E68" s="111">
        <v>0.26</v>
      </c>
    </row>
    <row r="69" spans="3:5" ht="15.75" customHeight="1">
      <c r="C69" s="2">
        <v>2021</v>
      </c>
      <c r="D69" s="2">
        <f t="shared" si="1"/>
        <v>11</v>
      </c>
      <c r="E69" s="111">
        <v>0.26</v>
      </c>
    </row>
    <row r="70" spans="3:5" ht="15.75" customHeight="1"/>
    <row r="71" spans="3:5" ht="15.75" customHeight="1"/>
    <row r="72" spans="3:5" ht="15.75" customHeight="1"/>
    <row r="73" spans="3:5" ht="15.75" customHeight="1"/>
    <row r="74" spans="3:5" ht="15.75" customHeight="1"/>
    <row r="75" spans="3:5" ht="15.75" customHeight="1"/>
    <row r="76" spans="3:5" ht="15.75" customHeight="1"/>
    <row r="77" spans="3:5" ht="15.75" customHeight="1"/>
    <row r="78" spans="3:5" ht="15.75" customHeight="1"/>
    <row r="79" spans="3:5" ht="15.75" customHeight="1"/>
    <row r="80" spans="3:5"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1">
    <mergeCell ref="V2:Y6"/>
  </mergeCells>
  <pageMargins left="0.7" right="0.7" top="0.75" bottom="0.75" header="0" footer="0"/>
  <pageSetup orientation="landscape"/>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4" tint="0.79998168889431442"/>
  </sheetPr>
  <dimension ref="A1:BW1005"/>
  <sheetViews>
    <sheetView topLeftCell="V1" zoomScale="55" zoomScaleNormal="55" workbookViewId="0">
      <selection activeCell="BA33" sqref="BA33:BM33"/>
    </sheetView>
  </sheetViews>
  <sheetFormatPr defaultColWidth="12.58203125" defaultRowHeight="15" customHeight="1"/>
  <cols>
    <col min="1" max="1" width="10.83203125" customWidth="1"/>
    <col min="2" max="32" width="8.58203125" customWidth="1"/>
    <col min="33" max="40" width="11" customWidth="1"/>
    <col min="41" max="44" width="12.75" bestFit="1" customWidth="1"/>
    <col min="45" max="45" width="13.75" bestFit="1" customWidth="1"/>
    <col min="46" max="49" width="12.75" bestFit="1" customWidth="1"/>
  </cols>
  <sheetData>
    <row r="1" spans="1:75" ht="15" customHeight="1">
      <c r="A1" s="5"/>
      <c r="B1" s="526" t="s">
        <v>745</v>
      </c>
      <c r="C1" s="526"/>
      <c r="D1" s="526"/>
      <c r="E1" s="526"/>
      <c r="F1" s="526"/>
      <c r="G1" s="526"/>
      <c r="H1" s="526"/>
      <c r="I1" s="526"/>
      <c r="J1" s="526"/>
      <c r="K1" s="526"/>
      <c r="L1" s="526"/>
      <c r="M1" s="526"/>
      <c r="N1" s="526"/>
      <c r="O1" s="526"/>
      <c r="P1" s="526"/>
      <c r="Q1" s="526"/>
      <c r="R1" s="526"/>
      <c r="S1" s="526"/>
      <c r="T1" s="526"/>
      <c r="U1" s="526"/>
      <c r="V1" s="526"/>
      <c r="W1" s="526"/>
      <c r="X1" s="526"/>
      <c r="Y1" s="5"/>
      <c r="Z1" s="5"/>
      <c r="AA1" s="522" t="s">
        <v>775</v>
      </c>
      <c r="AB1" s="522"/>
      <c r="AC1" s="522"/>
      <c r="AD1" s="522"/>
      <c r="AE1" s="522"/>
      <c r="AF1" s="522"/>
      <c r="AG1" s="522"/>
      <c r="AH1" s="522"/>
      <c r="AI1" s="522"/>
      <c r="AJ1" s="522"/>
      <c r="AK1" s="522"/>
      <c r="AL1" s="522"/>
      <c r="AM1" s="522"/>
      <c r="AN1" s="522"/>
      <c r="AO1" s="522"/>
      <c r="AP1" s="522"/>
      <c r="AQ1" s="522"/>
      <c r="AR1" s="522"/>
      <c r="AS1" s="522"/>
      <c r="AT1" s="522"/>
      <c r="AU1" s="522"/>
      <c r="AV1" s="522"/>
      <c r="AW1" s="522"/>
    </row>
    <row r="2" spans="1:75" ht="15" customHeight="1">
      <c r="A2" s="5"/>
      <c r="B2" s="527" t="s">
        <v>746</v>
      </c>
      <c r="C2" s="527"/>
      <c r="D2" s="527"/>
      <c r="E2" s="527"/>
      <c r="F2" s="527"/>
      <c r="G2" s="527"/>
      <c r="H2" s="527"/>
      <c r="I2" s="527"/>
      <c r="J2" s="527"/>
      <c r="K2" s="527"/>
      <c r="L2" s="527"/>
      <c r="M2" s="527"/>
      <c r="N2" s="527"/>
      <c r="O2" s="527"/>
      <c r="P2" s="527"/>
      <c r="Q2" s="527"/>
      <c r="R2" s="527"/>
      <c r="S2" s="527"/>
      <c r="T2" s="527"/>
      <c r="U2" s="527"/>
      <c r="V2" s="527"/>
      <c r="W2" s="527"/>
      <c r="X2" s="527"/>
      <c r="Y2" s="5"/>
      <c r="Z2" s="5"/>
      <c r="AA2" s="523" t="s">
        <v>776</v>
      </c>
      <c r="AB2" s="523"/>
      <c r="AC2" s="523"/>
      <c r="AD2" s="523"/>
      <c r="AE2" s="523"/>
      <c r="AF2" s="523"/>
      <c r="AG2" s="523"/>
      <c r="AH2" s="523"/>
      <c r="AI2" s="523"/>
      <c r="AJ2" s="523"/>
      <c r="AK2" s="523"/>
      <c r="AL2" s="523"/>
      <c r="AM2" s="523"/>
      <c r="AN2" s="523"/>
      <c r="AO2" s="523"/>
      <c r="AP2" s="523"/>
      <c r="AQ2" s="523"/>
      <c r="AR2" s="523"/>
      <c r="AS2" s="523"/>
      <c r="AT2" s="523"/>
      <c r="AU2" s="523"/>
      <c r="AV2" s="523"/>
      <c r="AW2" s="523"/>
      <c r="BA2" s="528" t="s">
        <v>1485</v>
      </c>
      <c r="BB2" s="528"/>
      <c r="BC2" s="528"/>
      <c r="BD2" s="528"/>
      <c r="BE2" s="528"/>
      <c r="BF2" s="528"/>
      <c r="BG2" s="528"/>
      <c r="BH2" s="528"/>
      <c r="BI2" s="528"/>
      <c r="BJ2" s="528"/>
      <c r="BK2" s="528"/>
      <c r="BL2" s="528"/>
      <c r="BM2" s="528"/>
      <c r="BN2" s="528"/>
      <c r="BO2" s="528"/>
      <c r="BP2" s="528"/>
      <c r="BQ2" s="528"/>
      <c r="BR2" s="528"/>
      <c r="BS2" s="528"/>
      <c r="BT2" s="528"/>
      <c r="BU2" s="528"/>
    </row>
    <row r="3" spans="1:75" ht="15" customHeight="1">
      <c r="A3" s="5"/>
      <c r="D3" s="197" t="s">
        <v>139</v>
      </c>
      <c r="E3" s="197" t="s">
        <v>37</v>
      </c>
      <c r="F3" s="197" t="s">
        <v>140</v>
      </c>
      <c r="G3" s="197" t="s">
        <v>48</v>
      </c>
      <c r="H3" s="197" t="s">
        <v>141</v>
      </c>
      <c r="I3" s="197" t="s">
        <v>58</v>
      </c>
      <c r="J3" s="197" t="s">
        <v>58</v>
      </c>
      <c r="K3" s="197" t="s">
        <v>58</v>
      </c>
      <c r="L3" s="197" t="s">
        <v>61</v>
      </c>
      <c r="M3" s="197" t="s">
        <v>63</v>
      </c>
      <c r="N3" s="197" t="s">
        <v>65</v>
      </c>
      <c r="O3" s="197" t="s">
        <v>67</v>
      </c>
      <c r="P3" s="197" t="s">
        <v>69</v>
      </c>
      <c r="Q3" s="197" t="s">
        <v>145</v>
      </c>
      <c r="R3" s="197" t="s">
        <v>73</v>
      </c>
      <c r="S3" s="197" t="s">
        <v>75</v>
      </c>
      <c r="T3" s="197" t="s">
        <v>146</v>
      </c>
      <c r="U3" s="197" t="s">
        <v>83</v>
      </c>
      <c r="V3" s="197" t="s">
        <v>85</v>
      </c>
      <c r="W3" s="197" t="s">
        <v>88</v>
      </c>
      <c r="X3" s="197" t="s">
        <v>147</v>
      </c>
      <c r="Y3" s="63"/>
      <c r="Z3" s="63"/>
      <c r="AC3" s="196" t="s">
        <v>139</v>
      </c>
      <c r="AD3" s="196" t="s">
        <v>37</v>
      </c>
      <c r="AE3" s="196" t="s">
        <v>140</v>
      </c>
      <c r="AF3" s="196" t="s">
        <v>48</v>
      </c>
      <c r="AG3" s="196" t="s">
        <v>141</v>
      </c>
      <c r="AH3" s="196" t="s">
        <v>58</v>
      </c>
      <c r="AI3" s="196" t="s">
        <v>58</v>
      </c>
      <c r="AJ3" s="196" t="s">
        <v>58</v>
      </c>
      <c r="AK3" s="196" t="s">
        <v>61</v>
      </c>
      <c r="AL3" s="196" t="s">
        <v>63</v>
      </c>
      <c r="AM3" s="196" t="s">
        <v>65</v>
      </c>
      <c r="AN3" s="196" t="s">
        <v>67</v>
      </c>
      <c r="AO3" s="196" t="s">
        <v>69</v>
      </c>
      <c r="AP3" s="196" t="s">
        <v>145</v>
      </c>
      <c r="AQ3" s="196" t="s">
        <v>73</v>
      </c>
      <c r="AR3" s="196" t="s">
        <v>75</v>
      </c>
      <c r="AS3" s="196" t="s">
        <v>146</v>
      </c>
      <c r="AT3" s="196" t="s">
        <v>83</v>
      </c>
      <c r="AU3" s="196" t="s">
        <v>85</v>
      </c>
      <c r="AV3" s="196" t="s">
        <v>88</v>
      </c>
      <c r="AW3" s="196" t="s">
        <v>147</v>
      </c>
    </row>
    <row r="4" spans="1:75" ht="15" customHeight="1">
      <c r="A4" s="5"/>
      <c r="B4" s="524" t="s">
        <v>742</v>
      </c>
      <c r="C4" s="197" t="s">
        <v>139</v>
      </c>
      <c r="D4">
        <v>-0.36180072621795051</v>
      </c>
      <c r="E4">
        <v>-0.20031866903140411</v>
      </c>
      <c r="F4">
        <v>-8.7983013865309267E-3</v>
      </c>
      <c r="G4">
        <v>0.52561111917394876</v>
      </c>
      <c r="H4">
        <v>-0.26551805361384001</v>
      </c>
      <c r="I4">
        <v>0.1611102984762971</v>
      </c>
      <c r="J4">
        <v>0.1611102984762971</v>
      </c>
      <c r="K4">
        <v>0.1611102984762971</v>
      </c>
      <c r="L4">
        <v>-0.1916433828282261</v>
      </c>
      <c r="M4">
        <v>-0.30970444089565191</v>
      </c>
      <c r="N4">
        <v>-0.18198881449956719</v>
      </c>
      <c r="O4">
        <v>0.38612851323180059</v>
      </c>
      <c r="P4">
        <v>1.4296993527042809</v>
      </c>
      <c r="Q4">
        <v>0.1553727918495891</v>
      </c>
      <c r="R4">
        <v>0.34912167206181471</v>
      </c>
      <c r="S4">
        <v>0.53556681408753271</v>
      </c>
      <c r="T4">
        <v>8.5873257144993609E-2</v>
      </c>
      <c r="U4">
        <v>0.14999069993800121</v>
      </c>
      <c r="V4">
        <v>1.0359115407681181</v>
      </c>
      <c r="W4">
        <v>0.38002154451181802</v>
      </c>
      <c r="X4">
        <v>0</v>
      </c>
      <c r="Y4" s="63"/>
      <c r="Z4" s="63"/>
      <c r="AA4" s="520" t="s">
        <v>742</v>
      </c>
      <c r="AB4" s="196" t="s">
        <v>139</v>
      </c>
      <c r="AC4">
        <v>-3.9270087069565134E-3</v>
      </c>
      <c r="AD4">
        <v>7.156105178484579E-3</v>
      </c>
      <c r="AE4">
        <v>-1.51259744877752E-3</v>
      </c>
      <c r="AF4">
        <v>0.1183521984570591</v>
      </c>
      <c r="AG4">
        <v>3.377188192205248E-3</v>
      </c>
      <c r="AH4">
        <v>0.24798919898861119</v>
      </c>
      <c r="AI4">
        <v>0.24798919898861119</v>
      </c>
      <c r="AJ4">
        <v>0.24798919898861119</v>
      </c>
      <c r="AK4">
        <v>6.8678070069832717E-2</v>
      </c>
      <c r="AL4">
        <v>1.14749004701533E-2</v>
      </c>
      <c r="AM4">
        <v>-2.6234050793222689E-3</v>
      </c>
      <c r="AN4">
        <v>2.3158891293592741E-2</v>
      </c>
      <c r="AO4">
        <v>3.100205257674858E-3</v>
      </c>
      <c r="AP4">
        <v>2.0208970419721001E-2</v>
      </c>
      <c r="AQ4">
        <v>2.0362882902421199E-2</v>
      </c>
      <c r="AR4">
        <v>1.255729652296469E-2</v>
      </c>
      <c r="AS4">
        <v>1.49231407565773E-2</v>
      </c>
      <c r="AT4">
        <v>2.525547702388865E-2</v>
      </c>
      <c r="AU4">
        <v>3.7691472845023541E-2</v>
      </c>
      <c r="AV4">
        <v>1.128338919624886E-2</v>
      </c>
      <c r="AW4">
        <v>-1</v>
      </c>
    </row>
    <row r="5" spans="1:75" ht="15" customHeight="1">
      <c r="A5" s="5"/>
      <c r="B5" s="524"/>
      <c r="C5" s="197" t="s">
        <v>37</v>
      </c>
      <c r="D5">
        <v>-0.76138171003580912</v>
      </c>
      <c r="E5">
        <v>-0.51351095366068467</v>
      </c>
      <c r="F5">
        <v>-0.81105467222125838</v>
      </c>
      <c r="G5">
        <v>-0.65191132387639117</v>
      </c>
      <c r="H5">
        <v>0.1220542854952846</v>
      </c>
      <c r="I5">
        <v>-0.69243550130551412</v>
      </c>
      <c r="J5">
        <v>-0.69243550130551412</v>
      </c>
      <c r="K5">
        <v>-0.69243550130551412</v>
      </c>
      <c r="L5">
        <v>0.1718089121875106</v>
      </c>
      <c r="M5">
        <v>0.6881899259727231</v>
      </c>
      <c r="N5">
        <v>7.1406479948362911E-2</v>
      </c>
      <c r="O5">
        <v>1.315100543496952</v>
      </c>
      <c r="P5">
        <v>8.3126646233229406E-2</v>
      </c>
      <c r="Q5">
        <v>-8.7643562669462272E-2</v>
      </c>
      <c r="R5">
        <v>0.56375368408161841</v>
      </c>
      <c r="S5">
        <v>3.6414641394271872</v>
      </c>
      <c r="T5">
        <v>1.2766768075320341</v>
      </c>
      <c r="U5">
        <v>2.9991308095844991</v>
      </c>
      <c r="V5">
        <v>0.75048253047466917</v>
      </c>
      <c r="W5">
        <v>5.9087396765718632</v>
      </c>
      <c r="X5">
        <v>0</v>
      </c>
      <c r="Y5" s="63"/>
      <c r="Z5" s="63"/>
      <c r="AA5" s="521"/>
      <c r="AB5" s="196" t="s">
        <v>37</v>
      </c>
      <c r="AC5">
        <v>-4.2618167846391233E-2</v>
      </c>
      <c r="AD5">
        <v>-7.9928403614873869E-2</v>
      </c>
      <c r="AE5">
        <v>-4.2847999051956638E-2</v>
      </c>
      <c r="AF5">
        <v>-2.5692356739341209E-2</v>
      </c>
      <c r="AG5">
        <v>3.6722627518439091E-2</v>
      </c>
      <c r="AH5">
        <v>-3.9624553730889293E-2</v>
      </c>
      <c r="AI5">
        <v>-3.9624553730889293E-2</v>
      </c>
      <c r="AJ5">
        <v>-3.9624553730889293E-2</v>
      </c>
      <c r="AK5">
        <v>-2.8326762563766449E-2</v>
      </c>
      <c r="AL5">
        <v>-4.6983265018900218E-2</v>
      </c>
      <c r="AM5">
        <v>-6.2956601146117994E-2</v>
      </c>
      <c r="AN5">
        <v>-4.7748452882605368E-2</v>
      </c>
      <c r="AO5">
        <v>1.09682240894446E-2</v>
      </c>
      <c r="AP5">
        <v>-3.7648974748480897E-2</v>
      </c>
      <c r="AQ5">
        <v>-1.8248675728914959E-2</v>
      </c>
      <c r="AR5">
        <v>-2.782578001195609E-2</v>
      </c>
      <c r="AS5">
        <v>-2.5267584074187149E-2</v>
      </c>
      <c r="AT5">
        <v>-7.6384741763305466E-2</v>
      </c>
      <c r="AU5">
        <v>1.0355012303915639E-2</v>
      </c>
      <c r="AV5">
        <v>7.4678543103377164E-4</v>
      </c>
      <c r="AW5">
        <v>-1</v>
      </c>
      <c r="BV5" s="194"/>
      <c r="BW5" s="194"/>
    </row>
    <row r="6" spans="1:75" ht="15" customHeight="1">
      <c r="A6" s="5"/>
      <c r="B6" s="524"/>
      <c r="C6" s="197" t="s">
        <v>140</v>
      </c>
      <c r="D6">
        <v>-0.34168143546287</v>
      </c>
      <c r="E6">
        <v>-0.6457012923629879</v>
      </c>
      <c r="F6">
        <v>-0.31282963772232508</v>
      </c>
      <c r="G6">
        <v>-0.38807391061873409</v>
      </c>
      <c r="H6">
        <v>-0.29534210098729269</v>
      </c>
      <c r="I6">
        <v>-6.6604040197437597E-2</v>
      </c>
      <c r="J6">
        <v>-6.6604040197437597E-2</v>
      </c>
      <c r="K6">
        <v>-6.6604040197437597E-2</v>
      </c>
      <c r="L6">
        <v>-0.18506121280297869</v>
      </c>
      <c r="M6">
        <v>-0.8255757053523558</v>
      </c>
      <c r="N6">
        <v>-0.20670110517351839</v>
      </c>
      <c r="O6">
        <v>-0.45426998577382699</v>
      </c>
      <c r="P6">
        <v>-0.36083256405452652</v>
      </c>
      <c r="Q6">
        <v>-0.1557479489122098</v>
      </c>
      <c r="R6">
        <v>-0.85120688594440319</v>
      </c>
      <c r="S6">
        <v>0.69702320805688722</v>
      </c>
      <c r="T6">
        <v>-0.44011530329378717</v>
      </c>
      <c r="U6">
        <v>-0.85565150613904817</v>
      </c>
      <c r="V6">
        <v>-0.32533710841515912</v>
      </c>
      <c r="W6">
        <v>-0.29129972926348879</v>
      </c>
      <c r="X6">
        <v>0</v>
      </c>
      <c r="Y6" s="63"/>
      <c r="Z6" s="63"/>
      <c r="AA6" s="521"/>
      <c r="AB6" s="196" t="s">
        <v>140</v>
      </c>
      <c r="AC6">
        <v>3.2237910773079081E-3</v>
      </c>
      <c r="AD6">
        <v>-5.3750667408113392E-2</v>
      </c>
      <c r="AE6">
        <v>7.5078838538752718E-4</v>
      </c>
      <c r="AF6">
        <v>2.2530347448246491E-2</v>
      </c>
      <c r="AG6">
        <v>3.5244046005310599E-3</v>
      </c>
      <c r="AH6">
        <v>-6.4791637780504873E-3</v>
      </c>
      <c r="AI6">
        <v>-6.4791637780504873E-3</v>
      </c>
      <c r="AJ6">
        <v>-6.4791637780504873E-3</v>
      </c>
      <c r="AK6">
        <v>6.2707382289308219E-3</v>
      </c>
      <c r="AL6">
        <v>-1.5776300899084409E-3</v>
      </c>
      <c r="AM6">
        <v>1.561931428854995E-2</v>
      </c>
      <c r="AN6">
        <v>-9.8770039700550871E-3</v>
      </c>
      <c r="AO6">
        <v>-5.6535438291155484E-3</v>
      </c>
      <c r="AP6">
        <v>3.1157209280914958E-3</v>
      </c>
      <c r="AQ6">
        <v>-1.043746910485813E-2</v>
      </c>
      <c r="AR6">
        <v>-1.505272593179016E-2</v>
      </c>
      <c r="AS6">
        <v>2.2211591975377028E-2</v>
      </c>
      <c r="AT6">
        <v>-1.7298719316135969E-2</v>
      </c>
      <c r="AU6">
        <v>-1.405712863819049E-2</v>
      </c>
      <c r="AV6">
        <v>2.298147307927257E-2</v>
      </c>
      <c r="AW6">
        <v>-1</v>
      </c>
    </row>
    <row r="7" spans="1:75" ht="15" customHeight="1">
      <c r="A7" s="5"/>
      <c r="B7" s="524"/>
      <c r="C7" s="197" t="s">
        <v>48</v>
      </c>
      <c r="D7">
        <v>-0.49069922462137272</v>
      </c>
      <c r="E7">
        <v>-0.30789716103592191</v>
      </c>
      <c r="F7">
        <v>-0.21364724857402251</v>
      </c>
      <c r="G7">
        <v>-0.41047495082422658</v>
      </c>
      <c r="H7">
        <v>-0.4355810450767551</v>
      </c>
      <c r="I7">
        <v>3.3509063320695809E-3</v>
      </c>
      <c r="J7">
        <v>3.3509063320695809E-3</v>
      </c>
      <c r="K7">
        <v>3.3509063320695809E-3</v>
      </c>
      <c r="L7">
        <v>-0.43811301708502881</v>
      </c>
      <c r="M7">
        <v>-0.67138209707109697</v>
      </c>
      <c r="N7">
        <v>-0.30480718385472189</v>
      </c>
      <c r="O7">
        <v>-0.51955387742491921</v>
      </c>
      <c r="P7">
        <v>0.87922617486274834</v>
      </c>
      <c r="Q7">
        <v>-0.2639675217425077</v>
      </c>
      <c r="R7">
        <v>-0.41941406195373859</v>
      </c>
      <c r="S7">
        <v>-0.61232238319933463</v>
      </c>
      <c r="T7">
        <v>-0.52708349913764507</v>
      </c>
      <c r="U7">
        <v>-0.50876769193469784</v>
      </c>
      <c r="V7">
        <v>-0.5718683381924432</v>
      </c>
      <c r="W7">
        <v>0.99540343610333037</v>
      </c>
      <c r="X7">
        <v>0</v>
      </c>
      <c r="Y7" s="63"/>
      <c r="Z7" s="63"/>
      <c r="AA7" s="521"/>
      <c r="AB7" s="196" t="s">
        <v>48</v>
      </c>
      <c r="AC7">
        <v>-9.4680820263959003E-3</v>
      </c>
      <c r="AD7">
        <v>-5.6667953128467707E-3</v>
      </c>
      <c r="AE7">
        <v>-1.062306905308948E-2</v>
      </c>
      <c r="AF7">
        <v>5.001221918927116E-3</v>
      </c>
      <c r="AG7">
        <v>-2.6754829022988199E-2</v>
      </c>
      <c r="AH7">
        <v>-4.5525282834483908E-3</v>
      </c>
      <c r="AI7">
        <v>-4.5525282834483908E-3</v>
      </c>
      <c r="AJ7">
        <v>-4.5525282834483908E-3</v>
      </c>
      <c r="AK7">
        <v>-4.4621875160589533E-2</v>
      </c>
      <c r="AL7">
        <v>2.5252535187028379E-3</v>
      </c>
      <c r="AM7">
        <v>-2.03152647697586E-2</v>
      </c>
      <c r="AN7">
        <v>-4.7039722196826114E-3</v>
      </c>
      <c r="AO7">
        <v>-5.8259802194666546E-3</v>
      </c>
      <c r="AP7">
        <v>-2.9237868218868701E-2</v>
      </c>
      <c r="AQ7">
        <v>-2.1723435614973599E-2</v>
      </c>
      <c r="AR7">
        <v>-1.829846504354677E-2</v>
      </c>
      <c r="AS7">
        <v>-7.6611684940873174E-3</v>
      </c>
      <c r="AT7">
        <v>-3.8434060224812508E-2</v>
      </c>
      <c r="AU7">
        <v>-2.683932570751834E-2</v>
      </c>
      <c r="AV7">
        <v>2.398414562230596E-3</v>
      </c>
      <c r="AW7">
        <v>-1</v>
      </c>
    </row>
    <row r="8" spans="1:75" ht="15" customHeight="1">
      <c r="A8" s="5"/>
      <c r="B8" s="524"/>
      <c r="C8" s="197" t="s">
        <v>141</v>
      </c>
      <c r="D8">
        <v>1.6412477819730571</v>
      </c>
      <c r="E8">
        <v>-0.28139161634976062</v>
      </c>
      <c r="F8">
        <v>-0.1070218428146741</v>
      </c>
      <c r="G8">
        <v>-0.1424853212882331</v>
      </c>
      <c r="H8">
        <v>-5.3374916659833849E-2</v>
      </c>
      <c r="I8">
        <v>-0.22053117844237849</v>
      </c>
      <c r="J8">
        <v>-0.22053117844237849</v>
      </c>
      <c r="K8">
        <v>-0.22053117844237849</v>
      </c>
      <c r="L8">
        <v>-3.6288967730950687E-2</v>
      </c>
      <c r="M8">
        <v>-0.29006041457118248</v>
      </c>
      <c r="N8">
        <v>-0.18442487833662249</v>
      </c>
      <c r="O8">
        <v>-0.25746015576928089</v>
      </c>
      <c r="P8">
        <v>-0.95172784717987624</v>
      </c>
      <c r="Q8">
        <v>-3.5196506249093318E-2</v>
      </c>
      <c r="R8">
        <v>-0.65330841744429091</v>
      </c>
      <c r="S8">
        <v>1.7127768733303359</v>
      </c>
      <c r="T8">
        <v>-0.20573439855348749</v>
      </c>
      <c r="U8">
        <v>-0.69346512136454685</v>
      </c>
      <c r="V8">
        <v>-0.2047845610194288</v>
      </c>
      <c r="W8">
        <v>-0.1005753482812773</v>
      </c>
      <c r="X8">
        <v>0</v>
      </c>
      <c r="Y8" s="63"/>
      <c r="Z8" s="63"/>
      <c r="AA8" s="521"/>
      <c r="AB8" s="196" t="s">
        <v>141</v>
      </c>
      <c r="AC8">
        <v>5.5723329975337507E-2</v>
      </c>
      <c r="AD8">
        <v>-4.1182965290599637E-2</v>
      </c>
      <c r="AE8">
        <v>1.4143935480610411E-2</v>
      </c>
      <c r="AF8">
        <v>4.6908483480479532E-2</v>
      </c>
      <c r="AG8">
        <v>-2.4405503075463279E-3</v>
      </c>
      <c r="AH8">
        <v>2.5222732796737288E-2</v>
      </c>
      <c r="AI8">
        <v>2.5222732796737288E-2</v>
      </c>
      <c r="AJ8">
        <v>2.5222732796737288E-2</v>
      </c>
      <c r="AK8">
        <v>3.0426608202594969E-2</v>
      </c>
      <c r="AL8">
        <v>6.6583640943574926E-2</v>
      </c>
      <c r="AM8">
        <v>1.423215242580991E-2</v>
      </c>
      <c r="AN8">
        <v>-3.8245929307070339E-2</v>
      </c>
      <c r="AO8">
        <v>3.8983461381263099E-3</v>
      </c>
      <c r="AP8">
        <v>1.9711743217882619E-3</v>
      </c>
      <c r="AQ8">
        <v>1.8541729030956751E-2</v>
      </c>
      <c r="AR8">
        <v>1.5300539968079051E-3</v>
      </c>
      <c r="AS8">
        <v>2.4710648823332969E-2</v>
      </c>
      <c r="AT8">
        <v>-2.0958029779927841E-2</v>
      </c>
      <c r="AU8">
        <v>5.2597626246454676E-3</v>
      </c>
      <c r="AV8">
        <v>1.9473967515714299E-2</v>
      </c>
      <c r="AW8">
        <v>-1</v>
      </c>
      <c r="AZ8" s="206" t="s">
        <v>1483</v>
      </c>
    </row>
    <row r="9" spans="1:75" ht="15" customHeight="1">
      <c r="A9" s="5"/>
      <c r="B9" s="524"/>
      <c r="C9" s="197" t="s">
        <v>58</v>
      </c>
      <c r="D9">
        <v>0.17098537605318481</v>
      </c>
      <c r="E9">
        <v>-0.5836581963706261</v>
      </c>
      <c r="F9">
        <v>-0.57324117369786109</v>
      </c>
      <c r="G9">
        <v>-0.35661287108849038</v>
      </c>
      <c r="H9">
        <v>2.8566956623816702E-3</v>
      </c>
      <c r="I9">
        <v>-0.36100757163447211</v>
      </c>
      <c r="J9">
        <v>-0.36100757163447211</v>
      </c>
      <c r="K9">
        <v>-0.36100757163447211</v>
      </c>
      <c r="L9">
        <v>-0.24763519709029749</v>
      </c>
      <c r="M9">
        <v>-0.47573341237516759</v>
      </c>
      <c r="N9">
        <v>-0.37392908478439257</v>
      </c>
      <c r="O9">
        <v>-0.33714966588115852</v>
      </c>
      <c r="P9">
        <v>-0.5947885697166635</v>
      </c>
      <c r="Q9">
        <v>0.1017328698600759</v>
      </c>
      <c r="R9">
        <v>-0.248650120512623</v>
      </c>
      <c r="S9">
        <v>1.893346981664473</v>
      </c>
      <c r="T9">
        <v>-0.17851926334927951</v>
      </c>
      <c r="U9">
        <v>-0.26246524757430439</v>
      </c>
      <c r="V9">
        <v>-0.45186569140541327</v>
      </c>
      <c r="W9">
        <v>-9.6236375856604495E-2</v>
      </c>
      <c r="X9">
        <v>0</v>
      </c>
      <c r="Y9" s="63"/>
      <c r="Z9" s="63"/>
      <c r="AA9" s="521"/>
      <c r="AB9" s="196" t="s">
        <v>58</v>
      </c>
      <c r="AC9">
        <v>6.3812523848994348E-3</v>
      </c>
      <c r="AD9">
        <v>-4.1509712267129871E-2</v>
      </c>
      <c r="AE9">
        <v>-5.9724880358800999E-3</v>
      </c>
      <c r="AF9">
        <v>3.2491744454071388E-2</v>
      </c>
      <c r="AG9">
        <v>-1.157387902446837E-2</v>
      </c>
      <c r="AH9">
        <v>1.028907757378781E-2</v>
      </c>
      <c r="AI9">
        <v>1.028907757378781E-2</v>
      </c>
      <c r="AJ9">
        <v>1.028907757378781E-2</v>
      </c>
      <c r="AK9">
        <v>-2.520294738587362E-3</v>
      </c>
      <c r="AL9">
        <v>7.7377465182261083E-4</v>
      </c>
      <c r="AM9">
        <v>-9.0177103277964028E-3</v>
      </c>
      <c r="AN9">
        <v>3.5754434463133012E-3</v>
      </c>
      <c r="AO9">
        <v>6.5297788301727454E-4</v>
      </c>
      <c r="AP9">
        <v>-2.6451603557196409E-3</v>
      </c>
      <c r="AQ9">
        <v>1.022255641572984E-2</v>
      </c>
      <c r="AR9">
        <v>-2.0211226975215438E-2</v>
      </c>
      <c r="AS9">
        <v>1.404264187215493E-2</v>
      </c>
      <c r="AT9">
        <v>-4.6205626699818278E-3</v>
      </c>
      <c r="AU9">
        <v>-1.8193135377783511E-3</v>
      </c>
      <c r="AV9">
        <v>2.3210079519664461E-3</v>
      </c>
      <c r="AW9">
        <v>-1</v>
      </c>
      <c r="AZ9" s="232" t="s">
        <v>591</v>
      </c>
      <c r="BA9" s="204">
        <v>0</v>
      </c>
      <c r="BB9" s="204">
        <v>1</v>
      </c>
      <c r="BC9" s="204">
        <v>2</v>
      </c>
      <c r="BD9" s="204">
        <v>3</v>
      </c>
      <c r="BE9" s="204">
        <v>4</v>
      </c>
      <c r="BF9" s="204">
        <v>5</v>
      </c>
      <c r="BG9" s="204">
        <v>6</v>
      </c>
      <c r="BH9" s="204">
        <v>7</v>
      </c>
      <c r="BI9" s="204">
        <v>8</v>
      </c>
      <c r="BJ9" s="204">
        <v>9</v>
      </c>
      <c r="BK9" s="204">
        <v>10</v>
      </c>
      <c r="BL9" s="204">
        <v>11</v>
      </c>
      <c r="BM9" s="204">
        <v>12</v>
      </c>
    </row>
    <row r="10" spans="1:75" ht="15" customHeight="1">
      <c r="A10" s="5"/>
      <c r="B10" s="524"/>
      <c r="C10" s="197" t="s">
        <v>58</v>
      </c>
      <c r="D10">
        <v>0.17098537605318481</v>
      </c>
      <c r="E10">
        <v>-0.5836581963706261</v>
      </c>
      <c r="F10">
        <v>-0.57324117369786109</v>
      </c>
      <c r="G10">
        <v>-0.35661287108849038</v>
      </c>
      <c r="H10">
        <v>2.8566956623816702E-3</v>
      </c>
      <c r="I10">
        <v>-0.36100757163447211</v>
      </c>
      <c r="J10">
        <v>-0.36100757163447211</v>
      </c>
      <c r="K10">
        <v>-0.36100757163447211</v>
      </c>
      <c r="L10">
        <v>-0.24763519709029749</v>
      </c>
      <c r="M10">
        <v>-0.47573341237516759</v>
      </c>
      <c r="N10">
        <v>-0.37392908478439257</v>
      </c>
      <c r="O10">
        <v>-0.33714966588115852</v>
      </c>
      <c r="P10">
        <v>-0.5947885697166635</v>
      </c>
      <c r="Q10">
        <v>0.1017328698600759</v>
      </c>
      <c r="R10">
        <v>-0.248650120512623</v>
      </c>
      <c r="S10">
        <v>1.893346981664473</v>
      </c>
      <c r="T10">
        <v>-0.17851926334927951</v>
      </c>
      <c r="U10">
        <v>-0.26246524757430439</v>
      </c>
      <c r="V10">
        <v>-0.45186569140541327</v>
      </c>
      <c r="W10">
        <v>-9.6236375856604495E-2</v>
      </c>
      <c r="X10">
        <v>0</v>
      </c>
      <c r="Y10" s="63"/>
      <c r="Z10" s="63"/>
      <c r="AA10" s="521"/>
      <c r="AB10" s="196" t="s">
        <v>58</v>
      </c>
      <c r="AC10">
        <v>6.3812523848994348E-3</v>
      </c>
      <c r="AD10">
        <v>-4.1509712267129871E-2</v>
      </c>
      <c r="AE10">
        <v>-5.9724880358800999E-3</v>
      </c>
      <c r="AF10">
        <v>3.2491744454071388E-2</v>
      </c>
      <c r="AG10">
        <v>-1.157387902446837E-2</v>
      </c>
      <c r="AH10">
        <v>1.028907757378781E-2</v>
      </c>
      <c r="AI10">
        <v>1.028907757378781E-2</v>
      </c>
      <c r="AJ10">
        <v>1.028907757378781E-2</v>
      </c>
      <c r="AK10">
        <v>-2.520294738587362E-3</v>
      </c>
      <c r="AL10">
        <v>7.7377465182261083E-4</v>
      </c>
      <c r="AM10">
        <v>-9.0177103277964028E-3</v>
      </c>
      <c r="AN10">
        <v>3.5754434463133012E-3</v>
      </c>
      <c r="AO10">
        <v>6.5297788301727454E-4</v>
      </c>
      <c r="AP10">
        <v>-2.6451603557196409E-3</v>
      </c>
      <c r="AQ10">
        <v>1.022255641572984E-2</v>
      </c>
      <c r="AR10">
        <v>-2.0211226975215438E-2</v>
      </c>
      <c r="AS10">
        <v>1.404264187215493E-2</v>
      </c>
      <c r="AT10">
        <v>-4.6205626699818278E-3</v>
      </c>
      <c r="AU10">
        <v>-1.8193135377783511E-3</v>
      </c>
      <c r="AV10">
        <v>2.3210079519664461E-3</v>
      </c>
      <c r="AW10">
        <v>-1</v>
      </c>
      <c r="AZ10" s="400" t="s">
        <v>139</v>
      </c>
      <c r="BA10" s="233">
        <v>-2.2508932946139315E-2</v>
      </c>
      <c r="BB10" s="42">
        <v>-2.3324028621387716E-2</v>
      </c>
      <c r="BC10" s="42">
        <v>-1.0782952439159166E-2</v>
      </c>
      <c r="BD10" s="42">
        <v>-6.0011704971448809E-3</v>
      </c>
      <c r="BE10" s="42">
        <v>-1.0477136164579459E-3</v>
      </c>
      <c r="BF10" s="42">
        <v>1.2645008200617536E-2</v>
      </c>
      <c r="BG10" s="42">
        <v>2.7871830479870852E-3</v>
      </c>
      <c r="BH10" s="42">
        <v>-1.9389226805943682E-4</v>
      </c>
      <c r="BI10" s="42">
        <v>-4.2874818896804223E-3</v>
      </c>
      <c r="BJ10" s="42">
        <v>3.3942041993586525E-3</v>
      </c>
      <c r="BK10" s="42">
        <v>2.3136314610157749E-2</v>
      </c>
      <c r="BL10" s="42">
        <v>6.4457643435678058E-3</v>
      </c>
      <c r="BM10" s="234">
        <v>1.9079849381650416E-2</v>
      </c>
    </row>
    <row r="11" spans="1:75" ht="15" customHeight="1">
      <c r="A11" s="5"/>
      <c r="B11" s="524"/>
      <c r="C11" s="197" t="s">
        <v>58</v>
      </c>
      <c r="D11">
        <v>0.17098537605318481</v>
      </c>
      <c r="E11">
        <v>-0.5836581963706261</v>
      </c>
      <c r="F11">
        <v>-0.57324117369786109</v>
      </c>
      <c r="G11">
        <v>-0.35661287108849038</v>
      </c>
      <c r="H11">
        <v>2.8566956623816702E-3</v>
      </c>
      <c r="I11">
        <v>-0.36100757163447211</v>
      </c>
      <c r="J11">
        <v>-0.36100757163447211</v>
      </c>
      <c r="K11">
        <v>-0.36100757163447211</v>
      </c>
      <c r="L11">
        <v>-0.24763519709029749</v>
      </c>
      <c r="M11">
        <v>-0.47573341237516759</v>
      </c>
      <c r="N11">
        <v>-0.37392908478439257</v>
      </c>
      <c r="O11">
        <v>-0.33714966588115852</v>
      </c>
      <c r="P11">
        <v>-0.5947885697166635</v>
      </c>
      <c r="Q11">
        <v>0.1017328698600759</v>
      </c>
      <c r="R11">
        <v>-0.248650120512623</v>
      </c>
      <c r="S11">
        <v>1.893346981664473</v>
      </c>
      <c r="T11">
        <v>-0.17851926334927951</v>
      </c>
      <c r="U11">
        <v>-0.26246524757430439</v>
      </c>
      <c r="V11">
        <v>-0.45186569140541327</v>
      </c>
      <c r="W11">
        <v>-9.6236375856604495E-2</v>
      </c>
      <c r="X11">
        <v>0</v>
      </c>
      <c r="Y11" s="63"/>
      <c r="Z11" s="63"/>
      <c r="AA11" s="521"/>
      <c r="AB11" s="196" t="s">
        <v>58</v>
      </c>
      <c r="AC11">
        <v>6.3812523848994348E-3</v>
      </c>
      <c r="AD11">
        <v>-4.1509712267129871E-2</v>
      </c>
      <c r="AE11">
        <v>-5.9724880358800999E-3</v>
      </c>
      <c r="AF11">
        <v>3.2491744454071388E-2</v>
      </c>
      <c r="AG11">
        <v>-1.157387902446837E-2</v>
      </c>
      <c r="AH11">
        <v>1.028907757378781E-2</v>
      </c>
      <c r="AI11">
        <v>1.028907757378781E-2</v>
      </c>
      <c r="AJ11">
        <v>1.028907757378781E-2</v>
      </c>
      <c r="AK11">
        <v>-2.520294738587362E-3</v>
      </c>
      <c r="AL11">
        <v>7.7377465182261083E-4</v>
      </c>
      <c r="AM11">
        <v>-9.0177103277964028E-3</v>
      </c>
      <c r="AN11">
        <v>3.5754434463133012E-3</v>
      </c>
      <c r="AO11">
        <v>6.5297788301727454E-4</v>
      </c>
      <c r="AP11">
        <v>-2.6451603557196409E-3</v>
      </c>
      <c r="AQ11">
        <v>1.022255641572984E-2</v>
      </c>
      <c r="AR11">
        <v>-2.0211226975215438E-2</v>
      </c>
      <c r="AS11">
        <v>1.404264187215493E-2</v>
      </c>
      <c r="AT11">
        <v>-4.6205626699818278E-3</v>
      </c>
      <c r="AU11">
        <v>-1.8193135377783511E-3</v>
      </c>
      <c r="AV11">
        <v>2.3210079519664461E-3</v>
      </c>
      <c r="AW11">
        <v>-1</v>
      </c>
      <c r="AZ11" s="400" t="s">
        <v>37</v>
      </c>
      <c r="BA11" s="235">
        <v>-2.2508932946139315E-2</v>
      </c>
      <c r="BB11">
        <v>-2.3324028621387716E-2</v>
      </c>
      <c r="BC11">
        <v>-1.0782952439159166E-2</v>
      </c>
      <c r="BD11">
        <v>-6.0011704971448809E-3</v>
      </c>
      <c r="BE11">
        <v>-1.0477136164579459E-3</v>
      </c>
      <c r="BF11">
        <v>1.2645008200617536E-2</v>
      </c>
      <c r="BG11">
        <v>2.7871830479870852E-3</v>
      </c>
      <c r="BH11">
        <v>-1.9389226805943682E-4</v>
      </c>
      <c r="BI11">
        <v>-4.2874818896804223E-3</v>
      </c>
      <c r="BJ11">
        <v>3.3942041993586525E-3</v>
      </c>
      <c r="BK11">
        <v>2.3136314610157749E-2</v>
      </c>
      <c r="BL11">
        <v>6.4457643435678058E-3</v>
      </c>
      <c r="BM11" s="159">
        <v>1.9079849381650416E-2</v>
      </c>
    </row>
    <row r="12" spans="1:75" ht="15" customHeight="1">
      <c r="A12" s="5"/>
      <c r="B12" s="524"/>
      <c r="C12" s="197" t="s">
        <v>61</v>
      </c>
      <c r="D12">
        <v>-0.44460547755604729</v>
      </c>
      <c r="E12">
        <v>-0.81001022668831868</v>
      </c>
      <c r="F12">
        <v>-0.20872924962039741</v>
      </c>
      <c r="G12">
        <v>0.70375224109473589</v>
      </c>
      <c r="H12">
        <v>-0.34333721540333467</v>
      </c>
      <c r="I12">
        <v>-1.876257949957383E-3</v>
      </c>
      <c r="J12">
        <v>-1.876257949957383E-3</v>
      </c>
      <c r="K12">
        <v>-1.876257949957383E-3</v>
      </c>
      <c r="L12">
        <v>-0.49068005936746129</v>
      </c>
      <c r="M12">
        <v>-7.2016895757719523E-2</v>
      </c>
      <c r="N12">
        <v>-0.34172943293352759</v>
      </c>
      <c r="O12">
        <v>-0.27212654043707668</v>
      </c>
      <c r="P12">
        <v>0.81865600514250225</v>
      </c>
      <c r="Q12">
        <v>-0.18190935511299261</v>
      </c>
      <c r="R12">
        <v>-0.52120583418706812</v>
      </c>
      <c r="S12">
        <v>9.9500976148327869E-2</v>
      </c>
      <c r="T12">
        <v>-0.16612584961992091</v>
      </c>
      <c r="U12">
        <v>-0.55435951764105296</v>
      </c>
      <c r="V12">
        <v>3.4721126204699797E-2</v>
      </c>
      <c r="W12">
        <v>5.1646803743691898E-2</v>
      </c>
      <c r="X12">
        <v>0</v>
      </c>
      <c r="Y12" s="63"/>
      <c r="Z12" s="63"/>
      <c r="AA12" s="521"/>
      <c r="AB12" s="196" t="s">
        <v>61</v>
      </c>
      <c r="AC12">
        <v>-1.262407300011087E-3</v>
      </c>
      <c r="AD12">
        <v>-5.321144968330415E-2</v>
      </c>
      <c r="AE12">
        <v>7.8909266549490806E-3</v>
      </c>
      <c r="AF12">
        <v>0.1814128041936246</v>
      </c>
      <c r="AG12">
        <v>-6.0606301744100047E-2</v>
      </c>
      <c r="AH12">
        <v>1.3736906328221341E-2</v>
      </c>
      <c r="AI12">
        <v>1.3736906328221341E-2</v>
      </c>
      <c r="AJ12">
        <v>1.3736906328221341E-2</v>
      </c>
      <c r="AK12">
        <v>-7.6593447513462502E-3</v>
      </c>
      <c r="AL12">
        <v>2.1760518416125248E-2</v>
      </c>
      <c r="AM12">
        <v>-8.4296129064173157E-3</v>
      </c>
      <c r="AN12">
        <v>8.8603907433786721E-3</v>
      </c>
      <c r="AO12">
        <v>-1.968237780131474E-3</v>
      </c>
      <c r="AP12">
        <v>1.5276433631691009E-2</v>
      </c>
      <c r="AQ12">
        <v>-1.0975483239385681E-2</v>
      </c>
      <c r="AR12">
        <v>-3.6690491919834489E-3</v>
      </c>
      <c r="AS12">
        <v>2.2332536710480709E-2</v>
      </c>
      <c r="AT12">
        <v>-2.06312574607985E-2</v>
      </c>
      <c r="AU12">
        <v>3.8557911021146099E-2</v>
      </c>
      <c r="AV12">
        <v>7.6057013295089551E-3</v>
      </c>
      <c r="AW12">
        <v>-1</v>
      </c>
      <c r="AZ12" s="400" t="s">
        <v>140</v>
      </c>
      <c r="BA12" s="235">
        <v>-2.2508932946139315E-2</v>
      </c>
      <c r="BB12">
        <v>-2.3324028621387716E-2</v>
      </c>
      <c r="BC12">
        <v>-1.0782952439159166E-2</v>
      </c>
      <c r="BD12">
        <v>-6.0011704971448809E-3</v>
      </c>
      <c r="BE12">
        <v>-1.0477136164579459E-3</v>
      </c>
      <c r="BF12">
        <v>1.2645008200617536E-2</v>
      </c>
      <c r="BG12">
        <v>2.7871830479870852E-3</v>
      </c>
      <c r="BH12">
        <v>-1.9389226805943682E-4</v>
      </c>
      <c r="BI12">
        <v>-4.2874818896804223E-3</v>
      </c>
      <c r="BJ12">
        <v>3.3942041993586525E-3</v>
      </c>
      <c r="BK12">
        <v>2.3136314610157749E-2</v>
      </c>
      <c r="BL12">
        <v>6.4457643435678058E-3</v>
      </c>
      <c r="BM12" s="159">
        <v>1.9079849381650416E-2</v>
      </c>
    </row>
    <row r="13" spans="1:75" ht="15" customHeight="1">
      <c r="A13" s="5"/>
      <c r="B13" s="524"/>
      <c r="C13" s="197" t="s">
        <v>63</v>
      </c>
      <c r="D13">
        <v>-0.52631187030785531</v>
      </c>
      <c r="E13">
        <v>-0.49946344223027261</v>
      </c>
      <c r="F13">
        <v>-0.16042024203575569</v>
      </c>
      <c r="G13">
        <v>1.2162723874675949</v>
      </c>
      <c r="H13">
        <v>0.67953046426801356</v>
      </c>
      <c r="I13">
        <v>-0.1830765479729389</v>
      </c>
      <c r="J13">
        <v>-0.1830765479729389</v>
      </c>
      <c r="K13">
        <v>-0.1830765479729389</v>
      </c>
      <c r="L13">
        <v>-9.3651824643720127E-3</v>
      </c>
      <c r="M13">
        <v>-0.5108537692987315</v>
      </c>
      <c r="N13">
        <v>-0.38414896607175431</v>
      </c>
      <c r="O13">
        <v>-0.33982514762705601</v>
      </c>
      <c r="P13">
        <v>-0.29724657147838662</v>
      </c>
      <c r="Q13">
        <v>-0.35369730473363309</v>
      </c>
      <c r="R13">
        <v>-0.36147058484896</v>
      </c>
      <c r="S13">
        <v>-0.53257677028906125</v>
      </c>
      <c r="T13">
        <v>-0.33618743882768631</v>
      </c>
      <c r="U13">
        <v>-0.77768014870122137</v>
      </c>
      <c r="V13">
        <v>-0.57248355992598454</v>
      </c>
      <c r="W13">
        <v>7.5265052587342396E-2</v>
      </c>
      <c r="X13">
        <v>0</v>
      </c>
      <c r="Y13" s="63"/>
      <c r="Z13" s="63"/>
      <c r="AA13" s="521"/>
      <c r="AB13" s="196" t="s">
        <v>63</v>
      </c>
      <c r="AC13">
        <v>1.18505806133993E-3</v>
      </c>
      <c r="AD13">
        <v>-1.6363564053587999E-2</v>
      </c>
      <c r="AE13">
        <v>8.7031946513772343E-3</v>
      </c>
      <c r="AF13">
        <v>0.5082111508562821</v>
      </c>
      <c r="AG13">
        <v>5.9551311927688928E-2</v>
      </c>
      <c r="AH13">
        <v>2.7594964468500259E-2</v>
      </c>
      <c r="AI13">
        <v>2.7594964468500259E-2</v>
      </c>
      <c r="AJ13">
        <v>2.7594964468500259E-2</v>
      </c>
      <c r="AK13">
        <v>1.2682706512995469E-2</v>
      </c>
      <c r="AL13">
        <v>-1.4518369952097029E-2</v>
      </c>
      <c r="AM13">
        <v>-6.2656087420801532E-3</v>
      </c>
      <c r="AN13">
        <v>-6.4144025336876154E-3</v>
      </c>
      <c r="AO13">
        <v>1.647752863027056E-2</v>
      </c>
      <c r="AP13">
        <v>6.8308999400142397E-3</v>
      </c>
      <c r="AQ13">
        <v>-1.477480292445464E-2</v>
      </c>
      <c r="AR13">
        <v>-1.302828624436304E-2</v>
      </c>
      <c r="AS13">
        <v>-6.0294901968485394E-3</v>
      </c>
      <c r="AT13">
        <v>-1.210098274288408E-2</v>
      </c>
      <c r="AU13">
        <v>-3.264922462839714E-3</v>
      </c>
      <c r="AV13">
        <v>2.3067097478558299E-2</v>
      </c>
      <c r="AW13">
        <v>-1</v>
      </c>
      <c r="AZ13" s="400" t="s">
        <v>48</v>
      </c>
      <c r="BA13" s="235">
        <v>-2.2508932946139315E-2</v>
      </c>
      <c r="BB13">
        <v>-2.3324028621387716E-2</v>
      </c>
      <c r="BC13">
        <v>-1.0782952439159166E-2</v>
      </c>
      <c r="BD13">
        <v>-6.0011704971448809E-3</v>
      </c>
      <c r="BE13">
        <v>-1.0477136164579459E-3</v>
      </c>
      <c r="BF13">
        <v>1.2645008200617536E-2</v>
      </c>
      <c r="BG13">
        <v>2.7871830479870852E-3</v>
      </c>
      <c r="BH13">
        <v>-1.9389226805943682E-4</v>
      </c>
      <c r="BI13">
        <v>-4.2874818896804223E-3</v>
      </c>
      <c r="BJ13">
        <v>3.3942041993586525E-3</v>
      </c>
      <c r="BK13">
        <v>2.3136314610157749E-2</v>
      </c>
      <c r="BL13">
        <v>6.4457643435678058E-3</v>
      </c>
      <c r="BM13" s="159">
        <v>1.9079849381650416E-2</v>
      </c>
    </row>
    <row r="14" spans="1:75" ht="15" customHeight="1">
      <c r="A14" s="5"/>
      <c r="B14" s="524"/>
      <c r="C14" s="197" t="s">
        <v>65</v>
      </c>
      <c r="D14">
        <v>-0.2353827400438854</v>
      </c>
      <c r="E14">
        <v>-0.4080519673544134</v>
      </c>
      <c r="F14">
        <v>-0.28808877365122409</v>
      </c>
      <c r="G14">
        <v>-0.3353341308787765</v>
      </c>
      <c r="H14">
        <v>-0.1071048021907972</v>
      </c>
      <c r="I14">
        <v>-0.53355382093533643</v>
      </c>
      <c r="J14">
        <v>-0.53355382093533643</v>
      </c>
      <c r="K14">
        <v>-0.53355382093533643</v>
      </c>
      <c r="L14">
        <v>-0.2212482672229299</v>
      </c>
      <c r="M14">
        <v>-0.61667655047893422</v>
      </c>
      <c r="N14">
        <v>-0.20362164066792449</v>
      </c>
      <c r="O14">
        <v>-0.39111705342355663</v>
      </c>
      <c r="P14">
        <v>5.3535351389435659E-2</v>
      </c>
      <c r="Q14">
        <v>-0.1634586333841869</v>
      </c>
      <c r="R14">
        <v>0.76074168605118353</v>
      </c>
      <c r="S14">
        <v>1.054637745612063</v>
      </c>
      <c r="T14">
        <v>-0.28223288469191771</v>
      </c>
      <c r="U14">
        <v>-0.68380682108136748</v>
      </c>
      <c r="V14">
        <v>-0.32705329430807878</v>
      </c>
      <c r="W14">
        <v>-0.39523989390449199</v>
      </c>
      <c r="X14">
        <v>0</v>
      </c>
      <c r="Y14" s="63"/>
      <c r="Z14" s="63"/>
      <c r="AA14" s="521"/>
      <c r="AB14" s="196" t="s">
        <v>65</v>
      </c>
      <c r="AC14">
        <v>1.5853613093046749E-3</v>
      </c>
      <c r="AD14">
        <v>-3.8092572101831493E-2</v>
      </c>
      <c r="AE14">
        <v>-2.6402472448919601E-3</v>
      </c>
      <c r="AF14">
        <v>2.6145314802824799E-2</v>
      </c>
      <c r="AG14">
        <v>-1.347286720275602E-2</v>
      </c>
      <c r="AH14">
        <v>9.3251145787491725E-3</v>
      </c>
      <c r="AI14">
        <v>9.3251145787491725E-3</v>
      </c>
      <c r="AJ14">
        <v>9.3251145787491725E-3</v>
      </c>
      <c r="AK14">
        <v>6.863340720424463E-3</v>
      </c>
      <c r="AL14">
        <v>1.0072709874940111E-2</v>
      </c>
      <c r="AM14">
        <v>-5.5796205530507636E-3</v>
      </c>
      <c r="AN14">
        <v>3.4179588656031842E-3</v>
      </c>
      <c r="AO14">
        <v>2.531219146295202E-3</v>
      </c>
      <c r="AP14">
        <v>8.2021350892185312E-3</v>
      </c>
      <c r="AQ14">
        <v>-9.2782151072914824E-3</v>
      </c>
      <c r="AR14">
        <v>2.9592866755133881E-2</v>
      </c>
      <c r="AS14">
        <v>3.7148456446762977E-2</v>
      </c>
      <c r="AT14">
        <v>-1.4108311439745211E-2</v>
      </c>
      <c r="AU14">
        <v>-7.3642277499023382E-3</v>
      </c>
      <c r="AV14">
        <v>7.3947035520089263E-3</v>
      </c>
      <c r="AW14">
        <v>-1</v>
      </c>
      <c r="AZ14" s="400" t="s">
        <v>141</v>
      </c>
      <c r="BA14" s="235">
        <v>-2.2508932946139315E-2</v>
      </c>
      <c r="BB14">
        <v>-2.3324028621387716E-2</v>
      </c>
      <c r="BC14">
        <v>-1.0782952439159166E-2</v>
      </c>
      <c r="BD14">
        <v>-6.0011704971448809E-3</v>
      </c>
      <c r="BE14">
        <v>-1.0477136164579459E-3</v>
      </c>
      <c r="BF14">
        <v>1.2645008200617536E-2</v>
      </c>
      <c r="BG14">
        <v>2.7871830479870852E-3</v>
      </c>
      <c r="BH14">
        <v>-1.9389226805943682E-4</v>
      </c>
      <c r="BI14">
        <v>-4.2874818896804223E-3</v>
      </c>
      <c r="BJ14">
        <v>3.3942041993586525E-3</v>
      </c>
      <c r="BK14">
        <v>2.3136314610157749E-2</v>
      </c>
      <c r="BL14">
        <v>6.4457643435678058E-3</v>
      </c>
      <c r="BM14" s="159">
        <v>1.9079849381650416E-2</v>
      </c>
    </row>
    <row r="15" spans="1:75" ht="15" customHeight="1">
      <c r="A15" s="5"/>
      <c r="B15" s="524"/>
      <c r="C15" s="197" t="s">
        <v>67</v>
      </c>
      <c r="D15">
        <v>-0.17089341347377979</v>
      </c>
      <c r="E15">
        <v>-0.34160852929182711</v>
      </c>
      <c r="F15">
        <v>-0.1002320428503657</v>
      </c>
      <c r="G15">
        <v>-2.8280311474765729E-2</v>
      </c>
      <c r="H15">
        <v>0.30678620729471978</v>
      </c>
      <c r="I15">
        <v>-0.48713526852397898</v>
      </c>
      <c r="J15">
        <v>-0.48713526852397898</v>
      </c>
      <c r="K15">
        <v>-0.48713526852397898</v>
      </c>
      <c r="L15">
        <v>4.167973544093373E-3</v>
      </c>
      <c r="M15">
        <v>-0.36294826829779181</v>
      </c>
      <c r="N15">
        <v>-3.2149369311608063E-2</v>
      </c>
      <c r="O15">
        <v>-0.61756181988367975</v>
      </c>
      <c r="P15">
        <v>0.2384499201889283</v>
      </c>
      <c r="Q15">
        <v>-0.15455059066897331</v>
      </c>
      <c r="R15">
        <v>-0.62117548477664863</v>
      </c>
      <c r="S15">
        <v>-0.50862624202643936</v>
      </c>
      <c r="T15">
        <v>-0.1249478728115155</v>
      </c>
      <c r="U15">
        <v>0.16978979762214649</v>
      </c>
      <c r="V15">
        <v>-0.36314739758313602</v>
      </c>
      <c r="W15">
        <v>3.712189699988544E-3</v>
      </c>
      <c r="X15">
        <v>0</v>
      </c>
      <c r="Y15" s="63"/>
      <c r="Z15" s="63"/>
      <c r="AA15" s="521"/>
      <c r="AB15" s="196" t="s">
        <v>67</v>
      </c>
      <c r="AC15">
        <v>6.8694899858274512E-3</v>
      </c>
      <c r="AD15">
        <v>5.3673576652507708E-3</v>
      </c>
      <c r="AE15">
        <v>6.5439929830617008E-3</v>
      </c>
      <c r="AF15">
        <v>2.0234908697242131E-2</v>
      </c>
      <c r="AG15">
        <v>3.979405597479449E-2</v>
      </c>
      <c r="AH15">
        <v>3.2565327132939872E-2</v>
      </c>
      <c r="AI15">
        <v>3.2565327132939872E-2</v>
      </c>
      <c r="AJ15">
        <v>3.2565327132939872E-2</v>
      </c>
      <c r="AK15">
        <v>1.540064226192232E-2</v>
      </c>
      <c r="AL15">
        <v>2.0843076979071991E-3</v>
      </c>
      <c r="AM15">
        <v>-1.445753765205173E-2</v>
      </c>
      <c r="AN15">
        <v>-1.1152831193338609E-2</v>
      </c>
      <c r="AO15">
        <v>5.121348491077613E-3</v>
      </c>
      <c r="AP15">
        <v>-5.5372994513914354E-3</v>
      </c>
      <c r="AQ15">
        <v>-1.0886045062157179E-2</v>
      </c>
      <c r="AR15">
        <v>-1.5706888634309159E-2</v>
      </c>
      <c r="AS15">
        <v>-1.608252718033846E-3</v>
      </c>
      <c r="AT15">
        <v>-4.2973374182099573E-2</v>
      </c>
      <c r="AU15">
        <v>-1.489783106868731E-2</v>
      </c>
      <c r="AV15">
        <v>5.5430389224010142E-3</v>
      </c>
      <c r="AW15">
        <v>-1</v>
      </c>
      <c r="AZ15" s="400" t="s">
        <v>142</v>
      </c>
      <c r="BA15" s="235">
        <v>-2.2508932946139315E-2</v>
      </c>
      <c r="BB15">
        <v>-2.3324028621387716E-2</v>
      </c>
      <c r="BC15">
        <v>-1.0782952439159166E-2</v>
      </c>
      <c r="BD15">
        <v>-6.0011704971448809E-3</v>
      </c>
      <c r="BE15">
        <v>-1.0477136164579459E-3</v>
      </c>
      <c r="BF15">
        <v>1.2645008200617536E-2</v>
      </c>
      <c r="BG15">
        <v>2.7871830479870852E-3</v>
      </c>
      <c r="BH15">
        <v>-1.9389226805943682E-4</v>
      </c>
      <c r="BI15">
        <v>-4.2874818896804223E-3</v>
      </c>
      <c r="BJ15">
        <v>3.3942041993586525E-3</v>
      </c>
      <c r="BK15">
        <v>2.3136314610157749E-2</v>
      </c>
      <c r="BL15">
        <v>6.4457643435678058E-3</v>
      </c>
      <c r="BM15" s="159">
        <v>1.9079849381650416E-2</v>
      </c>
    </row>
    <row r="16" spans="1:75" ht="15" customHeight="1">
      <c r="A16" s="5"/>
      <c r="B16" s="524"/>
      <c r="C16" s="197" t="s">
        <v>69</v>
      </c>
      <c r="D16">
        <v>2.4256437578182188E-2</v>
      </c>
      <c r="E16">
        <v>-0.53176428963990996</v>
      </c>
      <c r="F16">
        <v>5.5122405188191559E-2</v>
      </c>
      <c r="G16">
        <v>0.2425861186038212</v>
      </c>
      <c r="H16">
        <v>-0.1509566626983877</v>
      </c>
      <c r="I16">
        <v>-0.13513195561920441</v>
      </c>
      <c r="J16">
        <v>-0.13513195561920441</v>
      </c>
      <c r="K16">
        <v>-0.13513195561920441</v>
      </c>
      <c r="L16">
        <v>0.46354045582103193</v>
      </c>
      <c r="M16">
        <v>-0.2134942204581145</v>
      </c>
      <c r="N16">
        <v>-0.36121090372069758</v>
      </c>
      <c r="O16">
        <v>-0.62755739858187432</v>
      </c>
      <c r="P16">
        <v>-0.56147368149503851</v>
      </c>
      <c r="Q16">
        <v>-0.29804007667387489</v>
      </c>
      <c r="R16">
        <v>-0.39976018438810162</v>
      </c>
      <c r="S16">
        <v>0.1191007408789659</v>
      </c>
      <c r="T16">
        <v>-0.202954976550386</v>
      </c>
      <c r="U16">
        <v>-0.52737655922981297</v>
      </c>
      <c r="V16">
        <v>1.234923957814882E-2</v>
      </c>
      <c r="W16">
        <v>5.3153670177074952E-2</v>
      </c>
      <c r="X16">
        <v>0</v>
      </c>
      <c r="Y16" s="63"/>
      <c r="Z16" s="63"/>
      <c r="AA16" s="521"/>
      <c r="AB16" s="196" t="s">
        <v>69</v>
      </c>
      <c r="AC16">
        <v>9.1497710007146689E-3</v>
      </c>
      <c r="AD16">
        <v>-1.6293444200682228E-2</v>
      </c>
      <c r="AE16">
        <v>7.668614997750017E-3</v>
      </c>
      <c r="AF16">
        <v>0.15564575190519239</v>
      </c>
      <c r="AG16">
        <v>-5.0495876857739708E-2</v>
      </c>
      <c r="AH16">
        <v>6.0451992882080363E-2</v>
      </c>
      <c r="AI16">
        <v>6.0451992882080363E-2</v>
      </c>
      <c r="AJ16">
        <v>6.0451992882080363E-2</v>
      </c>
      <c r="AK16">
        <v>8.2658141593408313E-2</v>
      </c>
      <c r="AL16">
        <v>3.0561811831080719E-2</v>
      </c>
      <c r="AM16">
        <v>-1.3957653012900291E-2</v>
      </c>
      <c r="AN16">
        <v>-1.2660941784630951E-2</v>
      </c>
      <c r="AO16">
        <v>-1.2560444972458361E-2</v>
      </c>
      <c r="AP16">
        <v>3.3622115537009271E-3</v>
      </c>
      <c r="AQ16">
        <v>-1.247772329725527E-2</v>
      </c>
      <c r="AR16">
        <v>-1.3485327381293551E-2</v>
      </c>
      <c r="AS16">
        <v>9.5727076245816934E-3</v>
      </c>
      <c r="AT16">
        <v>-2.6927878894396622E-2</v>
      </c>
      <c r="AU16">
        <v>5.0955069977102113E-2</v>
      </c>
      <c r="AV16">
        <v>-9.7375192912523487E-3</v>
      </c>
      <c r="AW16">
        <v>-1</v>
      </c>
      <c r="AZ16" s="400" t="s">
        <v>143</v>
      </c>
      <c r="BA16" s="235">
        <v>-2.2508932946139315E-2</v>
      </c>
      <c r="BB16">
        <v>-2.3324028621387716E-2</v>
      </c>
      <c r="BC16">
        <v>-1.0782952439159166E-2</v>
      </c>
      <c r="BD16">
        <v>-6.0011704971448809E-3</v>
      </c>
      <c r="BE16">
        <v>-1.0477136164579459E-3</v>
      </c>
      <c r="BF16">
        <v>1.2645008200617536E-2</v>
      </c>
      <c r="BG16">
        <v>2.7871830479870852E-3</v>
      </c>
      <c r="BH16">
        <v>-1.9389226805943682E-4</v>
      </c>
      <c r="BI16">
        <v>-4.2874818896804223E-3</v>
      </c>
      <c r="BJ16">
        <v>3.3942041993586525E-3</v>
      </c>
      <c r="BK16">
        <v>2.3136314610157749E-2</v>
      </c>
      <c r="BL16">
        <v>6.4457643435678058E-3</v>
      </c>
      <c r="BM16" s="159">
        <v>1.9079849381650416E-2</v>
      </c>
    </row>
    <row r="17" spans="1:65" ht="15" customHeight="1">
      <c r="A17" s="5"/>
      <c r="B17" s="524"/>
      <c r="C17" s="197" t="s">
        <v>145</v>
      </c>
      <c r="D17">
        <v>-0.39336471128859862</v>
      </c>
      <c r="E17">
        <v>-0.3677268789299476</v>
      </c>
      <c r="F17">
        <v>-7.6849607443164936E-2</v>
      </c>
      <c r="G17">
        <v>0.33344524858227897</v>
      </c>
      <c r="H17">
        <v>5.6548225258756801E-3</v>
      </c>
      <c r="I17">
        <v>0.70370076997519826</v>
      </c>
      <c r="J17">
        <v>0.70370076997519826</v>
      </c>
      <c r="K17">
        <v>0.70370076997519826</v>
      </c>
      <c r="L17">
        <v>0.40072568739928283</v>
      </c>
      <c r="M17">
        <v>-0.37085291459445241</v>
      </c>
      <c r="N17">
        <v>-0.3427758680327524</v>
      </c>
      <c r="O17">
        <v>-0.15393564890287911</v>
      </c>
      <c r="P17">
        <v>0.64764188580270488</v>
      </c>
      <c r="Q17">
        <v>3.7258023762835928E-2</v>
      </c>
      <c r="R17">
        <v>-0.76254590341951389</v>
      </c>
      <c r="S17">
        <v>0.88005430112096716</v>
      </c>
      <c r="T17">
        <v>-0.27456345810313959</v>
      </c>
      <c r="U17">
        <v>-0.38095801764214271</v>
      </c>
      <c r="V17">
        <v>0.1141792500973924</v>
      </c>
      <c r="W17">
        <v>-3.469369225570174E-3</v>
      </c>
      <c r="X17">
        <v>0</v>
      </c>
      <c r="Y17" s="63"/>
      <c r="Z17" s="63"/>
      <c r="AA17" s="521"/>
      <c r="AB17" s="196" t="s">
        <v>145</v>
      </c>
      <c r="AC17">
        <v>3.5055366949559631E-4</v>
      </c>
      <c r="AD17">
        <v>-5.5691809253879503E-3</v>
      </c>
      <c r="AE17">
        <v>1.21130023037726E-2</v>
      </c>
      <c r="AF17">
        <v>0.1196885159578434</v>
      </c>
      <c r="AG17">
        <v>-1.3678055993573799E-2</v>
      </c>
      <c r="AH17">
        <v>6.7860389886675504E-2</v>
      </c>
      <c r="AI17">
        <v>6.7860389886675504E-2</v>
      </c>
      <c r="AJ17">
        <v>6.7860389886675504E-2</v>
      </c>
      <c r="AK17">
        <v>6.3512142868414681E-2</v>
      </c>
      <c r="AL17">
        <v>2.4589863528563068E-2</v>
      </c>
      <c r="AM17">
        <v>-2.3378722930355129E-3</v>
      </c>
      <c r="AN17">
        <v>2.0005640968698631E-3</v>
      </c>
      <c r="AO17">
        <v>-2.443412117981051E-2</v>
      </c>
      <c r="AP17">
        <v>3.3759873920763697E-2</v>
      </c>
      <c r="AQ17">
        <v>2.0695755420859718E-2</v>
      </c>
      <c r="AR17">
        <v>-2.0458816316043321E-2</v>
      </c>
      <c r="AS17">
        <v>4.8009405254515053E-2</v>
      </c>
      <c r="AT17">
        <v>-5.8441550982855188E-3</v>
      </c>
      <c r="AU17">
        <v>5.4426494766642942E-2</v>
      </c>
      <c r="AV17">
        <v>5.844518785387518E-3</v>
      </c>
      <c r="AW17">
        <v>-1</v>
      </c>
      <c r="AZ17" s="400" t="s">
        <v>144</v>
      </c>
      <c r="BA17" s="235">
        <v>-2.2508932946139315E-2</v>
      </c>
      <c r="BB17">
        <v>-2.3324028621387716E-2</v>
      </c>
      <c r="BC17">
        <v>-1.0782952439159166E-2</v>
      </c>
      <c r="BD17">
        <v>-6.0011704971448809E-3</v>
      </c>
      <c r="BE17">
        <v>-1.0477136164579459E-3</v>
      </c>
      <c r="BF17">
        <v>1.2645008200617536E-2</v>
      </c>
      <c r="BG17">
        <v>2.7871830479870852E-3</v>
      </c>
      <c r="BH17">
        <v>-1.9389226805943682E-4</v>
      </c>
      <c r="BI17">
        <v>-4.2874818896804223E-3</v>
      </c>
      <c r="BJ17">
        <v>3.3942041993586525E-3</v>
      </c>
      <c r="BK17">
        <v>2.3136314610157749E-2</v>
      </c>
      <c r="BL17">
        <v>6.4457643435678058E-3</v>
      </c>
      <c r="BM17" s="159">
        <v>1.9079849381650416E-2</v>
      </c>
    </row>
    <row r="18" spans="1:65" ht="15" customHeight="1">
      <c r="A18" s="5"/>
      <c r="B18" s="524"/>
      <c r="C18" s="197" t="s">
        <v>73</v>
      </c>
      <c r="D18">
        <v>0.33283643559996401</v>
      </c>
      <c r="E18">
        <v>-0.42318642247351768</v>
      </c>
      <c r="F18">
        <v>2.8915400801983182E-3</v>
      </c>
      <c r="G18">
        <v>-0.1537176208120371</v>
      </c>
      <c r="H18">
        <v>-8.0661033991159314E-2</v>
      </c>
      <c r="I18">
        <v>-3.609867382616605E-2</v>
      </c>
      <c r="J18">
        <v>-3.609867382616605E-2</v>
      </c>
      <c r="K18">
        <v>-3.609867382616605E-2</v>
      </c>
      <c r="L18">
        <v>-4.0538730849790539E-2</v>
      </c>
      <c r="M18">
        <v>-0.46087369661429661</v>
      </c>
      <c r="N18">
        <v>0.1837216007736098</v>
      </c>
      <c r="O18">
        <v>-0.31698651318440552</v>
      </c>
      <c r="P18">
        <v>-0.2397514999314545</v>
      </c>
      <c r="Q18">
        <v>-0.25175310634860643</v>
      </c>
      <c r="R18">
        <v>-0.43345337374443521</v>
      </c>
      <c r="S18">
        <v>7.0561063814830405E-2</v>
      </c>
      <c r="T18">
        <v>-1.3451230878398829E-2</v>
      </c>
      <c r="U18">
        <v>-0.4120459244421788</v>
      </c>
      <c r="V18">
        <v>0.30114853224315841</v>
      </c>
      <c r="W18">
        <v>0.26329341390219468</v>
      </c>
      <c r="X18">
        <v>0</v>
      </c>
      <c r="Y18" s="63"/>
      <c r="Z18" s="63"/>
      <c r="AA18" s="521"/>
      <c r="AB18" s="196" t="s">
        <v>73</v>
      </c>
      <c r="AC18">
        <v>2.3388191542102709E-2</v>
      </c>
      <c r="AD18">
        <v>1.395850721651388E-2</v>
      </c>
      <c r="AE18">
        <v>1.225366372513707E-2</v>
      </c>
      <c r="AF18">
        <v>4.4430423553938177E-2</v>
      </c>
      <c r="AG18">
        <v>1.7757708420317039E-2</v>
      </c>
      <c r="AH18">
        <v>3.9949627599518901E-2</v>
      </c>
      <c r="AI18">
        <v>3.9949627599518901E-2</v>
      </c>
      <c r="AJ18">
        <v>3.9949627599518901E-2</v>
      </c>
      <c r="AK18">
        <v>1.818385005263214E-2</v>
      </c>
      <c r="AL18">
        <v>1.4724590718884869E-2</v>
      </c>
      <c r="AM18">
        <v>2.8943968014934381E-2</v>
      </c>
      <c r="AN18">
        <v>3.8532946124979962E-2</v>
      </c>
      <c r="AO18">
        <v>2.259163158702834E-2</v>
      </c>
      <c r="AP18">
        <v>8.3628177360542556E-3</v>
      </c>
      <c r="AQ18">
        <v>-4.5757975017016034E-3</v>
      </c>
      <c r="AR18">
        <v>4.9600471197251564E-3</v>
      </c>
      <c r="AS18">
        <v>2.4136014472899499E-3</v>
      </c>
      <c r="AT18">
        <v>-3.790068772753917E-3</v>
      </c>
      <c r="AU18">
        <v>1.871580881647476E-2</v>
      </c>
      <c r="AV18">
        <v>2.1056156623457691E-2</v>
      </c>
      <c r="AW18">
        <v>-1</v>
      </c>
      <c r="AZ18" s="400" t="s">
        <v>61</v>
      </c>
      <c r="BA18" s="235">
        <v>-2.2508932946139315E-2</v>
      </c>
      <c r="BB18">
        <v>-2.3324028621387716E-2</v>
      </c>
      <c r="BC18">
        <v>-1.0782952439159166E-2</v>
      </c>
      <c r="BD18">
        <v>-6.0011704971448809E-3</v>
      </c>
      <c r="BE18">
        <v>-1.0477136164579459E-3</v>
      </c>
      <c r="BF18">
        <v>1.2645008200617536E-2</v>
      </c>
      <c r="BG18">
        <v>2.7871830479870852E-3</v>
      </c>
      <c r="BH18">
        <v>-1.9389226805943682E-4</v>
      </c>
      <c r="BI18">
        <v>-4.2874818896804223E-3</v>
      </c>
      <c r="BJ18">
        <v>3.3942041993586525E-3</v>
      </c>
      <c r="BK18">
        <v>2.3136314610157749E-2</v>
      </c>
      <c r="BL18">
        <v>6.4457643435678058E-3</v>
      </c>
      <c r="BM18" s="159">
        <v>1.9079849381650416E-2</v>
      </c>
    </row>
    <row r="19" spans="1:65" ht="15" customHeight="1">
      <c r="A19" s="5"/>
      <c r="B19" s="524"/>
      <c r="C19" s="197" t="s">
        <v>75</v>
      </c>
      <c r="D19">
        <v>-0.16055787952018341</v>
      </c>
      <c r="E19">
        <v>-8.1630062566815487E-2</v>
      </c>
      <c r="F19">
        <v>0.1132226029120105</v>
      </c>
      <c r="G19">
        <v>0.17882464014365351</v>
      </c>
      <c r="H19">
        <v>-0.46252741358027821</v>
      </c>
      <c r="I19">
        <v>-0.5039464463031369</v>
      </c>
      <c r="J19">
        <v>-0.5039464463031369</v>
      </c>
      <c r="K19">
        <v>-0.5039464463031369</v>
      </c>
      <c r="L19">
        <v>8.8104129785762098E-3</v>
      </c>
      <c r="M19">
        <v>-9.0539123478387773E-2</v>
      </c>
      <c r="N19">
        <v>-0.1246972829412322</v>
      </c>
      <c r="O19">
        <v>-7.1727673888132171E-2</v>
      </c>
      <c r="P19">
        <v>0.3870556586163425</v>
      </c>
      <c r="Q19">
        <v>-3.2539881345997723E-2</v>
      </c>
      <c r="R19">
        <v>6.7558653748410968E-2</v>
      </c>
      <c r="S19">
        <v>0.20651391625005269</v>
      </c>
      <c r="T19">
        <v>-2.07519246189104E-2</v>
      </c>
      <c r="U19">
        <v>-0.51328139153274588</v>
      </c>
      <c r="V19">
        <v>1.2275062419487391E-2</v>
      </c>
      <c r="W19">
        <v>0.88740534820946548</v>
      </c>
      <c r="X19">
        <v>0</v>
      </c>
      <c r="Y19" s="63"/>
      <c r="Z19" s="63"/>
      <c r="AA19" s="521"/>
      <c r="AB19" s="196" t="s">
        <v>75</v>
      </c>
      <c r="AC19">
        <v>2.9235276151132829E-2</v>
      </c>
      <c r="AD19">
        <v>5.5909784899464098E-2</v>
      </c>
      <c r="AE19">
        <v>1.529318662023095E-2</v>
      </c>
      <c r="AF19">
        <v>2.5002616764360421E-2</v>
      </c>
      <c r="AG19">
        <v>9.5963616230715573E-3</v>
      </c>
      <c r="AH19">
        <v>8.2915865868690968E-3</v>
      </c>
      <c r="AI19">
        <v>8.2915865868690968E-3</v>
      </c>
      <c r="AJ19">
        <v>8.2915865868690968E-3</v>
      </c>
      <c r="AK19">
        <v>4.7560268153653143E-3</v>
      </c>
      <c r="AL19">
        <v>3.3428618034924223E-2</v>
      </c>
      <c r="AM19">
        <v>8.12825660939402E-3</v>
      </c>
      <c r="AN19">
        <v>-1.9840611993393001E-2</v>
      </c>
      <c r="AO19">
        <v>6.0546046347809031E-3</v>
      </c>
      <c r="AP19">
        <v>1.7766115833292379E-2</v>
      </c>
      <c r="AQ19">
        <v>3.2257232762943041E-3</v>
      </c>
      <c r="AR19">
        <v>-1.278845138459207E-3</v>
      </c>
      <c r="AS19">
        <v>4.3190311030307967E-2</v>
      </c>
      <c r="AT19">
        <v>-8.0703274949613431E-3</v>
      </c>
      <c r="AU19">
        <v>2.7967697408456761E-2</v>
      </c>
      <c r="AV19">
        <v>3.8354671811469572E-2</v>
      </c>
      <c r="AW19">
        <v>-1</v>
      </c>
      <c r="AZ19" s="400" t="s">
        <v>63</v>
      </c>
      <c r="BA19" s="235">
        <v>-2.2508932946139315E-2</v>
      </c>
      <c r="BB19">
        <v>-2.3324028621387716E-2</v>
      </c>
      <c r="BC19">
        <v>-1.0782952439159166E-2</v>
      </c>
      <c r="BD19">
        <v>-6.0011704971448809E-3</v>
      </c>
      <c r="BE19">
        <v>-1.0477136164579459E-3</v>
      </c>
      <c r="BF19">
        <v>1.2645008200617536E-2</v>
      </c>
      <c r="BG19">
        <v>2.7871830479870852E-3</v>
      </c>
      <c r="BH19">
        <v>-1.9389226805943682E-4</v>
      </c>
      <c r="BI19">
        <v>-4.2874818896804223E-3</v>
      </c>
      <c r="BJ19">
        <v>3.3942041993586525E-3</v>
      </c>
      <c r="BK19">
        <v>2.3136314610157749E-2</v>
      </c>
      <c r="BL19">
        <v>6.4457643435678058E-3</v>
      </c>
      <c r="BM19" s="159">
        <v>1.9079849381650416E-2</v>
      </c>
    </row>
    <row r="20" spans="1:65" ht="15" customHeight="1">
      <c r="A20" s="5"/>
      <c r="B20" s="524"/>
      <c r="C20" s="197" t="s">
        <v>146</v>
      </c>
      <c r="D20">
        <v>-0.418023004619689</v>
      </c>
      <c r="E20">
        <v>-0.69243446226084349</v>
      </c>
      <c r="F20">
        <v>-0.15691449273667071</v>
      </c>
      <c r="G20">
        <v>0.51357729564229015</v>
      </c>
      <c r="H20">
        <v>0.47654707996073142</v>
      </c>
      <c r="I20">
        <v>-0.28466301670895211</v>
      </c>
      <c r="J20">
        <v>-0.28466301670895211</v>
      </c>
      <c r="K20">
        <v>-0.28466301670895211</v>
      </c>
      <c r="L20">
        <v>-5.4210672268346971E-2</v>
      </c>
      <c r="M20">
        <v>-0.51023217654285191</v>
      </c>
      <c r="N20">
        <v>-0.60893286348797926</v>
      </c>
      <c r="O20">
        <v>-0.52911040354091909</v>
      </c>
      <c r="P20">
        <v>-0.57314743268780521</v>
      </c>
      <c r="Q20">
        <v>-0.1371260425795989</v>
      </c>
      <c r="R20">
        <v>0.13581224911140291</v>
      </c>
      <c r="S20">
        <v>-0.85160108978321603</v>
      </c>
      <c r="T20">
        <v>-0.2224006650682292</v>
      </c>
      <c r="U20">
        <v>-0.35141234639945113</v>
      </c>
      <c r="V20">
        <v>-0.78120240569112509</v>
      </c>
      <c r="W20">
        <v>-3.0056844302561281E-2</v>
      </c>
      <c r="X20">
        <v>0</v>
      </c>
      <c r="Y20" s="63"/>
      <c r="Z20" s="63"/>
      <c r="AA20" s="521"/>
      <c r="AB20" s="196" t="s">
        <v>146</v>
      </c>
      <c r="AC20">
        <v>8.2818077000175079E-3</v>
      </c>
      <c r="AD20">
        <v>-3.2408179208366208E-2</v>
      </c>
      <c r="AE20">
        <v>6.3825361642495934E-4</v>
      </c>
      <c r="AF20">
        <v>0.14255616286296419</v>
      </c>
      <c r="AG20">
        <v>4.4051142587319861E-2</v>
      </c>
      <c r="AH20">
        <v>3.1442039020730138E-2</v>
      </c>
      <c r="AI20">
        <v>3.1442039020730138E-2</v>
      </c>
      <c r="AJ20">
        <v>3.1442039020730138E-2</v>
      </c>
      <c r="AK20">
        <v>2.032150241521594E-2</v>
      </c>
      <c r="AL20">
        <v>7.4125789958840701E-3</v>
      </c>
      <c r="AM20">
        <v>-1.2372952842069721E-2</v>
      </c>
      <c r="AN20">
        <v>-3.004489691778669E-3</v>
      </c>
      <c r="AO20">
        <v>3.894652705526116E-3</v>
      </c>
      <c r="AP20">
        <v>-9.3418187833464606E-3</v>
      </c>
      <c r="AQ20">
        <v>-2.5500515549604749E-2</v>
      </c>
      <c r="AR20">
        <v>-2.2185262655740109E-2</v>
      </c>
      <c r="AS20">
        <v>-2.1365613179168502E-2</v>
      </c>
      <c r="AT20">
        <v>-3.4908535676766911E-2</v>
      </c>
      <c r="AU20">
        <v>-4.3422172942257217E-3</v>
      </c>
      <c r="AV20">
        <v>4.6898334384761868E-3</v>
      </c>
      <c r="AW20">
        <v>-1</v>
      </c>
      <c r="AZ20" s="400" t="s">
        <v>65</v>
      </c>
      <c r="BA20" s="235">
        <v>-2.2508932946139315E-2</v>
      </c>
      <c r="BB20">
        <v>-2.3324028621387716E-2</v>
      </c>
      <c r="BC20">
        <v>-1.0782952439159166E-2</v>
      </c>
      <c r="BD20">
        <v>-6.0011704971448809E-3</v>
      </c>
      <c r="BE20">
        <v>-1.0477136164579459E-3</v>
      </c>
      <c r="BF20">
        <v>1.2645008200617536E-2</v>
      </c>
      <c r="BG20">
        <v>2.7871830479870852E-3</v>
      </c>
      <c r="BH20">
        <v>-1.9389226805943682E-4</v>
      </c>
      <c r="BI20">
        <v>-4.2874818896804223E-3</v>
      </c>
      <c r="BJ20">
        <v>3.3942041993586525E-3</v>
      </c>
      <c r="BK20">
        <v>2.3136314610157749E-2</v>
      </c>
      <c r="BL20">
        <v>6.4457643435678058E-3</v>
      </c>
      <c r="BM20" s="159">
        <v>1.9079849381650416E-2</v>
      </c>
    </row>
    <row r="21" spans="1:65" ht="15.75" customHeight="1">
      <c r="A21" s="5"/>
      <c r="B21" s="524"/>
      <c r="C21" s="197" t="s">
        <v>83</v>
      </c>
      <c r="D21">
        <v>-0.25777669273083959</v>
      </c>
      <c r="E21">
        <v>-0.80627064938181237</v>
      </c>
      <c r="F21">
        <v>-0.4945138691449763</v>
      </c>
      <c r="G21">
        <v>1.285433709018055</v>
      </c>
      <c r="H21">
        <v>-0.28332407526722542</v>
      </c>
      <c r="I21">
        <v>0.36328329981875412</v>
      </c>
      <c r="J21">
        <v>0.36328329981875412</v>
      </c>
      <c r="K21">
        <v>0.36328329981875412</v>
      </c>
      <c r="L21">
        <v>-0.79505053535665104</v>
      </c>
      <c r="M21">
        <v>0.44440051098445932</v>
      </c>
      <c r="N21">
        <v>4.119820768033633E-2</v>
      </c>
      <c r="O21">
        <v>-0.74050940275811683</v>
      </c>
      <c r="P21">
        <v>-0.85068472938347084</v>
      </c>
      <c r="Q21">
        <v>-8.3938578966236688E-2</v>
      </c>
      <c r="R21">
        <v>0.28948010105596239</v>
      </c>
      <c r="S21">
        <v>1.6507268185464581</v>
      </c>
      <c r="T21">
        <v>-0.25570243850481339</v>
      </c>
      <c r="U21">
        <v>-5.7785029010490874E-3</v>
      </c>
      <c r="V21">
        <v>0.15315734880849341</v>
      </c>
      <c r="W21">
        <v>-0.35838173412241592</v>
      </c>
      <c r="X21">
        <v>0</v>
      </c>
      <c r="Y21" s="63"/>
      <c r="Z21" s="63"/>
      <c r="AA21" s="521"/>
      <c r="AB21" s="196" t="s">
        <v>83</v>
      </c>
      <c r="AC21">
        <v>-1.9041111443500621E-2</v>
      </c>
      <c r="AD21">
        <v>-2.5392778643969219E-2</v>
      </c>
      <c r="AE21">
        <v>-1.9696215991078639E-2</v>
      </c>
      <c r="AF21">
        <v>0.48446792922368748</v>
      </c>
      <c r="AG21">
        <v>-5.5255351633240503E-2</v>
      </c>
      <c r="AH21">
        <v>4.5238779357961618E-2</v>
      </c>
      <c r="AI21">
        <v>4.5238779357961618E-2</v>
      </c>
      <c r="AJ21">
        <v>4.5238779357961618E-2</v>
      </c>
      <c r="AK21">
        <v>-4.637809725404265E-3</v>
      </c>
      <c r="AL21">
        <v>-2.8279434348135791E-3</v>
      </c>
      <c r="AM21">
        <v>2.7239375391001131E-3</v>
      </c>
      <c r="AN21">
        <v>-3.7855544526946332E-2</v>
      </c>
      <c r="AO21">
        <v>-9.0755510374365238E-3</v>
      </c>
      <c r="AP21">
        <v>-9.5838487424091505E-3</v>
      </c>
      <c r="AQ21">
        <v>-2.0203680217113329E-2</v>
      </c>
      <c r="AR21">
        <v>-5.2903628558436402E-2</v>
      </c>
      <c r="AS21">
        <v>3.7642208936881839E-2</v>
      </c>
      <c r="AT21">
        <v>-4.4851782859441407E-2</v>
      </c>
      <c r="AU21">
        <v>3.6884146525342817E-2</v>
      </c>
      <c r="AV21">
        <v>-1.229261110957151E-2</v>
      </c>
      <c r="AW21">
        <v>-1</v>
      </c>
      <c r="AZ21" s="400" t="s">
        <v>67</v>
      </c>
      <c r="BA21" s="235">
        <v>-2.2508932946139315E-2</v>
      </c>
      <c r="BB21">
        <v>-2.3324028621387716E-2</v>
      </c>
      <c r="BC21">
        <v>-1.0782952439159166E-2</v>
      </c>
      <c r="BD21">
        <v>-6.0011704971448809E-3</v>
      </c>
      <c r="BE21">
        <v>-1.0477136164579459E-3</v>
      </c>
      <c r="BF21">
        <v>1.2645008200617536E-2</v>
      </c>
      <c r="BG21">
        <v>2.7871830479870852E-3</v>
      </c>
      <c r="BH21">
        <v>-1.9389226805943682E-4</v>
      </c>
      <c r="BI21">
        <v>-4.2874818896804223E-3</v>
      </c>
      <c r="BJ21">
        <v>3.3942041993586525E-3</v>
      </c>
      <c r="BK21">
        <v>2.3136314610157749E-2</v>
      </c>
      <c r="BL21">
        <v>6.4457643435678058E-3</v>
      </c>
      <c r="BM21" s="159">
        <v>1.9079849381650416E-2</v>
      </c>
    </row>
    <row r="22" spans="1:65" ht="15.75" customHeight="1">
      <c r="A22" s="5"/>
      <c r="B22" s="524"/>
      <c r="C22" s="197" t="s">
        <v>85</v>
      </c>
      <c r="D22">
        <v>0.38929590510463941</v>
      </c>
      <c r="E22">
        <v>-0.81151263778659732</v>
      </c>
      <c r="F22">
        <v>9.8773831270049461E-2</v>
      </c>
      <c r="G22">
        <v>-0.19235948963680641</v>
      </c>
      <c r="H22">
        <v>-0.103299813329413</v>
      </c>
      <c r="I22">
        <v>-0.14689288819726171</v>
      </c>
      <c r="J22">
        <v>-0.14689288819726171</v>
      </c>
      <c r="K22">
        <v>-0.14689288819726171</v>
      </c>
      <c r="L22">
        <v>-0.29430670814961901</v>
      </c>
      <c r="M22">
        <v>-0.58902144586988747</v>
      </c>
      <c r="N22">
        <v>-0.48521198828548529</v>
      </c>
      <c r="O22">
        <v>-0.22598504759063451</v>
      </c>
      <c r="P22">
        <v>0.62452045653776445</v>
      </c>
      <c r="Q22">
        <v>-0.37968386674508342</v>
      </c>
      <c r="R22">
        <v>-0.24680097522421851</v>
      </c>
      <c r="S22">
        <v>0.58129168779543261</v>
      </c>
      <c r="T22">
        <v>0.29904291308256908</v>
      </c>
      <c r="U22">
        <v>-0.77991527153222739</v>
      </c>
      <c r="V22">
        <v>-0.40008970993835152</v>
      </c>
      <c r="W22">
        <v>0.73874210492624059</v>
      </c>
      <c r="X22">
        <v>0</v>
      </c>
      <c r="Y22" s="63"/>
      <c r="Z22" s="63"/>
      <c r="AA22" s="521"/>
      <c r="AB22" s="196" t="s">
        <v>85</v>
      </c>
      <c r="AC22">
        <v>0.11427016907980971</v>
      </c>
      <c r="AD22">
        <v>-7.80447106363822E-2</v>
      </c>
      <c r="AE22">
        <v>-3.2843901884739189E-4</v>
      </c>
      <c r="AF22">
        <v>-4.6051988624295041E-3</v>
      </c>
      <c r="AG22">
        <v>8.4712126343961577E-3</v>
      </c>
      <c r="AH22">
        <v>4.3882274008713432E-2</v>
      </c>
      <c r="AI22">
        <v>4.3882274008713432E-2</v>
      </c>
      <c r="AJ22">
        <v>4.3882274008713432E-2</v>
      </c>
      <c r="AK22">
        <v>1.188618472393334E-2</v>
      </c>
      <c r="AL22">
        <v>-8.8500393534341124E-3</v>
      </c>
      <c r="AM22">
        <v>-4.3940205665140959E-2</v>
      </c>
      <c r="AN22">
        <v>4.7018751994452549E-3</v>
      </c>
      <c r="AO22">
        <v>4.0415952297771819E-2</v>
      </c>
      <c r="AP22">
        <v>4.0504351385334059E-3</v>
      </c>
      <c r="AQ22">
        <v>-2.3299458137184259E-2</v>
      </c>
      <c r="AR22">
        <v>-2.2474538641578862E-2</v>
      </c>
      <c r="AS22">
        <v>2.0822262235868479E-2</v>
      </c>
      <c r="AT22">
        <v>-3.3119817691328539E-2</v>
      </c>
      <c r="AU22">
        <v>-4.3860782485414147E-2</v>
      </c>
      <c r="AV22">
        <v>2.0591711752393351E-2</v>
      </c>
      <c r="AW22">
        <v>-1</v>
      </c>
      <c r="AZ22" s="400" t="s">
        <v>69</v>
      </c>
      <c r="BA22" s="235">
        <v>-2.2508932946139315E-2</v>
      </c>
      <c r="BB22">
        <v>-2.3324028621387716E-2</v>
      </c>
      <c r="BC22">
        <v>-1.0782952439159166E-2</v>
      </c>
      <c r="BD22">
        <v>-6.0011704971448809E-3</v>
      </c>
      <c r="BE22">
        <v>-1.0477136164579459E-3</v>
      </c>
      <c r="BF22">
        <v>1.2645008200617536E-2</v>
      </c>
      <c r="BG22">
        <v>2.7871830479870852E-3</v>
      </c>
      <c r="BH22">
        <v>-1.9389226805943682E-4</v>
      </c>
      <c r="BI22">
        <v>-4.2874818896804223E-3</v>
      </c>
      <c r="BJ22">
        <v>3.3942041993586525E-3</v>
      </c>
      <c r="BK22">
        <v>2.3136314610157749E-2</v>
      </c>
      <c r="BL22">
        <v>6.4457643435678058E-3</v>
      </c>
      <c r="BM22" s="159">
        <v>1.9079849381650416E-2</v>
      </c>
    </row>
    <row r="23" spans="1:65" ht="15.75" customHeight="1">
      <c r="A23" s="5"/>
      <c r="B23" s="524"/>
      <c r="C23" s="197" t="s">
        <v>88</v>
      </c>
      <c r="D23">
        <v>0.48917986153204113</v>
      </c>
      <c r="E23">
        <v>-0.54928600112721282</v>
      </c>
      <c r="F23">
        <v>0.25189200065061618</v>
      </c>
      <c r="G23">
        <v>-0.21761849717111459</v>
      </c>
      <c r="H23">
        <v>0.12569093638759821</v>
      </c>
      <c r="I23">
        <v>-0.31484498970457231</v>
      </c>
      <c r="J23">
        <v>-0.31484498970457231</v>
      </c>
      <c r="K23">
        <v>-0.31484498970457231</v>
      </c>
      <c r="L23">
        <v>0.36400296668246418</v>
      </c>
      <c r="M23">
        <v>-0.20250443998086401</v>
      </c>
      <c r="N23">
        <v>-0.17807529015895801</v>
      </c>
      <c r="O23">
        <v>-0.25514320243280492</v>
      </c>
      <c r="P23">
        <v>0.57103685688911954</v>
      </c>
      <c r="Q23">
        <v>-0.1420895277169448</v>
      </c>
      <c r="R23">
        <v>0.31686908084624621</v>
      </c>
      <c r="S23">
        <v>1.083777467681617</v>
      </c>
      <c r="T23">
        <v>-0.40049544867680759</v>
      </c>
      <c r="U23">
        <v>-0.43418524417273852</v>
      </c>
      <c r="V23">
        <v>0.14441712528999601</v>
      </c>
      <c r="W23">
        <v>-4.9500731703034928E-2</v>
      </c>
      <c r="X23">
        <v>0</v>
      </c>
      <c r="Y23" s="63"/>
      <c r="Z23" s="63"/>
      <c r="AA23" s="521"/>
      <c r="AB23" s="196" t="s">
        <v>88</v>
      </c>
      <c r="AC23">
        <v>2.9988646203341868E-2</v>
      </c>
      <c r="AD23">
        <v>-3.7803532406140691E-2</v>
      </c>
      <c r="AE23">
        <v>1.7056244594491201E-2</v>
      </c>
      <c r="AF23">
        <v>-1.0432091222144909E-3</v>
      </c>
      <c r="AG23">
        <v>2.7338287606165319E-2</v>
      </c>
      <c r="AH23">
        <v>1.5194562326099529E-2</v>
      </c>
      <c r="AI23">
        <v>1.5194562326099529E-2</v>
      </c>
      <c r="AJ23">
        <v>1.5194562326099529E-2</v>
      </c>
      <c r="AK23">
        <v>6.0381020493473651E-2</v>
      </c>
      <c r="AL23">
        <v>3.3770921429515717E-2</v>
      </c>
      <c r="AM23">
        <v>6.3040273994040448E-3</v>
      </c>
      <c r="AN23">
        <v>-1.9047097464494869E-2</v>
      </c>
      <c r="AO23">
        <v>1.0976178099939161E-2</v>
      </c>
      <c r="AP23">
        <v>3.2943642309412241E-2</v>
      </c>
      <c r="AQ23">
        <v>-6.5308471978009382E-3</v>
      </c>
      <c r="AR23">
        <v>-2.071551037907193E-2</v>
      </c>
      <c r="AS23">
        <v>3.959392944532094E-2</v>
      </c>
      <c r="AT23">
        <v>5.1837204022337239E-3</v>
      </c>
      <c r="AU23">
        <v>5.5626290847185837E-2</v>
      </c>
      <c r="AV23">
        <v>1.6145629250211908E-2</v>
      </c>
      <c r="AW23">
        <v>-1</v>
      </c>
      <c r="AZ23" s="400" t="s">
        <v>145</v>
      </c>
      <c r="BA23" s="235">
        <v>-2.2508932946139315E-2</v>
      </c>
      <c r="BB23">
        <v>-2.3324028621387716E-2</v>
      </c>
      <c r="BC23">
        <v>-1.0782952439159166E-2</v>
      </c>
      <c r="BD23">
        <v>-6.0011704971448809E-3</v>
      </c>
      <c r="BE23">
        <v>-1.0477136164579459E-3</v>
      </c>
      <c r="BF23">
        <v>1.2645008200617536E-2</v>
      </c>
      <c r="BG23">
        <v>2.7871830479870852E-3</v>
      </c>
      <c r="BH23">
        <v>-1.9389226805943682E-4</v>
      </c>
      <c r="BI23">
        <v>-4.2874818896804223E-3</v>
      </c>
      <c r="BJ23">
        <v>3.3942041993586525E-3</v>
      </c>
      <c r="BK23">
        <v>2.3136314610157749E-2</v>
      </c>
      <c r="BL23">
        <v>6.4457643435678058E-3</v>
      </c>
      <c r="BM23" s="159">
        <v>1.9079849381650416E-2</v>
      </c>
    </row>
    <row r="24" spans="1:65" ht="15.75" customHeight="1">
      <c r="A24" s="5"/>
      <c r="B24" s="524"/>
      <c r="C24" s="197" t="s">
        <v>147</v>
      </c>
      <c r="D24">
        <v>8.1808738802668106</v>
      </c>
      <c r="E24">
        <v>-0.80274587931693486</v>
      </c>
      <c r="F24">
        <v>2.4754160747952518</v>
      </c>
      <c r="G24">
        <v>-0.11790700960123331</v>
      </c>
      <c r="H24">
        <v>-0.26353881055081763</v>
      </c>
      <c r="I24">
        <v>0.18764540032278079</v>
      </c>
      <c r="J24">
        <v>0.18764540032278079</v>
      </c>
      <c r="K24">
        <v>0.18764540032278079</v>
      </c>
      <c r="L24">
        <v>-6.7464205910963582E-2</v>
      </c>
      <c r="M24">
        <v>3.7690466591876852</v>
      </c>
      <c r="N24">
        <v>2.3656453947560379</v>
      </c>
      <c r="O24">
        <v>-0.43492314288299733</v>
      </c>
      <c r="P24">
        <v>-2.856059752130646E-2</v>
      </c>
      <c r="Q24">
        <v>4.1123364553611497</v>
      </c>
      <c r="R24">
        <v>0.69084287530611377</v>
      </c>
      <c r="S24">
        <v>4.0152119510310413</v>
      </c>
      <c r="T24">
        <v>2.1132307730649931</v>
      </c>
      <c r="U24">
        <v>8.1834159521292911</v>
      </c>
      <c r="V24">
        <v>0.88205012172626129</v>
      </c>
      <c r="W24">
        <v>55.177293682247992</v>
      </c>
      <c r="X24">
        <v>0</v>
      </c>
      <c r="Y24" s="63"/>
      <c r="Z24" s="63"/>
      <c r="AA24" s="532"/>
      <c r="AB24" s="196" t="s">
        <v>147</v>
      </c>
      <c r="AC24">
        <v>0.19626031988772691</v>
      </c>
      <c r="AD24">
        <v>-1.419142637449885E-2</v>
      </c>
      <c r="AE24">
        <v>3.688948359091504E-2</v>
      </c>
      <c r="AF24">
        <v>0.18291363394475821</v>
      </c>
      <c r="AG24">
        <v>6.4187073529767075E-2</v>
      </c>
      <c r="AH24">
        <v>0.42222562773753342</v>
      </c>
      <c r="AI24">
        <v>0.42222562773753342</v>
      </c>
      <c r="AJ24">
        <v>0.42222562773753342</v>
      </c>
      <c r="AK24">
        <v>2.28374345890737E-2</v>
      </c>
      <c r="AL24">
        <v>0.1366040330623973</v>
      </c>
      <c r="AM24">
        <v>2.5268540725983529E-2</v>
      </c>
      <c r="AN24">
        <v>2.453166774195294E-2</v>
      </c>
      <c r="AO24">
        <v>4.5042196756353937E-2</v>
      </c>
      <c r="AP24">
        <v>3.3309657966196143E-2</v>
      </c>
      <c r="AQ24">
        <v>0.17336436815879011</v>
      </c>
      <c r="AR24">
        <v>3.9482720719106683E-2</v>
      </c>
      <c r="AS24">
        <v>4.9713200150170903E-2</v>
      </c>
      <c r="AT24">
        <v>1.8437196369450431E-3</v>
      </c>
      <c r="AU24">
        <v>1.5786263138438662E-2</v>
      </c>
      <c r="AV24">
        <v>0.34257361592051011</v>
      </c>
      <c r="AW24">
        <v>-1</v>
      </c>
      <c r="AZ24" s="400" t="s">
        <v>73</v>
      </c>
      <c r="BA24" s="235">
        <v>-2.2508932946139315E-2</v>
      </c>
      <c r="BB24">
        <v>-2.3324028621387716E-2</v>
      </c>
      <c r="BC24">
        <v>-1.0782952439159166E-2</v>
      </c>
      <c r="BD24">
        <v>-6.0011704971448809E-3</v>
      </c>
      <c r="BE24">
        <v>-1.0477136164579459E-3</v>
      </c>
      <c r="BF24">
        <v>1.2645008200617536E-2</v>
      </c>
      <c r="BG24">
        <v>2.7871830479870852E-3</v>
      </c>
      <c r="BH24">
        <v>-1.9389226805943682E-4</v>
      </c>
      <c r="BI24">
        <v>-4.2874818896804223E-3</v>
      </c>
      <c r="BJ24">
        <v>3.3942041993586525E-3</v>
      </c>
      <c r="BK24">
        <v>2.3136314610157749E-2</v>
      </c>
      <c r="BL24">
        <v>6.4457643435678058E-3</v>
      </c>
      <c r="BM24" s="159">
        <v>1.9079849381650416E-2</v>
      </c>
    </row>
    <row r="25" spans="1:65" ht="15.75" customHeight="1">
      <c r="A25" s="5"/>
      <c r="B25" s="524" t="s">
        <v>743</v>
      </c>
      <c r="C25" s="197" t="s">
        <v>139</v>
      </c>
      <c r="D25">
        <v>-0.35696212788544879</v>
      </c>
      <c r="E25">
        <v>-0.974481115454504</v>
      </c>
      <c r="F25">
        <v>-3.1693317611947137E-2</v>
      </c>
      <c r="G25">
        <v>0.82716826319644399</v>
      </c>
      <c r="H25">
        <v>-0.29576676371883809</v>
      </c>
      <c r="I25">
        <v>-0.29570135215640148</v>
      </c>
      <c r="J25">
        <v>-0.29570135215640148</v>
      </c>
      <c r="K25">
        <v>-0.29570135215640148</v>
      </c>
      <c r="L25">
        <v>-0.27257076202271369</v>
      </c>
      <c r="M25">
        <v>-0.1064102953807451</v>
      </c>
      <c r="N25">
        <v>-0.20418032827936891</v>
      </c>
      <c r="O25">
        <v>-7.1779054251447011E-2</v>
      </c>
      <c r="P25">
        <v>-2.6805927113720231E-2</v>
      </c>
      <c r="Q25">
        <v>1.843850887130603</v>
      </c>
      <c r="R25">
        <v>0.23270294019734769</v>
      </c>
      <c r="S25">
        <v>0.22473276564640379</v>
      </c>
      <c r="T25">
        <v>-0.78791752098572698</v>
      </c>
      <c r="U25">
        <v>-0.51907473316683062</v>
      </c>
      <c r="V25">
        <v>0.3450090094965188</v>
      </c>
      <c r="W25">
        <v>0.38709821829116942</v>
      </c>
      <c r="X25">
        <v>0</v>
      </c>
      <c r="Y25" s="63"/>
      <c r="Z25" s="63"/>
      <c r="AA25" s="229"/>
      <c r="AB25" s="230"/>
      <c r="AC25" s="194"/>
      <c r="AD25" s="194"/>
      <c r="AE25" s="194"/>
      <c r="AF25" s="194"/>
      <c r="AG25" s="194"/>
      <c r="AH25" s="194"/>
      <c r="AI25" s="194"/>
      <c r="AJ25" s="194"/>
      <c r="AK25" s="194"/>
      <c r="AL25" s="194"/>
      <c r="AM25" s="194"/>
      <c r="AN25" s="194"/>
      <c r="AO25" s="194"/>
      <c r="AP25" s="194"/>
      <c r="AQ25" s="194"/>
      <c r="AR25" s="194"/>
      <c r="AS25" s="194"/>
      <c r="AT25" s="194"/>
      <c r="AU25" s="194"/>
      <c r="AV25" s="194"/>
      <c r="AW25" s="194"/>
      <c r="AZ25" s="400" t="s">
        <v>75</v>
      </c>
      <c r="BA25" s="235">
        <v>-2.2508932946139315E-2</v>
      </c>
      <c r="BB25">
        <v>-2.3324028621387716E-2</v>
      </c>
      <c r="BC25">
        <v>-1.0782952439159166E-2</v>
      </c>
      <c r="BD25">
        <v>-6.0011704971448809E-3</v>
      </c>
      <c r="BE25">
        <v>-1.0477136164579459E-3</v>
      </c>
      <c r="BF25">
        <v>1.2645008200617536E-2</v>
      </c>
      <c r="BG25">
        <v>2.7871830479870852E-3</v>
      </c>
      <c r="BH25">
        <v>-1.9389226805943682E-4</v>
      </c>
      <c r="BI25">
        <v>-4.2874818896804223E-3</v>
      </c>
      <c r="BJ25">
        <v>3.3942041993586525E-3</v>
      </c>
      <c r="BK25">
        <v>2.3136314610157749E-2</v>
      </c>
      <c r="BL25">
        <v>6.4457643435678058E-3</v>
      </c>
      <c r="BM25" s="159">
        <v>1.9079849381650416E-2</v>
      </c>
    </row>
    <row r="26" spans="1:65" ht="15.75" customHeight="1">
      <c r="A26" s="5"/>
      <c r="B26" s="524"/>
      <c r="C26" s="197" t="s">
        <v>37</v>
      </c>
      <c r="D26">
        <v>-0.82726956500630133</v>
      </c>
      <c r="E26">
        <v>-0.95226018431774806</v>
      </c>
      <c r="F26">
        <v>-0.93461062049991073</v>
      </c>
      <c r="G26">
        <v>-0.65098555309892281</v>
      </c>
      <c r="H26">
        <v>-0.75159081285409068</v>
      </c>
      <c r="I26">
        <v>-0.71820481854606044</v>
      </c>
      <c r="J26">
        <v>-0.71820481854606044</v>
      </c>
      <c r="K26">
        <v>-0.71820481854606044</v>
      </c>
      <c r="L26">
        <v>-0.80595168923454641</v>
      </c>
      <c r="M26">
        <v>-1.4033271735302919</v>
      </c>
      <c r="N26">
        <v>-1.2685517287575969</v>
      </c>
      <c r="O26">
        <v>1.1444541463596121</v>
      </c>
      <c r="P26">
        <v>-6.0093927054653433E-2</v>
      </c>
      <c r="Q26">
        <v>1.47510773123087</v>
      </c>
      <c r="R26">
        <v>-8.2676688106435053E-2</v>
      </c>
      <c r="S26">
        <v>-0.64908146118743593</v>
      </c>
      <c r="T26">
        <v>-2.9551734202411239</v>
      </c>
      <c r="U26">
        <v>-2.314314530749471</v>
      </c>
      <c r="V26">
        <v>6.7041301627032396E-2</v>
      </c>
      <c r="W26">
        <v>1.852320424529698</v>
      </c>
      <c r="X26">
        <v>0</v>
      </c>
      <c r="Y26" s="63"/>
      <c r="Z26" s="63"/>
      <c r="AA26" s="520" t="s">
        <v>743</v>
      </c>
      <c r="AB26" s="196" t="s">
        <v>139</v>
      </c>
      <c r="AC26">
        <v>3.047179918787446E-3</v>
      </c>
      <c r="AD26">
        <v>-8.8251499115691301E-3</v>
      </c>
      <c r="AE26">
        <v>-3.8833045197841361E-3</v>
      </c>
      <c r="AF26">
        <v>7.184584182583964E-2</v>
      </c>
      <c r="AG26">
        <v>-1.2606890187927379E-2</v>
      </c>
      <c r="AH26">
        <v>2.386174717104228E-2</v>
      </c>
      <c r="AI26">
        <v>2.386174717104228E-2</v>
      </c>
      <c r="AJ26">
        <v>2.386174717104228E-2</v>
      </c>
      <c r="AK26">
        <v>1.412134812070898E-2</v>
      </c>
      <c r="AL26">
        <v>-1.7109878944700511E-2</v>
      </c>
      <c r="AM26">
        <v>-1.1162199932360339E-2</v>
      </c>
      <c r="AN26">
        <v>8.6831287229798271E-3</v>
      </c>
      <c r="AO26">
        <v>-1.436867347636062E-2</v>
      </c>
      <c r="AP26">
        <v>6.0449304681899907E-3</v>
      </c>
      <c r="AQ26">
        <v>-8.0772595554067239E-3</v>
      </c>
      <c r="AR26">
        <v>1.0045188082503209E-2</v>
      </c>
      <c r="AS26">
        <v>-2.853129421259593E-3</v>
      </c>
      <c r="AT26">
        <v>-1.5339683497133549E-2</v>
      </c>
      <c r="AU26">
        <v>2.60360471273724E-2</v>
      </c>
      <c r="AV26">
        <v>1.6075448643510851E-2</v>
      </c>
      <c r="AW26">
        <v>-1</v>
      </c>
      <c r="AZ26" s="400" t="s">
        <v>146</v>
      </c>
      <c r="BA26" s="235">
        <v>-2.2508932946139315E-2</v>
      </c>
      <c r="BB26">
        <v>-2.3324028621387716E-2</v>
      </c>
      <c r="BC26">
        <v>-1.0782952439159166E-2</v>
      </c>
      <c r="BD26">
        <v>-6.0011704971448809E-3</v>
      </c>
      <c r="BE26">
        <v>-1.0477136164579459E-3</v>
      </c>
      <c r="BF26">
        <v>1.2645008200617536E-2</v>
      </c>
      <c r="BG26">
        <v>2.7871830479870852E-3</v>
      </c>
      <c r="BH26">
        <v>-1.9389226805943682E-4</v>
      </c>
      <c r="BI26">
        <v>-4.2874818896804223E-3</v>
      </c>
      <c r="BJ26">
        <v>3.3942041993586525E-3</v>
      </c>
      <c r="BK26">
        <v>2.3136314610157749E-2</v>
      </c>
      <c r="BL26">
        <v>6.4457643435678058E-3</v>
      </c>
      <c r="BM26" s="159">
        <v>1.9079849381650416E-2</v>
      </c>
    </row>
    <row r="27" spans="1:65" ht="15.75" customHeight="1">
      <c r="A27" s="5"/>
      <c r="B27" s="524"/>
      <c r="C27" s="197" t="s">
        <v>140</v>
      </c>
      <c r="D27">
        <v>-0.27402038582486371</v>
      </c>
      <c r="E27">
        <v>-0.77592554231451905</v>
      </c>
      <c r="F27">
        <v>-0.14938008945218581</v>
      </c>
      <c r="G27">
        <v>-9.9015072118191133E-2</v>
      </c>
      <c r="H27">
        <v>-0.1794725666410785</v>
      </c>
      <c r="I27">
        <v>-0.16230445240822511</v>
      </c>
      <c r="J27">
        <v>-0.16230445240822511</v>
      </c>
      <c r="K27">
        <v>-0.16230445240822511</v>
      </c>
      <c r="L27">
        <v>-0.2488766918346087</v>
      </c>
      <c r="M27">
        <v>-0.63443342604017317</v>
      </c>
      <c r="N27">
        <v>-7.4895156477297609E-2</v>
      </c>
      <c r="O27">
        <v>-0.86383699377548884</v>
      </c>
      <c r="P27">
        <v>-0.17089110466988669</v>
      </c>
      <c r="Q27">
        <v>-0.33170678216388538</v>
      </c>
      <c r="R27">
        <v>-0.1301896542522174</v>
      </c>
      <c r="S27">
        <v>-0.97455994352120645</v>
      </c>
      <c r="T27">
        <v>0.25672528789584048</v>
      </c>
      <c r="U27">
        <v>-0.9570749107674752</v>
      </c>
      <c r="V27">
        <v>-0.27005710778118308</v>
      </c>
      <c r="W27">
        <v>-0.2664865181711204</v>
      </c>
      <c r="X27">
        <v>0</v>
      </c>
      <c r="Y27" s="63"/>
      <c r="Z27" s="63"/>
      <c r="AA27" s="521"/>
      <c r="AB27" s="196" t="s">
        <v>37</v>
      </c>
      <c r="AC27">
        <v>-3.3267579336257243E-2</v>
      </c>
      <c r="AD27">
        <v>-4.0464992588993498E-2</v>
      </c>
      <c r="AE27">
        <v>-2.6897525436892611E-2</v>
      </c>
      <c r="AF27">
        <v>-1.3592291349240891E-2</v>
      </c>
      <c r="AG27">
        <v>-3.5022860747634499E-2</v>
      </c>
      <c r="AH27">
        <v>-3.7836713344685517E-2</v>
      </c>
      <c r="AI27">
        <v>-3.7836713344685517E-2</v>
      </c>
      <c r="AJ27">
        <v>-3.7836713344685517E-2</v>
      </c>
      <c r="AK27">
        <v>-4.3798749654758613E-2</v>
      </c>
      <c r="AL27">
        <v>-5.0332699257548241E-2</v>
      </c>
      <c r="AM27">
        <v>-5.6614869683616287E-2</v>
      </c>
      <c r="AN27">
        <v>-5.5414290577498471E-2</v>
      </c>
      <c r="AO27">
        <v>-3.052713677857366E-2</v>
      </c>
      <c r="AP27">
        <v>-4.7035640492653408E-2</v>
      </c>
      <c r="AQ27">
        <v>-4.3683473382801867E-2</v>
      </c>
      <c r="AR27">
        <v>-3.6661776870963503E-2</v>
      </c>
      <c r="AS27">
        <v>-3.8754221865942129E-2</v>
      </c>
      <c r="AT27">
        <v>-7.7098054520777448E-2</v>
      </c>
      <c r="AU27">
        <v>-2.6182509641344831E-2</v>
      </c>
      <c r="AV27">
        <v>-4.0642782147782268E-2</v>
      </c>
      <c r="AW27">
        <v>-1</v>
      </c>
      <c r="AZ27" s="400" t="s">
        <v>83</v>
      </c>
      <c r="BA27" s="235">
        <v>-2.2508932946139315E-2</v>
      </c>
      <c r="BB27">
        <v>-2.3324028621387716E-2</v>
      </c>
      <c r="BC27">
        <v>-1.0782952439159166E-2</v>
      </c>
      <c r="BD27">
        <v>-6.0011704971448809E-3</v>
      </c>
      <c r="BE27">
        <v>-1.0477136164579459E-3</v>
      </c>
      <c r="BF27">
        <v>1.2645008200617536E-2</v>
      </c>
      <c r="BG27">
        <v>2.7871830479870852E-3</v>
      </c>
      <c r="BH27">
        <v>-1.9389226805943682E-4</v>
      </c>
      <c r="BI27">
        <v>-4.2874818896804223E-3</v>
      </c>
      <c r="BJ27">
        <v>3.3942041993586525E-3</v>
      </c>
      <c r="BK27">
        <v>2.3136314610157749E-2</v>
      </c>
      <c r="BL27">
        <v>6.4457643435678058E-3</v>
      </c>
      <c r="BM27" s="159">
        <v>1.9079849381650416E-2</v>
      </c>
    </row>
    <row r="28" spans="1:65" ht="15.75" customHeight="1">
      <c r="A28" s="5"/>
      <c r="B28" s="524"/>
      <c r="C28" s="197" t="s">
        <v>48</v>
      </c>
      <c r="D28">
        <v>-0.5454776061180675</v>
      </c>
      <c r="E28">
        <v>-0.9308916494006837</v>
      </c>
      <c r="F28">
        <v>-0.2339423061726702</v>
      </c>
      <c r="G28">
        <v>-0.48905981763044959</v>
      </c>
      <c r="H28">
        <v>-0.46151118219214488</v>
      </c>
      <c r="I28">
        <v>-5.3311022918955162E-2</v>
      </c>
      <c r="J28">
        <v>-5.3311022918955162E-2</v>
      </c>
      <c r="K28">
        <v>-5.3311022918955162E-2</v>
      </c>
      <c r="L28">
        <v>-0.58910589939354241</v>
      </c>
      <c r="M28">
        <v>-0.86182133426911611</v>
      </c>
      <c r="N28">
        <v>-0.40495829592214672</v>
      </c>
      <c r="O28">
        <v>-0.31409572552206699</v>
      </c>
      <c r="P28">
        <v>-0.42651569887495921</v>
      </c>
      <c r="Q28">
        <v>-1.6075974312070469</v>
      </c>
      <c r="R28">
        <v>-0.14391535678056469</v>
      </c>
      <c r="S28">
        <v>-0.4595611586404445</v>
      </c>
      <c r="T28">
        <v>-1.793498082912252</v>
      </c>
      <c r="U28">
        <v>-1.0692185599011681</v>
      </c>
      <c r="V28">
        <v>-0.74186786874296873</v>
      </c>
      <c r="W28">
        <v>-1.515303656866912E-2</v>
      </c>
      <c r="X28">
        <v>0</v>
      </c>
      <c r="Y28" s="63"/>
      <c r="Z28" s="63"/>
      <c r="AA28" s="521"/>
      <c r="AB28" s="196" t="s">
        <v>140</v>
      </c>
      <c r="AC28">
        <v>6.4561284129336372E-3</v>
      </c>
      <c r="AD28">
        <v>-1.094209478885433E-2</v>
      </c>
      <c r="AE28">
        <v>6.0542493463326963E-3</v>
      </c>
      <c r="AF28">
        <v>1.359912915159112E-2</v>
      </c>
      <c r="AG28">
        <v>6.8616263918364062E-3</v>
      </c>
      <c r="AH28">
        <v>1.662593044757354E-3</v>
      </c>
      <c r="AI28">
        <v>1.662593044757354E-3</v>
      </c>
      <c r="AJ28">
        <v>1.662593044757354E-3</v>
      </c>
      <c r="AK28">
        <v>7.9802470702718953E-3</v>
      </c>
      <c r="AL28">
        <v>-6.214601334758818E-3</v>
      </c>
      <c r="AM28">
        <v>8.4402222508705993E-3</v>
      </c>
      <c r="AN28">
        <v>1.2630933047084181E-3</v>
      </c>
      <c r="AO28">
        <v>-5.6248744600079226E-3</v>
      </c>
      <c r="AP28">
        <v>-9.6853362208237925E-4</v>
      </c>
      <c r="AQ28">
        <v>-9.6381102646356798E-3</v>
      </c>
      <c r="AR28">
        <v>-1.6461755340610229E-2</v>
      </c>
      <c r="AS28">
        <v>8.6990169837226627E-3</v>
      </c>
      <c r="AT28">
        <v>-1.9107355007547681E-2</v>
      </c>
      <c r="AU28">
        <v>1.622373222486484E-3</v>
      </c>
      <c r="AV28">
        <v>2.2322425687897329E-2</v>
      </c>
      <c r="AW28">
        <v>-1</v>
      </c>
      <c r="AZ28" s="400" t="s">
        <v>85</v>
      </c>
      <c r="BA28" s="235">
        <v>-2.2508932946139315E-2</v>
      </c>
      <c r="BB28">
        <v>-2.3324028621387716E-2</v>
      </c>
      <c r="BC28">
        <v>-1.0782952439159166E-2</v>
      </c>
      <c r="BD28">
        <v>-6.0011704971448809E-3</v>
      </c>
      <c r="BE28">
        <v>-1.0477136164579459E-3</v>
      </c>
      <c r="BF28">
        <v>1.2645008200617536E-2</v>
      </c>
      <c r="BG28">
        <v>2.7871830479870852E-3</v>
      </c>
      <c r="BH28">
        <v>-1.9389226805943682E-4</v>
      </c>
      <c r="BI28">
        <v>-4.2874818896804223E-3</v>
      </c>
      <c r="BJ28">
        <v>3.3942041993586525E-3</v>
      </c>
      <c r="BK28">
        <v>2.3136314610157749E-2</v>
      </c>
      <c r="BL28">
        <v>6.4457643435678058E-3</v>
      </c>
      <c r="BM28" s="159">
        <v>1.9079849381650416E-2</v>
      </c>
    </row>
    <row r="29" spans="1:65" ht="15.75" customHeight="1">
      <c r="A29" s="5"/>
      <c r="B29" s="524"/>
      <c r="C29" s="197" t="s">
        <v>141</v>
      </c>
      <c r="D29">
        <v>0.31160657243208922</v>
      </c>
      <c r="E29">
        <v>-1.023679158642568</v>
      </c>
      <c r="F29">
        <v>-0.1165722388287618</v>
      </c>
      <c r="G29">
        <v>-0.32782974869375192</v>
      </c>
      <c r="H29">
        <v>-0.21565562150289899</v>
      </c>
      <c r="I29">
        <v>-0.53833951052852191</v>
      </c>
      <c r="J29">
        <v>-0.53833951052852191</v>
      </c>
      <c r="K29">
        <v>-0.53833951052852191</v>
      </c>
      <c r="L29">
        <v>8.7106371491018519E-2</v>
      </c>
      <c r="M29">
        <v>-0.44507184641974451</v>
      </c>
      <c r="N29">
        <v>-7.7875037416197737E-2</v>
      </c>
      <c r="O29">
        <v>-2.0399261167555092</v>
      </c>
      <c r="P29">
        <v>-0.31734207065680531</v>
      </c>
      <c r="Q29">
        <v>-1.261867117747562</v>
      </c>
      <c r="R29">
        <v>-8.8002653032764971E-2</v>
      </c>
      <c r="S29">
        <v>-1.4287125370350831</v>
      </c>
      <c r="T29">
        <v>0.913179640999086</v>
      </c>
      <c r="U29">
        <v>-1.209258359501667</v>
      </c>
      <c r="V29">
        <v>-0.26930485769524731</v>
      </c>
      <c r="W29">
        <v>-0.10023294180006639</v>
      </c>
      <c r="X29">
        <v>0</v>
      </c>
      <c r="Y29" s="63"/>
      <c r="Z29" s="63"/>
      <c r="AA29" s="521"/>
      <c r="AB29" s="196" t="s">
        <v>48</v>
      </c>
      <c r="AC29">
        <v>-1.7128574542964459E-2</v>
      </c>
      <c r="AD29">
        <v>-2.0092588932292599E-2</v>
      </c>
      <c r="AE29">
        <v>-1.3211774686493699E-2</v>
      </c>
      <c r="AF29">
        <v>2.7331764373894618E-3</v>
      </c>
      <c r="AG29">
        <v>-2.1379188009737371E-2</v>
      </c>
      <c r="AH29">
        <v>-1.356717751099723E-2</v>
      </c>
      <c r="AI29">
        <v>-1.356717751099723E-2</v>
      </c>
      <c r="AJ29">
        <v>-1.356717751099723E-2</v>
      </c>
      <c r="AK29">
        <v>-1.0430842854318721E-2</v>
      </c>
      <c r="AL29">
        <v>-6.8426226883097066E-3</v>
      </c>
      <c r="AM29">
        <v>-1.8677265837395259E-2</v>
      </c>
      <c r="AN29">
        <v>-1.87799335387091E-2</v>
      </c>
      <c r="AO29">
        <v>-1.798813222501883E-2</v>
      </c>
      <c r="AP29">
        <v>-1.6880438492389519E-2</v>
      </c>
      <c r="AQ29">
        <v>-1.7097179470604299E-2</v>
      </c>
      <c r="AR29">
        <v>-2.2139985614099359E-2</v>
      </c>
      <c r="AS29">
        <v>-1.9242239487100691E-2</v>
      </c>
      <c r="AT29">
        <v>-2.334371950750758E-2</v>
      </c>
      <c r="AU29">
        <v>-2.6870275073498932E-2</v>
      </c>
      <c r="AV29">
        <v>4.5752792266937634E-3</v>
      </c>
      <c r="AW29">
        <v>-1</v>
      </c>
      <c r="AZ29" s="400" t="s">
        <v>88</v>
      </c>
      <c r="BA29" s="235">
        <v>-2.2508932946139315E-2</v>
      </c>
      <c r="BB29">
        <v>-2.3324028621387716E-2</v>
      </c>
      <c r="BC29">
        <v>-1.0782952439159166E-2</v>
      </c>
      <c r="BD29">
        <v>-6.0011704971448809E-3</v>
      </c>
      <c r="BE29">
        <v>-1.0477136164579459E-3</v>
      </c>
      <c r="BF29">
        <v>1.2645008200617536E-2</v>
      </c>
      <c r="BG29">
        <v>2.7871830479870852E-3</v>
      </c>
      <c r="BH29">
        <v>-1.9389226805943682E-4</v>
      </c>
      <c r="BI29">
        <v>-4.2874818896804223E-3</v>
      </c>
      <c r="BJ29">
        <v>3.3942041993586525E-3</v>
      </c>
      <c r="BK29">
        <v>2.3136314610157749E-2</v>
      </c>
      <c r="BL29">
        <v>6.4457643435678058E-3</v>
      </c>
      <c r="BM29" s="159">
        <v>1.9079849381650416E-2</v>
      </c>
    </row>
    <row r="30" spans="1:65" ht="15.75" customHeight="1">
      <c r="A30" s="5"/>
      <c r="B30" s="524"/>
      <c r="C30" s="197" t="s">
        <v>58</v>
      </c>
      <c r="D30">
        <v>0.1461964630447565</v>
      </c>
      <c r="E30">
        <v>-0.69382931946426574</v>
      </c>
      <c r="F30">
        <v>-0.59268192791181018</v>
      </c>
      <c r="G30">
        <v>-0.62252131909308939</v>
      </c>
      <c r="H30">
        <v>-6.7537605430836922E-2</v>
      </c>
      <c r="I30">
        <v>-0.6140632225949888</v>
      </c>
      <c r="J30">
        <v>-0.6140632225949888</v>
      </c>
      <c r="K30">
        <v>-0.6140632225949888</v>
      </c>
      <c r="L30">
        <v>-0.27669831438282583</v>
      </c>
      <c r="M30">
        <v>-0.5044805906252775</v>
      </c>
      <c r="N30">
        <v>-0.48920777753524169</v>
      </c>
      <c r="O30">
        <v>-0.2449334784894566</v>
      </c>
      <c r="P30">
        <v>-0.12948698840594661</v>
      </c>
      <c r="Q30">
        <v>-0.5936323597497275</v>
      </c>
      <c r="R30">
        <v>0.18441658816608289</v>
      </c>
      <c r="S30">
        <v>-0.54790075943547079</v>
      </c>
      <c r="T30">
        <v>-1.5384862895178391</v>
      </c>
      <c r="U30">
        <v>-0.88045132812364302</v>
      </c>
      <c r="V30">
        <v>-0.24999775165019969</v>
      </c>
      <c r="W30">
        <v>-8.5576956908739843E-2</v>
      </c>
      <c r="X30">
        <v>0</v>
      </c>
      <c r="Y30" s="63"/>
      <c r="Z30" s="63"/>
      <c r="AA30" s="521"/>
      <c r="AB30" s="196" t="s">
        <v>141</v>
      </c>
      <c r="AC30">
        <v>-1.5725754173100959E-2</v>
      </c>
      <c r="AD30">
        <v>-1.2222061297443741E-2</v>
      </c>
      <c r="AE30">
        <v>1.1296784856049459E-2</v>
      </c>
      <c r="AF30">
        <v>6.4452374215858255E-2</v>
      </c>
      <c r="AG30">
        <v>3.582204943850309E-3</v>
      </c>
      <c r="AH30">
        <v>2.003267661960639E-2</v>
      </c>
      <c r="AI30">
        <v>2.003267661960639E-2</v>
      </c>
      <c r="AJ30">
        <v>2.003267661960639E-2</v>
      </c>
      <c r="AK30">
        <v>1.406789638947714E-2</v>
      </c>
      <c r="AL30">
        <v>1.250429657960739E-3</v>
      </c>
      <c r="AM30">
        <v>2.3109521592396879E-2</v>
      </c>
      <c r="AN30">
        <v>-1.5738251122191849E-2</v>
      </c>
      <c r="AO30">
        <v>1.1195872624771839E-2</v>
      </c>
      <c r="AP30">
        <v>2.926022256613869E-3</v>
      </c>
      <c r="AQ30">
        <v>-3.053196605033337E-3</v>
      </c>
      <c r="AR30">
        <v>-7.1401254446282758E-3</v>
      </c>
      <c r="AS30">
        <v>2.1029316918584229E-2</v>
      </c>
      <c r="AT30">
        <v>-4.3326970304920498E-2</v>
      </c>
      <c r="AU30">
        <v>-3.6613418911694011E-3</v>
      </c>
      <c r="AV30">
        <v>5.4420740203211526E-3</v>
      </c>
      <c r="AW30">
        <v>-1</v>
      </c>
      <c r="AZ30" s="400" t="s">
        <v>147</v>
      </c>
      <c r="BA30" s="236">
        <v>-2.2508932946139315E-2</v>
      </c>
      <c r="BB30" s="237">
        <v>-2.3324028621387716E-2</v>
      </c>
      <c r="BC30" s="237">
        <v>-1.0782952439159166E-2</v>
      </c>
      <c r="BD30" s="237">
        <v>-6.0011704971448809E-3</v>
      </c>
      <c r="BE30" s="237">
        <v>-1.0477136164579459E-3</v>
      </c>
      <c r="BF30" s="237">
        <v>1.2645008200617536E-2</v>
      </c>
      <c r="BG30" s="237">
        <v>2.7871830479870852E-3</v>
      </c>
      <c r="BH30" s="237">
        <v>-1.9389226805943682E-4</v>
      </c>
      <c r="BI30" s="237">
        <v>-4.2874818896804223E-3</v>
      </c>
      <c r="BJ30" s="237">
        <v>3.3942041993586525E-3</v>
      </c>
      <c r="BK30" s="237">
        <v>2.3136314610157749E-2</v>
      </c>
      <c r="BL30" s="237">
        <v>6.4457643435678058E-3</v>
      </c>
      <c r="BM30" s="161">
        <v>1.9079849381650416E-2</v>
      </c>
    </row>
    <row r="31" spans="1:65" ht="15.75" customHeight="1">
      <c r="A31" s="5"/>
      <c r="B31" s="524"/>
      <c r="C31" s="197" t="s">
        <v>58</v>
      </c>
      <c r="D31">
        <v>0.1461964630447565</v>
      </c>
      <c r="E31">
        <v>-0.69382931946426574</v>
      </c>
      <c r="F31">
        <v>-0.59268192791181018</v>
      </c>
      <c r="G31">
        <v>-0.62252131909308939</v>
      </c>
      <c r="H31">
        <v>-6.7537605430836922E-2</v>
      </c>
      <c r="I31">
        <v>-0.6140632225949888</v>
      </c>
      <c r="J31">
        <v>-0.6140632225949888</v>
      </c>
      <c r="K31">
        <v>-0.6140632225949888</v>
      </c>
      <c r="L31">
        <v>-0.27669831438282583</v>
      </c>
      <c r="M31">
        <v>-0.5044805906252775</v>
      </c>
      <c r="N31">
        <v>-0.48920777753524169</v>
      </c>
      <c r="O31">
        <v>-0.2449334784894566</v>
      </c>
      <c r="P31">
        <v>-0.12948698840594661</v>
      </c>
      <c r="Q31">
        <v>-0.5936323597497275</v>
      </c>
      <c r="R31">
        <v>0.18441658816608289</v>
      </c>
      <c r="S31">
        <v>-0.54790075943547079</v>
      </c>
      <c r="T31">
        <v>-1.5384862895178391</v>
      </c>
      <c r="U31">
        <v>-0.88045132812364302</v>
      </c>
      <c r="V31">
        <v>-0.24999775165019969</v>
      </c>
      <c r="W31">
        <v>-8.5576956908739843E-2</v>
      </c>
      <c r="X31">
        <v>0</v>
      </c>
      <c r="Y31" s="63"/>
      <c r="Z31" s="63"/>
      <c r="AA31" s="521"/>
      <c r="AB31" s="196" t="s">
        <v>58</v>
      </c>
      <c r="AC31">
        <v>7.0094400144884439E-3</v>
      </c>
      <c r="AD31">
        <v>2.289776946989619E-3</v>
      </c>
      <c r="AE31">
        <v>-2.0849536055078669E-5</v>
      </c>
      <c r="AF31">
        <v>4.5776453040389242E-2</v>
      </c>
      <c r="AG31">
        <v>-1.0498917473084729E-2</v>
      </c>
      <c r="AH31">
        <v>2.6978070554997791E-2</v>
      </c>
      <c r="AI31">
        <v>2.6978070554997791E-2</v>
      </c>
      <c r="AJ31">
        <v>2.6978070554997791E-2</v>
      </c>
      <c r="AK31">
        <v>-8.925398165948506E-3</v>
      </c>
      <c r="AL31">
        <v>1.0880959920845701E-2</v>
      </c>
      <c r="AM31">
        <v>-1.055789714067912E-2</v>
      </c>
      <c r="AN31">
        <v>7.0740744156914106E-3</v>
      </c>
      <c r="AO31">
        <v>2.5366889434641489E-3</v>
      </c>
      <c r="AP31">
        <v>6.9350124900238166E-3</v>
      </c>
      <c r="AQ31">
        <v>1.8865087560193669E-4</v>
      </c>
      <c r="AR31">
        <v>-3.1128754756497572E-3</v>
      </c>
      <c r="AS31">
        <v>2.7782900200565171E-2</v>
      </c>
      <c r="AT31">
        <v>-8.2365135130422207E-3</v>
      </c>
      <c r="AU31">
        <v>-2.369849151966474E-3</v>
      </c>
      <c r="AV31">
        <v>6.7608584689875517E-3</v>
      </c>
      <c r="AW31">
        <v>-1</v>
      </c>
    </row>
    <row r="32" spans="1:65" ht="15.75" customHeight="1">
      <c r="A32" s="5"/>
      <c r="B32" s="524"/>
      <c r="C32" s="197" t="s">
        <v>58</v>
      </c>
      <c r="D32">
        <v>0.1461964630447565</v>
      </c>
      <c r="E32">
        <v>-0.69382931946426574</v>
      </c>
      <c r="F32">
        <v>-0.59268192791181018</v>
      </c>
      <c r="G32">
        <v>-0.62252131909308939</v>
      </c>
      <c r="H32">
        <v>-6.7537605430836922E-2</v>
      </c>
      <c r="I32">
        <v>-0.6140632225949888</v>
      </c>
      <c r="J32">
        <v>-0.6140632225949888</v>
      </c>
      <c r="K32">
        <v>-0.6140632225949888</v>
      </c>
      <c r="L32">
        <v>-0.27669831438282583</v>
      </c>
      <c r="M32">
        <v>-0.5044805906252775</v>
      </c>
      <c r="N32">
        <v>-0.48920777753524169</v>
      </c>
      <c r="O32">
        <v>-0.2449334784894566</v>
      </c>
      <c r="P32">
        <v>-0.12948698840594661</v>
      </c>
      <c r="Q32">
        <v>-0.5936323597497275</v>
      </c>
      <c r="R32">
        <v>0.18441658816608289</v>
      </c>
      <c r="S32">
        <v>-0.54790075943547079</v>
      </c>
      <c r="T32">
        <v>-1.5384862895178391</v>
      </c>
      <c r="U32">
        <v>-0.88045132812364302</v>
      </c>
      <c r="V32">
        <v>-0.24999775165019969</v>
      </c>
      <c r="W32">
        <v>-8.5576956908739843E-2</v>
      </c>
      <c r="X32">
        <v>0</v>
      </c>
      <c r="Y32" s="63"/>
      <c r="Z32" s="63"/>
      <c r="AA32" s="521"/>
      <c r="AB32" s="196" t="s">
        <v>58</v>
      </c>
      <c r="AC32">
        <v>7.0094400144884439E-3</v>
      </c>
      <c r="AD32">
        <v>2.289776946989619E-3</v>
      </c>
      <c r="AE32">
        <v>-2.0849536055078669E-5</v>
      </c>
      <c r="AF32">
        <v>4.5776453040389242E-2</v>
      </c>
      <c r="AG32">
        <v>-1.0498917473084729E-2</v>
      </c>
      <c r="AH32">
        <v>2.6978070554997791E-2</v>
      </c>
      <c r="AI32">
        <v>2.6978070554997791E-2</v>
      </c>
      <c r="AJ32">
        <v>2.6978070554997791E-2</v>
      </c>
      <c r="AK32">
        <v>-8.925398165948506E-3</v>
      </c>
      <c r="AL32">
        <v>1.0880959920845701E-2</v>
      </c>
      <c r="AM32">
        <v>-1.055789714067912E-2</v>
      </c>
      <c r="AN32">
        <v>7.0740744156914106E-3</v>
      </c>
      <c r="AO32">
        <v>2.5366889434641489E-3</v>
      </c>
      <c r="AP32">
        <v>6.9350124900238166E-3</v>
      </c>
      <c r="AQ32">
        <v>1.8865087560193669E-4</v>
      </c>
      <c r="AR32">
        <v>-3.1128754756497572E-3</v>
      </c>
      <c r="AS32">
        <v>2.7782900200565171E-2</v>
      </c>
      <c r="AT32">
        <v>-8.2365135130422207E-3</v>
      </c>
      <c r="AU32">
        <v>-2.369849151966474E-3</v>
      </c>
      <c r="AV32">
        <v>6.7608584689875517E-3</v>
      </c>
      <c r="AW32">
        <v>-1</v>
      </c>
      <c r="AZ32" s="206" t="s">
        <v>1484</v>
      </c>
    </row>
    <row r="33" spans="1:67" ht="15.75" customHeight="1">
      <c r="A33" s="63"/>
      <c r="B33" s="524"/>
      <c r="C33" s="197" t="s">
        <v>61</v>
      </c>
      <c r="D33">
        <v>-0.41087284070303259</v>
      </c>
      <c r="E33">
        <v>-0.9502989853170537</v>
      </c>
      <c r="F33">
        <v>-0.151944922516634</v>
      </c>
      <c r="G33">
        <v>-0.61386217386090947</v>
      </c>
      <c r="H33">
        <v>-0.43313266380727561</v>
      </c>
      <c r="I33">
        <v>-5.902050892297777E-2</v>
      </c>
      <c r="J33">
        <v>-5.902050892297777E-2</v>
      </c>
      <c r="K33">
        <v>-5.902050892297777E-2</v>
      </c>
      <c r="L33">
        <v>-0.47568192703248102</v>
      </c>
      <c r="M33">
        <v>1.298046780431494E-2</v>
      </c>
      <c r="N33">
        <v>-0.1582288917588964</v>
      </c>
      <c r="O33">
        <v>0.1249643264616583</v>
      </c>
      <c r="P33">
        <v>5.5331806087681175E-4</v>
      </c>
      <c r="Q33">
        <v>0.83409048818120102</v>
      </c>
      <c r="R33">
        <v>-0.10072008969261879</v>
      </c>
      <c r="S33">
        <v>-0.58543601984208105</v>
      </c>
      <c r="T33">
        <v>-0.1631385367197134</v>
      </c>
      <c r="U33">
        <v>-0.68211334775029464</v>
      </c>
      <c r="V33">
        <v>0.14368263027624539</v>
      </c>
      <c r="W33">
        <v>6.6066063356234467E-2</v>
      </c>
      <c r="X33">
        <v>0</v>
      </c>
      <c r="AA33" s="521"/>
      <c r="AB33" s="196" t="s">
        <v>58</v>
      </c>
      <c r="AC33">
        <v>7.0094400144884439E-3</v>
      </c>
      <c r="AD33">
        <v>2.289776946989619E-3</v>
      </c>
      <c r="AE33">
        <v>-2.0849536055078669E-5</v>
      </c>
      <c r="AF33">
        <v>4.5776453040389242E-2</v>
      </c>
      <c r="AG33">
        <v>-1.0498917473084729E-2</v>
      </c>
      <c r="AH33">
        <v>2.6978070554997791E-2</v>
      </c>
      <c r="AI33">
        <v>2.6978070554997791E-2</v>
      </c>
      <c r="AJ33">
        <v>2.6978070554997791E-2</v>
      </c>
      <c r="AK33">
        <v>-8.925398165948506E-3</v>
      </c>
      <c r="AL33">
        <v>1.0880959920845701E-2</v>
      </c>
      <c r="AM33">
        <v>-1.055789714067912E-2</v>
      </c>
      <c r="AN33">
        <v>7.0740744156914106E-3</v>
      </c>
      <c r="AO33">
        <v>2.5366889434641489E-3</v>
      </c>
      <c r="AP33">
        <v>6.9350124900238166E-3</v>
      </c>
      <c r="AQ33">
        <v>1.8865087560193669E-4</v>
      </c>
      <c r="AR33">
        <v>-3.1128754756497572E-3</v>
      </c>
      <c r="AS33">
        <v>2.7782900200565171E-2</v>
      </c>
      <c r="AT33">
        <v>-8.2365135130422207E-3</v>
      </c>
      <c r="AU33">
        <v>-2.369849151966474E-3</v>
      </c>
      <c r="AV33">
        <v>6.7608584689875517E-3</v>
      </c>
      <c r="AW33">
        <v>-1</v>
      </c>
      <c r="AZ33" s="232" t="s">
        <v>591</v>
      </c>
      <c r="BA33" s="238">
        <v>0</v>
      </c>
      <c r="BB33" s="238">
        <v>1</v>
      </c>
      <c r="BC33" s="238">
        <v>2</v>
      </c>
      <c r="BD33" s="238">
        <v>3</v>
      </c>
      <c r="BE33" s="238">
        <v>4</v>
      </c>
      <c r="BF33" s="238">
        <v>5</v>
      </c>
      <c r="BG33" s="238">
        <v>6</v>
      </c>
      <c r="BH33" s="238">
        <v>7</v>
      </c>
      <c r="BI33" s="238">
        <v>8</v>
      </c>
      <c r="BJ33" s="238">
        <v>9</v>
      </c>
      <c r="BK33" s="238">
        <v>10</v>
      </c>
      <c r="BL33" s="238">
        <v>11</v>
      </c>
      <c r="BM33" s="238">
        <v>12</v>
      </c>
    </row>
    <row r="34" spans="1:67" ht="15.75" customHeight="1">
      <c r="A34" s="63"/>
      <c r="B34" s="524"/>
      <c r="C34" s="197" t="s">
        <v>63</v>
      </c>
      <c r="D34">
        <v>-0.33192165614604052</v>
      </c>
      <c r="E34">
        <v>-0.8003683831635986</v>
      </c>
      <c r="F34">
        <v>1.384786505967525E-2</v>
      </c>
      <c r="G34">
        <v>-0.61615044498919902</v>
      </c>
      <c r="H34">
        <v>0.15269654456575771</v>
      </c>
      <c r="I34">
        <v>-0.5360840668475354</v>
      </c>
      <c r="J34">
        <v>-0.5360840668475354</v>
      </c>
      <c r="K34">
        <v>-0.5360840668475354</v>
      </c>
      <c r="L34">
        <v>-0.10135193124202101</v>
      </c>
      <c r="M34">
        <v>-0.79556298026090344</v>
      </c>
      <c r="N34">
        <v>-0.3444239258252611</v>
      </c>
      <c r="O34">
        <v>-0.49338890425131587</v>
      </c>
      <c r="P34">
        <v>8.2065513363221806E-2</v>
      </c>
      <c r="Q34">
        <v>-0.28258352450588131</v>
      </c>
      <c r="R34">
        <v>-0.1773460644437681</v>
      </c>
      <c r="S34">
        <v>-0.65519760853583187</v>
      </c>
      <c r="T34">
        <v>-2.0356434400292751</v>
      </c>
      <c r="U34">
        <v>-1.12477562577154</v>
      </c>
      <c r="V34">
        <v>-0.30791391616919939</v>
      </c>
      <c r="W34">
        <v>0.33357968859381348</v>
      </c>
      <c r="X34">
        <v>0</v>
      </c>
      <c r="AA34" s="521"/>
      <c r="AB34" s="196" t="s">
        <v>61</v>
      </c>
      <c r="AC34">
        <v>1.220343574949823E-3</v>
      </c>
      <c r="AD34">
        <v>-1.254554848681688E-2</v>
      </c>
      <c r="AE34">
        <v>5.9319114778322302E-3</v>
      </c>
      <c r="AF34">
        <v>-2.1422962780450309E-2</v>
      </c>
      <c r="AG34">
        <v>-1.349304895265213E-2</v>
      </c>
      <c r="AH34">
        <v>4.6124167335854782E-3</v>
      </c>
      <c r="AI34">
        <v>4.6124167335854782E-3</v>
      </c>
      <c r="AJ34">
        <v>4.6124167335854782E-3</v>
      </c>
      <c r="AK34">
        <v>-1.808671646089222E-3</v>
      </c>
      <c r="AL34">
        <v>7.1792882925099111E-3</v>
      </c>
      <c r="AM34">
        <v>-1.516186328017999E-2</v>
      </c>
      <c r="AN34">
        <v>-1.1313443516846379E-2</v>
      </c>
      <c r="AO34">
        <v>-4.9823354934280806E-3</v>
      </c>
      <c r="AP34">
        <v>5.7665975963614446E-3</v>
      </c>
      <c r="AQ34">
        <v>-1.673872397416332E-2</v>
      </c>
      <c r="AR34">
        <v>-2.118410360199019E-2</v>
      </c>
      <c r="AS34">
        <v>-3.8355689702673779E-5</v>
      </c>
      <c r="AT34">
        <v>-1.310629614046022E-2</v>
      </c>
      <c r="AU34">
        <v>2.845075170018618E-2</v>
      </c>
      <c r="AV34">
        <v>3.3826745493987791E-3</v>
      </c>
      <c r="AW34">
        <v>-1</v>
      </c>
      <c r="AZ34" s="400" t="s">
        <v>139</v>
      </c>
      <c r="BA34" s="233">
        <v>4.9328571074236605E-2</v>
      </c>
      <c r="BB34" s="42">
        <v>1.8330119430489233E-2</v>
      </c>
      <c r="BC34" s="42">
        <v>2.4781082257361309E-3</v>
      </c>
      <c r="BD34" s="42">
        <v>2.5404967721365246E-2</v>
      </c>
      <c r="BE34" s="42">
        <v>3.9856656399880785E-2</v>
      </c>
      <c r="BF34" s="42">
        <v>2.3380541173926073E-2</v>
      </c>
      <c r="BG34" s="42">
        <v>5.3675456119153919E-2</v>
      </c>
      <c r="BH34" s="42">
        <v>2.1295902852597415E-2</v>
      </c>
      <c r="BI34" s="42">
        <v>1.2260524612739854E-2</v>
      </c>
      <c r="BJ34" s="42">
        <v>-0.13709371401144155</v>
      </c>
      <c r="BK34" s="42">
        <v>0.1408550508544979</v>
      </c>
      <c r="BL34" s="42">
        <v>9.7877736035430374E-2</v>
      </c>
      <c r="BM34" s="234">
        <v>8.210288940747601E-3</v>
      </c>
    </row>
    <row r="35" spans="1:67" ht="15.75" customHeight="1">
      <c r="A35" s="63"/>
      <c r="B35" s="524"/>
      <c r="C35" s="197" t="s">
        <v>65</v>
      </c>
      <c r="D35">
        <v>-0.25716998756563891</v>
      </c>
      <c r="E35">
        <v>-0.72986035698822471</v>
      </c>
      <c r="F35">
        <v>-0.2437360481633753</v>
      </c>
      <c r="G35">
        <v>-0.55181618402465704</v>
      </c>
      <c r="H35">
        <v>-0.17699719275621939</v>
      </c>
      <c r="I35">
        <v>-0.52404984760643825</v>
      </c>
      <c r="J35">
        <v>-0.52404984760643825</v>
      </c>
      <c r="K35">
        <v>-0.52404984760643825</v>
      </c>
      <c r="L35">
        <v>-0.21626915255209439</v>
      </c>
      <c r="M35">
        <v>-0.28123745616247209</v>
      </c>
      <c r="N35">
        <v>-4.8005066511034367E-2</v>
      </c>
      <c r="O35">
        <v>-0.43557446110887371</v>
      </c>
      <c r="P35">
        <v>-4.5503467853496529E-2</v>
      </c>
      <c r="Q35">
        <v>6.952805591222723E-2</v>
      </c>
      <c r="R35">
        <v>-4.8967657923282427E-2</v>
      </c>
      <c r="S35">
        <v>6.8103560346119418E-2</v>
      </c>
      <c r="T35">
        <v>-3.3719986763097967E-2</v>
      </c>
      <c r="U35">
        <v>-0.99387771985699214</v>
      </c>
      <c r="V35">
        <v>-0.23968029800660781</v>
      </c>
      <c r="W35">
        <v>-0.35792463666651042</v>
      </c>
      <c r="X35">
        <v>0</v>
      </c>
      <c r="AA35" s="521"/>
      <c r="AB35" s="196" t="s">
        <v>63</v>
      </c>
      <c r="AC35">
        <v>-1.4427065518107801E-4</v>
      </c>
      <c r="AD35">
        <v>-8.3418467530673723E-3</v>
      </c>
      <c r="AE35">
        <v>1.0585958197663951E-2</v>
      </c>
      <c r="AF35">
        <v>3.4196695978115248E-2</v>
      </c>
      <c r="AG35">
        <v>2.7238229828097089E-3</v>
      </c>
      <c r="AH35">
        <v>1.5680163250706869E-2</v>
      </c>
      <c r="AI35">
        <v>1.5680163250706869E-2</v>
      </c>
      <c r="AJ35">
        <v>1.5680163250706869E-2</v>
      </c>
      <c r="AK35">
        <v>-9.4644712855485036E-4</v>
      </c>
      <c r="AL35">
        <v>-3.6428959236392E-3</v>
      </c>
      <c r="AM35">
        <v>-2.344670863843934E-3</v>
      </c>
      <c r="AN35">
        <v>7.5972554118464153E-4</v>
      </c>
      <c r="AO35">
        <v>2.3704811164815931E-2</v>
      </c>
      <c r="AP35">
        <v>-6.0958182695441954E-3</v>
      </c>
      <c r="AQ35">
        <v>-1.331480567672094E-2</v>
      </c>
      <c r="AR35">
        <v>-8.3675223360655249E-3</v>
      </c>
      <c r="AS35">
        <v>6.2081238286466611E-3</v>
      </c>
      <c r="AT35">
        <v>-2.8146409635269262E-2</v>
      </c>
      <c r="AU35">
        <v>-3.012830056555726E-3</v>
      </c>
      <c r="AV35">
        <v>2.5813184918480839E-2</v>
      </c>
      <c r="AW35">
        <v>-1</v>
      </c>
      <c r="AZ35" s="400" t="s">
        <v>37</v>
      </c>
      <c r="BA35" s="235">
        <v>4.9328571074236605E-2</v>
      </c>
      <c r="BB35">
        <v>1.8330119430489233E-2</v>
      </c>
      <c r="BC35">
        <v>2.4781082257361309E-3</v>
      </c>
      <c r="BD35">
        <v>2.5404967721365246E-2</v>
      </c>
      <c r="BE35">
        <v>3.9856656399880785E-2</v>
      </c>
      <c r="BF35">
        <v>2.3380541173926073E-2</v>
      </c>
      <c r="BG35">
        <v>5.3675456119153919E-2</v>
      </c>
      <c r="BH35">
        <v>2.1295902852597415E-2</v>
      </c>
      <c r="BI35">
        <v>1.2260524612739854E-2</v>
      </c>
      <c r="BJ35">
        <v>-0.13709371401144155</v>
      </c>
      <c r="BK35">
        <v>0.1408550508544979</v>
      </c>
      <c r="BL35">
        <v>9.7877736035430374E-2</v>
      </c>
      <c r="BM35" s="159">
        <v>8.210288940747601E-3</v>
      </c>
      <c r="BO35" t="s">
        <v>788</v>
      </c>
    </row>
    <row r="36" spans="1:67" ht="15.75" customHeight="1">
      <c r="A36" s="63"/>
      <c r="B36" s="524"/>
      <c r="C36" s="197" t="s">
        <v>67</v>
      </c>
      <c r="D36">
        <v>-0.1315744499675833</v>
      </c>
      <c r="E36">
        <v>-0.46279055398743701</v>
      </c>
      <c r="F36">
        <v>-0.1342788709032868</v>
      </c>
      <c r="G36">
        <v>-0.3692232473579925</v>
      </c>
      <c r="H36">
        <v>-1.485119332210696E-2</v>
      </c>
      <c r="I36">
        <v>-0.73921448840576254</v>
      </c>
      <c r="J36">
        <v>-0.73921448840576254</v>
      </c>
      <c r="K36">
        <v>-0.73921448840576254</v>
      </c>
      <c r="L36">
        <v>-8.0679560856564483E-2</v>
      </c>
      <c r="M36">
        <v>-0.54788755838749825</v>
      </c>
      <c r="N36">
        <v>-2.1798860604151541E-2</v>
      </c>
      <c r="O36">
        <v>-0.5902332250884148</v>
      </c>
      <c r="P36">
        <v>-9.4408332649358773E-2</v>
      </c>
      <c r="Q36">
        <v>-1.2045094839785719</v>
      </c>
      <c r="R36">
        <v>-8.2923451727486483E-3</v>
      </c>
      <c r="S36">
        <v>-0.44132335894821573</v>
      </c>
      <c r="T36">
        <v>-1.0038438757512149</v>
      </c>
      <c r="U36">
        <v>-2.0690099076667479</v>
      </c>
      <c r="V36">
        <v>-0.34462229281129719</v>
      </c>
      <c r="W36">
        <v>5.7678494611319492E-2</v>
      </c>
      <c r="X36">
        <v>0</v>
      </c>
      <c r="AA36" s="521"/>
      <c r="AB36" s="196" t="s">
        <v>65</v>
      </c>
      <c r="AC36">
        <v>1.399073570033349E-2</v>
      </c>
      <c r="AD36">
        <v>-1.4533529947511341E-3</v>
      </c>
      <c r="AE36">
        <v>2.287429788243589E-3</v>
      </c>
      <c r="AF36">
        <v>4.038395840650022E-2</v>
      </c>
      <c r="AG36">
        <v>6.521907327721177E-4</v>
      </c>
      <c r="AH36">
        <v>8.1683157886205393E-3</v>
      </c>
      <c r="AI36">
        <v>8.1683157886205393E-3</v>
      </c>
      <c r="AJ36">
        <v>8.1683157886205393E-3</v>
      </c>
      <c r="AK36">
        <v>4.3157551337591471E-4</v>
      </c>
      <c r="AL36">
        <v>-1.492930377065993E-3</v>
      </c>
      <c r="AM36">
        <v>3.2361611303106659E-3</v>
      </c>
      <c r="AN36">
        <v>3.3350724349048289E-3</v>
      </c>
      <c r="AO36">
        <v>5.0287026496242948E-3</v>
      </c>
      <c r="AP36">
        <v>3.7284794089824662E-3</v>
      </c>
      <c r="AQ36">
        <v>-1.006808379767188E-2</v>
      </c>
      <c r="AR36">
        <v>2.9329584445521029E-3</v>
      </c>
      <c r="AS36">
        <v>1.043833937695204E-2</v>
      </c>
      <c r="AT36">
        <v>-2.1302133682756019E-2</v>
      </c>
      <c r="AU36">
        <v>-1.449103676073316E-3</v>
      </c>
      <c r="AV36">
        <v>8.6355962579152123E-3</v>
      </c>
      <c r="AW36">
        <v>-1</v>
      </c>
      <c r="AZ36" s="400" t="s">
        <v>140</v>
      </c>
      <c r="BA36" s="235">
        <v>4.9328571074236605E-2</v>
      </c>
      <c r="BB36">
        <v>1.8330119430489233E-2</v>
      </c>
      <c r="BC36">
        <v>2.4781082257361309E-3</v>
      </c>
      <c r="BD36">
        <v>2.5404967721365246E-2</v>
      </c>
      <c r="BE36">
        <v>3.9856656399880785E-2</v>
      </c>
      <c r="BF36">
        <v>2.3380541173926073E-2</v>
      </c>
      <c r="BG36">
        <v>5.3675456119153919E-2</v>
      </c>
      <c r="BH36">
        <v>2.1295902852597415E-2</v>
      </c>
      <c r="BI36">
        <v>1.2260524612739854E-2</v>
      </c>
      <c r="BJ36">
        <v>-0.13709371401144155</v>
      </c>
      <c r="BK36">
        <v>0.1408550508544979</v>
      </c>
      <c r="BL36">
        <v>9.7877736035430374E-2</v>
      </c>
      <c r="BM36" s="159">
        <v>8.210288940747601E-3</v>
      </c>
      <c r="BO36" t="s">
        <v>789</v>
      </c>
    </row>
    <row r="37" spans="1:67" ht="15.75" customHeight="1">
      <c r="A37" s="63"/>
      <c r="B37" s="524"/>
      <c r="C37" s="197" t="s">
        <v>69</v>
      </c>
      <c r="D37">
        <v>4.2575444225437777E-2</v>
      </c>
      <c r="E37">
        <v>-0.63720307028866607</v>
      </c>
      <c r="F37">
        <v>6.1856896414483782E-2</v>
      </c>
      <c r="G37">
        <v>-8.4223143748595061E-2</v>
      </c>
      <c r="H37">
        <v>-0.15978124563430199</v>
      </c>
      <c r="I37">
        <v>-1.2445344996436019E-2</v>
      </c>
      <c r="J37">
        <v>-1.2445344996436019E-2</v>
      </c>
      <c r="K37">
        <v>-1.2445344996436019E-2</v>
      </c>
      <c r="L37">
        <v>0.108250515320576</v>
      </c>
      <c r="M37">
        <v>-0.30453026179450537</v>
      </c>
      <c r="N37">
        <v>-0.52663657018309928</v>
      </c>
      <c r="O37">
        <v>-0.75751865212839742</v>
      </c>
      <c r="P37">
        <v>-0.14149154020747459</v>
      </c>
      <c r="Q37">
        <v>-0.54461298017883686</v>
      </c>
      <c r="R37">
        <v>-7.4100204810231135E-2</v>
      </c>
      <c r="S37">
        <v>-0.69353691695076225</v>
      </c>
      <c r="T37">
        <v>-0.73852775259507064</v>
      </c>
      <c r="U37">
        <v>-0.91425233299081676</v>
      </c>
      <c r="V37">
        <v>-7.5217831053169731E-2</v>
      </c>
      <c r="W37">
        <v>-1.203556181891932</v>
      </c>
      <c r="X37">
        <v>0</v>
      </c>
      <c r="AA37" s="521"/>
      <c r="AB37" s="196" t="s">
        <v>67</v>
      </c>
      <c r="AC37">
        <v>1.7024574288073691E-3</v>
      </c>
      <c r="AD37">
        <v>-5.5632253199733306E-3</v>
      </c>
      <c r="AE37">
        <v>2.1654592260633709E-3</v>
      </c>
      <c r="AF37">
        <v>3.6860447100120597E-2</v>
      </c>
      <c r="AG37">
        <v>2.0977876997269052E-2</v>
      </c>
      <c r="AH37">
        <v>4.568972314451325E-2</v>
      </c>
      <c r="AI37">
        <v>4.568972314451325E-2</v>
      </c>
      <c r="AJ37">
        <v>4.568972314451325E-2</v>
      </c>
      <c r="AK37">
        <v>1.9401815261841589E-2</v>
      </c>
      <c r="AL37">
        <v>-7.6697298668454428E-3</v>
      </c>
      <c r="AM37">
        <v>-2.084991067138442E-3</v>
      </c>
      <c r="AN37">
        <v>1.0191997130470479E-2</v>
      </c>
      <c r="AO37">
        <v>1.4430145915200089E-2</v>
      </c>
      <c r="AP37">
        <v>-3.4371587945469789E-4</v>
      </c>
      <c r="AQ37">
        <v>-9.8658582726837141E-3</v>
      </c>
      <c r="AR37">
        <v>-1.50799281655376E-2</v>
      </c>
      <c r="AS37">
        <v>-1.175917775007862E-2</v>
      </c>
      <c r="AT37">
        <v>-3.0679018420685988E-2</v>
      </c>
      <c r="AU37">
        <v>9.2485317602397643E-3</v>
      </c>
      <c r="AV37">
        <v>9.3341568048899148E-4</v>
      </c>
      <c r="AW37">
        <v>-1</v>
      </c>
      <c r="AZ37" s="400" t="s">
        <v>48</v>
      </c>
      <c r="BA37" s="235">
        <v>4.9328571074236605E-2</v>
      </c>
      <c r="BB37">
        <v>1.8330119430489233E-2</v>
      </c>
      <c r="BC37">
        <v>2.4781082257361309E-3</v>
      </c>
      <c r="BD37">
        <v>2.5404967721365246E-2</v>
      </c>
      <c r="BE37">
        <v>3.9856656399880785E-2</v>
      </c>
      <c r="BF37">
        <v>2.3380541173926073E-2</v>
      </c>
      <c r="BG37">
        <v>5.3675456119153919E-2</v>
      </c>
      <c r="BH37">
        <v>2.1295902852597415E-2</v>
      </c>
      <c r="BI37">
        <v>1.2260524612739854E-2</v>
      </c>
      <c r="BJ37">
        <v>-0.13709371401144155</v>
      </c>
      <c r="BK37">
        <v>0.1408550508544979</v>
      </c>
      <c r="BL37">
        <v>9.7877736035430374E-2</v>
      </c>
      <c r="BM37" s="159">
        <v>8.210288940747601E-3</v>
      </c>
      <c r="BO37" s="15" t="s">
        <v>1486</v>
      </c>
    </row>
    <row r="38" spans="1:67" ht="15.75" customHeight="1">
      <c r="A38" s="63"/>
      <c r="B38" s="524"/>
      <c r="C38" s="197" t="s">
        <v>145</v>
      </c>
      <c r="D38">
        <v>-0.52811735975828267</v>
      </c>
      <c r="E38">
        <v>-0.45092013061962127</v>
      </c>
      <c r="F38">
        <v>-6.0520357928704208E-2</v>
      </c>
      <c r="G38">
        <v>0.26235766706057251</v>
      </c>
      <c r="H38">
        <v>-0.28097686560107338</v>
      </c>
      <c r="I38">
        <v>0.3124053653910579</v>
      </c>
      <c r="J38">
        <v>0.3124053653910579</v>
      </c>
      <c r="K38">
        <v>0.3124053653910579</v>
      </c>
      <c r="L38">
        <v>-9.1190138388102554E-2</v>
      </c>
      <c r="M38">
        <v>-0.29164753873080262</v>
      </c>
      <c r="N38">
        <v>-0.40894428882182171</v>
      </c>
      <c r="O38">
        <v>-0.21741375710033239</v>
      </c>
      <c r="P38">
        <v>-0.225240793825012</v>
      </c>
      <c r="Q38">
        <v>1.1159977732495201</v>
      </c>
      <c r="R38">
        <v>-6.7769523311509927E-2</v>
      </c>
      <c r="S38">
        <v>-0.90299292281797316</v>
      </c>
      <c r="T38">
        <v>4.5067356672556277E-2</v>
      </c>
      <c r="U38">
        <v>-1.042705150063401</v>
      </c>
      <c r="V38">
        <v>-8.0776099474522689E-2</v>
      </c>
      <c r="W38">
        <v>-0.62607855015307623</v>
      </c>
      <c r="X38">
        <v>0</v>
      </c>
      <c r="AA38" s="521"/>
      <c r="AB38" s="196" t="s">
        <v>69</v>
      </c>
      <c r="AC38">
        <v>1.8413712493438039E-2</v>
      </c>
      <c r="AD38">
        <v>4.032470960387835E-3</v>
      </c>
      <c r="AE38">
        <v>4.8806251541386736E-3</v>
      </c>
      <c r="AF38">
        <v>6.8328045559136852E-2</v>
      </c>
      <c r="AG38">
        <v>4.295365676902474E-3</v>
      </c>
      <c r="AH38">
        <v>3.8785776773248459E-2</v>
      </c>
      <c r="AI38">
        <v>3.8785776773248459E-2</v>
      </c>
      <c r="AJ38">
        <v>3.8785776773248459E-2</v>
      </c>
      <c r="AK38">
        <v>1.762288570215742E-2</v>
      </c>
      <c r="AL38">
        <v>1.4478122130909821E-3</v>
      </c>
      <c r="AM38">
        <v>-3.6465406922931991E-3</v>
      </c>
      <c r="AN38">
        <v>6.0327746735242549E-3</v>
      </c>
      <c r="AO38">
        <v>-2.3995680976597318E-3</v>
      </c>
      <c r="AP38">
        <v>6.7013009714216309E-3</v>
      </c>
      <c r="AQ38">
        <v>-5.9824600328575173E-3</v>
      </c>
      <c r="AR38">
        <v>-3.1024134887012171E-3</v>
      </c>
      <c r="AS38">
        <v>2.348912975950856E-3</v>
      </c>
      <c r="AT38">
        <v>-1.2012269199672019E-2</v>
      </c>
      <c r="AU38">
        <v>5.6733236037902479E-3</v>
      </c>
      <c r="AV38">
        <v>9.9284677389275267E-3</v>
      </c>
      <c r="AW38">
        <v>-1</v>
      </c>
      <c r="AZ38" s="400" t="s">
        <v>141</v>
      </c>
      <c r="BA38" s="235">
        <v>4.9328571074236605E-2</v>
      </c>
      <c r="BB38">
        <v>1.8330119430489233E-2</v>
      </c>
      <c r="BC38">
        <v>2.4781082257361309E-3</v>
      </c>
      <c r="BD38">
        <v>2.5404967721365246E-2</v>
      </c>
      <c r="BE38">
        <v>3.9856656399880785E-2</v>
      </c>
      <c r="BF38">
        <v>2.3380541173926073E-2</v>
      </c>
      <c r="BG38">
        <v>5.3675456119153919E-2</v>
      </c>
      <c r="BH38">
        <v>2.1295902852597415E-2</v>
      </c>
      <c r="BI38">
        <v>1.2260524612739854E-2</v>
      </c>
      <c r="BJ38">
        <v>-0.13709371401144155</v>
      </c>
      <c r="BK38">
        <v>0.1408550508544979</v>
      </c>
      <c r="BL38">
        <v>9.7877736035430374E-2</v>
      </c>
      <c r="BM38" s="159">
        <v>8.210288940747601E-3</v>
      </c>
    </row>
    <row r="39" spans="1:67" ht="15.75" customHeight="1">
      <c r="A39" s="63"/>
      <c r="B39" s="524"/>
      <c r="C39" s="197" t="s">
        <v>73</v>
      </c>
      <c r="D39">
        <v>0.34446373055739909</v>
      </c>
      <c r="E39">
        <v>-0.4254508452110245</v>
      </c>
      <c r="F39">
        <v>6.2542159879571499E-2</v>
      </c>
      <c r="G39">
        <v>-0.11038873857064919</v>
      </c>
      <c r="H39">
        <v>-9.257220530026726E-2</v>
      </c>
      <c r="I39">
        <v>0.13110559688505649</v>
      </c>
      <c r="J39">
        <v>0.13110559688505649</v>
      </c>
      <c r="K39">
        <v>0.13110559688505649</v>
      </c>
      <c r="L39">
        <v>0.12362101758642539</v>
      </c>
      <c r="M39">
        <v>-0.47823932851593648</v>
      </c>
      <c r="N39">
        <v>3.48133299662385E-3</v>
      </c>
      <c r="O39">
        <v>-0.58032641295524756</v>
      </c>
      <c r="P39">
        <v>4.4244290740530337E-2</v>
      </c>
      <c r="Q39">
        <v>-0.68643336544223177</v>
      </c>
      <c r="R39">
        <v>-0.1037676657437774</v>
      </c>
      <c r="S39">
        <v>-0.47527609014961192</v>
      </c>
      <c r="T39">
        <v>-0.85763946221156773</v>
      </c>
      <c r="U39">
        <v>-0.6388819874175129</v>
      </c>
      <c r="V39">
        <v>0.30629051771066912</v>
      </c>
      <c r="W39">
        <v>0.26378757347341591</v>
      </c>
      <c r="X39">
        <v>0</v>
      </c>
      <c r="AA39" s="521"/>
      <c r="AB39" s="196" t="s">
        <v>145</v>
      </c>
      <c r="AC39">
        <v>8.2723748189938995E-4</v>
      </c>
      <c r="AD39">
        <v>1.407424787458789E-2</v>
      </c>
      <c r="AE39">
        <v>1.9574112291880219E-3</v>
      </c>
      <c r="AF39">
        <v>7.4548770141536824E-2</v>
      </c>
      <c r="AG39">
        <v>3.6768053059745842E-3</v>
      </c>
      <c r="AH39">
        <v>4.8227031091291561E-2</v>
      </c>
      <c r="AI39">
        <v>4.8227031091291561E-2</v>
      </c>
      <c r="AJ39">
        <v>4.8227031091291561E-2</v>
      </c>
      <c r="AK39">
        <v>2.2524047351662139E-2</v>
      </c>
      <c r="AL39">
        <v>1.9933002243964101E-2</v>
      </c>
      <c r="AM39">
        <v>1.469169190916775E-3</v>
      </c>
      <c r="AN39">
        <v>6.5045292511476394E-3</v>
      </c>
      <c r="AO39">
        <v>3.4276442967762222E-3</v>
      </c>
      <c r="AP39">
        <v>9.3707844743347035E-3</v>
      </c>
      <c r="AQ39">
        <v>6.0038298858715589E-3</v>
      </c>
      <c r="AR39">
        <v>-2.0043974452579771E-2</v>
      </c>
      <c r="AS39">
        <v>1.6681514958609481E-2</v>
      </c>
      <c r="AT39">
        <v>-5.2661769625025334E-3</v>
      </c>
      <c r="AU39">
        <v>1.3404194840935579E-2</v>
      </c>
      <c r="AV39">
        <v>1.553056433805078E-2</v>
      </c>
      <c r="AW39">
        <v>-1</v>
      </c>
      <c r="AZ39" s="400" t="s">
        <v>142</v>
      </c>
      <c r="BA39" s="235">
        <v>4.9328571074236605E-2</v>
      </c>
      <c r="BB39">
        <v>1.8330119430489233E-2</v>
      </c>
      <c r="BC39">
        <v>2.4781082257361309E-3</v>
      </c>
      <c r="BD39">
        <v>2.5404967721365246E-2</v>
      </c>
      <c r="BE39">
        <v>3.9856656399880785E-2</v>
      </c>
      <c r="BF39">
        <v>2.3380541173926073E-2</v>
      </c>
      <c r="BG39">
        <v>5.3675456119153919E-2</v>
      </c>
      <c r="BH39">
        <v>2.1295902852597415E-2</v>
      </c>
      <c r="BI39">
        <v>1.2260524612739854E-2</v>
      </c>
      <c r="BJ39">
        <v>-0.13709371401144155</v>
      </c>
      <c r="BK39">
        <v>0.1408550508544979</v>
      </c>
      <c r="BL39">
        <v>9.7877736035430374E-2</v>
      </c>
      <c r="BM39" s="159">
        <v>8.210288940747601E-3</v>
      </c>
    </row>
    <row r="40" spans="1:67" ht="15.75" customHeight="1">
      <c r="A40" s="63"/>
      <c r="B40" s="524"/>
      <c r="C40" s="197" t="s">
        <v>75</v>
      </c>
      <c r="D40">
        <v>1.376725507103174E-2</v>
      </c>
      <c r="E40">
        <v>-0.40980720445816798</v>
      </c>
      <c r="F40">
        <v>3.2451360635463992E-2</v>
      </c>
      <c r="G40">
        <v>0.21121372015627979</v>
      </c>
      <c r="H40">
        <v>-3.2671531660595499E-2</v>
      </c>
      <c r="I40">
        <v>-0.1803878769514389</v>
      </c>
      <c r="J40">
        <v>-0.1803878769514389</v>
      </c>
      <c r="K40">
        <v>-0.1803878769514389</v>
      </c>
      <c r="L40">
        <v>5.491182161044212E-2</v>
      </c>
      <c r="M40">
        <v>3.0886579034057952E-2</v>
      </c>
      <c r="N40">
        <v>-2.680415978030622E-2</v>
      </c>
      <c r="O40">
        <v>-8.260679954395983E-2</v>
      </c>
      <c r="P40">
        <v>-9.2595312982678521E-2</v>
      </c>
      <c r="Q40">
        <v>0.38788586424140092</v>
      </c>
      <c r="R40">
        <v>4.1196354320783023E-2</v>
      </c>
      <c r="S40">
        <v>-0.1165081856437383</v>
      </c>
      <c r="T40">
        <v>-0.27310022893941632</v>
      </c>
      <c r="U40">
        <v>-0.81788434270484189</v>
      </c>
      <c r="V40">
        <v>8.2013665165789951E-2</v>
      </c>
      <c r="W40">
        <v>1.155325332366522</v>
      </c>
      <c r="X40">
        <v>0</v>
      </c>
      <c r="AA40" s="521"/>
      <c r="AB40" s="196" t="s">
        <v>73</v>
      </c>
      <c r="AC40">
        <v>3.1607916137152081E-2</v>
      </c>
      <c r="AD40">
        <v>6.157323194756481E-3</v>
      </c>
      <c r="AE40">
        <v>1.002980555262689E-2</v>
      </c>
      <c r="AF40">
        <v>8.6045347315668819E-2</v>
      </c>
      <c r="AG40">
        <v>1.0824766719148121E-2</v>
      </c>
      <c r="AH40">
        <v>5.4804723767077901E-2</v>
      </c>
      <c r="AI40">
        <v>5.4804723767077901E-2</v>
      </c>
      <c r="AJ40">
        <v>5.4804723767077901E-2</v>
      </c>
      <c r="AK40">
        <v>1.9978873976002069E-2</v>
      </c>
      <c r="AL40">
        <v>3.0974930427598139E-2</v>
      </c>
      <c r="AM40">
        <v>1.595020940679426E-3</v>
      </c>
      <c r="AN40">
        <v>2.7689298099685011E-2</v>
      </c>
      <c r="AO40">
        <v>2.103486241137564E-2</v>
      </c>
      <c r="AP40">
        <v>7.136322341093404E-3</v>
      </c>
      <c r="AQ40">
        <v>1.901177659958897E-3</v>
      </c>
      <c r="AR40">
        <v>5.1314456003490596E-3</v>
      </c>
      <c r="AS40">
        <v>2.182385455000713E-2</v>
      </c>
      <c r="AT40">
        <v>9.6604504508066569E-3</v>
      </c>
      <c r="AU40">
        <v>1.6697773547272639E-2</v>
      </c>
      <c r="AV40">
        <v>2.1105325891588981E-2</v>
      </c>
      <c r="AW40">
        <v>-1</v>
      </c>
      <c r="AZ40" s="400" t="s">
        <v>143</v>
      </c>
      <c r="BA40" s="235">
        <v>4.9328571074236605E-2</v>
      </c>
      <c r="BB40">
        <v>1.8330119430489233E-2</v>
      </c>
      <c r="BC40">
        <v>2.4781082257361309E-3</v>
      </c>
      <c r="BD40">
        <v>2.5404967721365246E-2</v>
      </c>
      <c r="BE40">
        <v>3.9856656399880785E-2</v>
      </c>
      <c r="BF40">
        <v>2.3380541173926073E-2</v>
      </c>
      <c r="BG40">
        <v>5.3675456119153919E-2</v>
      </c>
      <c r="BH40">
        <v>2.1295902852597415E-2</v>
      </c>
      <c r="BI40">
        <v>1.2260524612739854E-2</v>
      </c>
      <c r="BJ40">
        <v>-0.13709371401144155</v>
      </c>
      <c r="BK40">
        <v>0.1408550508544979</v>
      </c>
      <c r="BL40">
        <v>9.7877736035430374E-2</v>
      </c>
      <c r="BM40" s="159">
        <v>8.210288940747601E-3</v>
      </c>
    </row>
    <row r="41" spans="1:67" ht="15.75" customHeight="1">
      <c r="A41" s="63"/>
      <c r="B41" s="524"/>
      <c r="C41" s="197" t="s">
        <v>146</v>
      </c>
      <c r="D41">
        <v>-0.20735250833469901</v>
      </c>
      <c r="E41">
        <v>-0.68822632008994433</v>
      </c>
      <c r="F41">
        <v>-0.1009230205824781</v>
      </c>
      <c r="G41">
        <v>-0.35873661196071471</v>
      </c>
      <c r="H41">
        <v>3.5570167642387678E-2</v>
      </c>
      <c r="I41">
        <v>-0.33787086083820411</v>
      </c>
      <c r="J41">
        <v>-0.33787086083820411</v>
      </c>
      <c r="K41">
        <v>-0.33787086083820411</v>
      </c>
      <c r="L41">
        <v>-8.5357936160456671E-2</v>
      </c>
      <c r="M41">
        <v>-0.40082865060179429</v>
      </c>
      <c r="N41">
        <v>-0.3630491196044402</v>
      </c>
      <c r="O41">
        <v>-0.56313029135153203</v>
      </c>
      <c r="P41">
        <v>-0.1917768284100084</v>
      </c>
      <c r="Q41">
        <v>-1.243274017996651</v>
      </c>
      <c r="R41">
        <v>-0.15077740569941231</v>
      </c>
      <c r="S41">
        <v>-1.6403232527123051</v>
      </c>
      <c r="T41">
        <v>-1.754726674344198</v>
      </c>
      <c r="U41">
        <v>-1.7431270615813961</v>
      </c>
      <c r="V41">
        <v>-0.62445567516359257</v>
      </c>
      <c r="W41">
        <v>-2.898400376060126E-2</v>
      </c>
      <c r="X41">
        <v>0</v>
      </c>
      <c r="AA41" s="521"/>
      <c r="AB41" s="196" t="s">
        <v>75</v>
      </c>
      <c r="AC41">
        <v>1.300759206150914E-2</v>
      </c>
      <c r="AD41">
        <v>-3.1401250776504912E-3</v>
      </c>
      <c r="AE41">
        <v>9.5789915940338588E-3</v>
      </c>
      <c r="AF41">
        <v>5.062214129785092E-2</v>
      </c>
      <c r="AG41">
        <v>1.504948297693676E-2</v>
      </c>
      <c r="AH41">
        <v>2.663929638690354E-2</v>
      </c>
      <c r="AI41">
        <v>2.663929638690354E-2</v>
      </c>
      <c r="AJ41">
        <v>2.663929638690354E-2</v>
      </c>
      <c r="AK41">
        <v>1.126424866918407E-2</v>
      </c>
      <c r="AL41">
        <v>1.255305220627112E-2</v>
      </c>
      <c r="AM41">
        <v>-5.5843993097985933E-3</v>
      </c>
      <c r="AN41">
        <v>-3.6468389498822701E-4</v>
      </c>
      <c r="AO41">
        <v>7.5983407527036029E-3</v>
      </c>
      <c r="AP41">
        <v>1.9434990532846141E-2</v>
      </c>
      <c r="AQ41">
        <v>-4.1366540448980471E-3</v>
      </c>
      <c r="AR41">
        <v>1.8794515162348091E-3</v>
      </c>
      <c r="AS41">
        <v>2.338986474005322E-2</v>
      </c>
      <c r="AT41">
        <v>-1.335937471125592E-3</v>
      </c>
      <c r="AU41">
        <v>2.6972425231329918E-2</v>
      </c>
      <c r="AV41">
        <v>2.0206518558168799E-2</v>
      </c>
      <c r="AW41">
        <v>-1</v>
      </c>
      <c r="AZ41" s="400" t="s">
        <v>144</v>
      </c>
      <c r="BA41" s="235">
        <v>4.9328571074236605E-2</v>
      </c>
      <c r="BB41">
        <v>1.8330119430489233E-2</v>
      </c>
      <c r="BC41">
        <v>2.4781082257361309E-3</v>
      </c>
      <c r="BD41">
        <v>2.5404967721365246E-2</v>
      </c>
      <c r="BE41">
        <v>3.9856656399880785E-2</v>
      </c>
      <c r="BF41">
        <v>2.3380541173926073E-2</v>
      </c>
      <c r="BG41">
        <v>5.3675456119153919E-2</v>
      </c>
      <c r="BH41">
        <v>2.1295902852597415E-2</v>
      </c>
      <c r="BI41">
        <v>1.2260524612739854E-2</v>
      </c>
      <c r="BJ41">
        <v>-0.13709371401144155</v>
      </c>
      <c r="BK41">
        <v>0.1408550508544979</v>
      </c>
      <c r="BL41">
        <v>9.7877736035430374E-2</v>
      </c>
      <c r="BM41" s="159">
        <v>8.210288940747601E-3</v>
      </c>
    </row>
    <row r="42" spans="1:67" ht="15.75" customHeight="1">
      <c r="A42" s="63"/>
      <c r="B42" s="524"/>
      <c r="C42" s="197" t="s">
        <v>83</v>
      </c>
      <c r="D42">
        <v>-0.55513764999054871</v>
      </c>
      <c r="E42">
        <v>-1.1012009588552829</v>
      </c>
      <c r="F42">
        <v>-0.90488514149676436</v>
      </c>
      <c r="G42">
        <v>-0.36944417128332618</v>
      </c>
      <c r="H42">
        <v>-0.29820515833897421</v>
      </c>
      <c r="I42">
        <v>-1.3601618091469601</v>
      </c>
      <c r="J42">
        <v>-1.3601618091469601</v>
      </c>
      <c r="K42">
        <v>-1.3601618091469601</v>
      </c>
      <c r="L42">
        <v>-0.97286377426738824</v>
      </c>
      <c r="M42">
        <v>0.31429788970031192</v>
      </c>
      <c r="N42">
        <v>-0.24341330018266821</v>
      </c>
      <c r="O42">
        <v>-0.77571889000336114</v>
      </c>
      <c r="P42">
        <v>-0.45186222947972099</v>
      </c>
      <c r="Q42">
        <v>-0.41021138991925049</v>
      </c>
      <c r="R42">
        <v>-5.3597882653282608E-2</v>
      </c>
      <c r="S42">
        <v>-1.4208943131932259</v>
      </c>
      <c r="T42">
        <v>0.41812769413917777</v>
      </c>
      <c r="U42">
        <v>-1.927799571299635</v>
      </c>
      <c r="V42">
        <v>-0.35086797870652808</v>
      </c>
      <c r="W42">
        <v>-0.33390196086495638</v>
      </c>
      <c r="X42">
        <v>0</v>
      </c>
      <c r="AA42" s="521"/>
      <c r="AB42" s="196" t="s">
        <v>146</v>
      </c>
      <c r="AC42">
        <v>1.2721631939512699E-2</v>
      </c>
      <c r="AD42">
        <v>-2.6705187430054012E-2</v>
      </c>
      <c r="AE42">
        <v>7.6499845564768076E-3</v>
      </c>
      <c r="AF42">
        <v>2.8494719535533179E-2</v>
      </c>
      <c r="AG42">
        <v>1.411682968267769E-3</v>
      </c>
      <c r="AH42">
        <v>7.2945929790677599E-3</v>
      </c>
      <c r="AI42">
        <v>7.2945929790677599E-3</v>
      </c>
      <c r="AJ42">
        <v>7.2945929790677599E-3</v>
      </c>
      <c r="AK42">
        <v>1.566844291167668E-2</v>
      </c>
      <c r="AL42">
        <v>6.4353055718302521E-4</v>
      </c>
      <c r="AM42">
        <v>-8.4207856473985654E-3</v>
      </c>
      <c r="AN42">
        <v>-7.884989158680078E-3</v>
      </c>
      <c r="AO42">
        <v>-1.6711024521135489E-3</v>
      </c>
      <c r="AP42">
        <v>-6.2566421341437861E-3</v>
      </c>
      <c r="AQ42">
        <v>-1.211446610103217E-2</v>
      </c>
      <c r="AR42">
        <v>-2.7175240179704411E-2</v>
      </c>
      <c r="AS42">
        <v>-5.2131808751610942E-3</v>
      </c>
      <c r="AT42">
        <v>-2.002585283104763E-2</v>
      </c>
      <c r="AU42">
        <v>3.0485099445671788E-3</v>
      </c>
      <c r="AV42">
        <v>1.4918389189626961E-2</v>
      </c>
      <c r="AW42">
        <v>-1</v>
      </c>
      <c r="AZ42" s="400" t="s">
        <v>61</v>
      </c>
      <c r="BA42" s="235">
        <v>4.9328571074236605E-2</v>
      </c>
      <c r="BB42">
        <v>1.8330119430489233E-2</v>
      </c>
      <c r="BC42">
        <v>2.4781082257361309E-3</v>
      </c>
      <c r="BD42">
        <v>2.5404967721365246E-2</v>
      </c>
      <c r="BE42">
        <v>3.9856656399880785E-2</v>
      </c>
      <c r="BF42">
        <v>2.3380541173926073E-2</v>
      </c>
      <c r="BG42">
        <v>5.3675456119153919E-2</v>
      </c>
      <c r="BH42">
        <v>2.1295902852597415E-2</v>
      </c>
      <c r="BI42">
        <v>1.2260524612739854E-2</v>
      </c>
      <c r="BJ42">
        <v>-0.13709371401144155</v>
      </c>
      <c r="BK42">
        <v>0.1408550508544979</v>
      </c>
      <c r="BL42">
        <v>9.7877736035430374E-2</v>
      </c>
      <c r="BM42" s="159">
        <v>8.210288940747601E-3</v>
      </c>
    </row>
    <row r="43" spans="1:67" ht="15.75" customHeight="1">
      <c r="A43" s="63"/>
      <c r="B43" s="524"/>
      <c r="C43" s="197" t="s">
        <v>85</v>
      </c>
      <c r="D43">
        <v>0.29928769476508121</v>
      </c>
      <c r="E43">
        <v>-0.8787976406276421</v>
      </c>
      <c r="F43">
        <v>0.1029683233519962</v>
      </c>
      <c r="G43">
        <v>-0.3124184519807604</v>
      </c>
      <c r="H43">
        <v>-0.16882794923538619</v>
      </c>
      <c r="I43">
        <v>-0.31717495245431832</v>
      </c>
      <c r="J43">
        <v>-0.31717495245431832</v>
      </c>
      <c r="K43">
        <v>-0.31717495245431832</v>
      </c>
      <c r="L43">
        <v>-0.31283087484680261</v>
      </c>
      <c r="M43">
        <v>-0.53540796102536692</v>
      </c>
      <c r="N43">
        <v>-0.31017425573824953</v>
      </c>
      <c r="O43">
        <v>-0.22209054242134421</v>
      </c>
      <c r="P43">
        <v>0.1823904862735759</v>
      </c>
      <c r="Q43">
        <v>0.80928393893102102</v>
      </c>
      <c r="R43">
        <v>-7.6380903899910105E-2</v>
      </c>
      <c r="S43">
        <v>-0.42981098081791891</v>
      </c>
      <c r="T43">
        <v>2.7477114427157331E-2</v>
      </c>
      <c r="U43">
        <v>-0.92086594897604768</v>
      </c>
      <c r="V43">
        <v>-0.53712226063496504</v>
      </c>
      <c r="W43">
        <v>1.2543452584058621</v>
      </c>
      <c r="X43">
        <v>0</v>
      </c>
      <c r="AA43" s="521"/>
      <c r="AB43" s="196" t="s">
        <v>83</v>
      </c>
      <c r="AC43">
        <v>-2.320419950437724E-2</v>
      </c>
      <c r="AD43">
        <v>-5.6924706601398922E-2</v>
      </c>
      <c r="AE43">
        <v>-3.713742104815454E-2</v>
      </c>
      <c r="AF43">
        <v>4.2936763881911144E-3</v>
      </c>
      <c r="AG43">
        <v>-1.7133751849990438E-2</v>
      </c>
      <c r="AH43">
        <v>-5.9464500684338173E-2</v>
      </c>
      <c r="AI43">
        <v>-5.9464500684338173E-2</v>
      </c>
      <c r="AJ43">
        <v>-5.9464500684338173E-2</v>
      </c>
      <c r="AK43">
        <v>-3.3252260656722273E-2</v>
      </c>
      <c r="AL43">
        <v>-2.7337282935326671E-2</v>
      </c>
      <c r="AM43">
        <v>-1.9274732780012131E-2</v>
      </c>
      <c r="AN43">
        <v>-3.902816059052383E-2</v>
      </c>
      <c r="AO43">
        <v>-2.696217379198618E-2</v>
      </c>
      <c r="AP43">
        <v>-4.6197443543709138E-2</v>
      </c>
      <c r="AQ43">
        <v>-1.7385916275345688E-2</v>
      </c>
      <c r="AR43">
        <v>-6.3686483031585528E-2</v>
      </c>
      <c r="AS43">
        <v>-1.218205418620044E-2</v>
      </c>
      <c r="AT43">
        <v>-5.9780431671202387E-2</v>
      </c>
      <c r="AU43">
        <v>-1.297075513379675E-2</v>
      </c>
      <c r="AV43">
        <v>-1.167956240496448E-2</v>
      </c>
      <c r="AW43">
        <v>-1</v>
      </c>
      <c r="AZ43" s="400" t="s">
        <v>63</v>
      </c>
      <c r="BA43" s="235">
        <v>4.9328571074236605E-2</v>
      </c>
      <c r="BB43">
        <v>1.8330119430489233E-2</v>
      </c>
      <c r="BC43">
        <v>2.4781082257361309E-3</v>
      </c>
      <c r="BD43">
        <v>2.5404967721365246E-2</v>
      </c>
      <c r="BE43">
        <v>3.9856656399880785E-2</v>
      </c>
      <c r="BF43">
        <v>2.3380541173926073E-2</v>
      </c>
      <c r="BG43">
        <v>5.3675456119153919E-2</v>
      </c>
      <c r="BH43">
        <v>2.1295902852597415E-2</v>
      </c>
      <c r="BI43">
        <v>1.2260524612739854E-2</v>
      </c>
      <c r="BJ43">
        <v>-0.13709371401144155</v>
      </c>
      <c r="BK43">
        <v>0.1408550508544979</v>
      </c>
      <c r="BL43">
        <v>9.7877736035430374E-2</v>
      </c>
      <c r="BM43" s="159">
        <v>8.210288940747601E-3</v>
      </c>
    </row>
    <row r="44" spans="1:67" ht="15.75" customHeight="1">
      <c r="A44" s="63"/>
      <c r="B44" s="524"/>
      <c r="C44" s="197" t="s">
        <v>88</v>
      </c>
      <c r="D44">
        <v>0.50739039089982563</v>
      </c>
      <c r="E44">
        <v>-0.85588719103012001</v>
      </c>
      <c r="F44">
        <v>0.27346089588818878</v>
      </c>
      <c r="G44">
        <v>-0.50702669647158238</v>
      </c>
      <c r="H44">
        <v>-0.1070898714830523</v>
      </c>
      <c r="I44">
        <v>-0.35401732332183439</v>
      </c>
      <c r="J44">
        <v>-0.35401732332183439</v>
      </c>
      <c r="K44">
        <v>-0.35401732332183439</v>
      </c>
      <c r="L44">
        <v>-2.6394459191340799E-2</v>
      </c>
      <c r="M44">
        <v>-0.15170450988750531</v>
      </c>
      <c r="N44">
        <v>0.1075610716635888</v>
      </c>
      <c r="O44">
        <v>-0.40905038977547059</v>
      </c>
      <c r="P44">
        <v>8.2485588213868505E-2</v>
      </c>
      <c r="Q44">
        <v>1.901851475156898</v>
      </c>
      <c r="R44">
        <v>-1.6960165861099989E-2</v>
      </c>
      <c r="S44">
        <v>-1.143467145086186</v>
      </c>
      <c r="T44">
        <v>0.30762405657702591</v>
      </c>
      <c r="U44">
        <v>-0.63465469658163531</v>
      </c>
      <c r="V44">
        <v>-0.14975742462617339</v>
      </c>
      <c r="W44">
        <v>-4.8857575192619379E-2</v>
      </c>
      <c r="X44">
        <v>0</v>
      </c>
      <c r="AA44" s="521"/>
      <c r="AB44" s="196" t="s">
        <v>85</v>
      </c>
      <c r="AC44">
        <v>2.205693563117328E-2</v>
      </c>
      <c r="AD44">
        <v>-3.272827115839605E-2</v>
      </c>
      <c r="AE44">
        <v>-9.0777627027066599E-3</v>
      </c>
      <c r="AF44">
        <v>3.4432398689609567E-2</v>
      </c>
      <c r="AG44">
        <v>5.0852836536054991E-3</v>
      </c>
      <c r="AH44">
        <v>3.2736932775156991E-3</v>
      </c>
      <c r="AI44">
        <v>3.2736932775156991E-3</v>
      </c>
      <c r="AJ44">
        <v>3.2736932775156991E-3</v>
      </c>
      <c r="AK44">
        <v>2.7757676065809371E-3</v>
      </c>
      <c r="AL44">
        <v>-7.8325105086175517E-3</v>
      </c>
      <c r="AM44">
        <v>-2.2722497003389911E-2</v>
      </c>
      <c r="AN44">
        <v>-8.9986905274598294E-3</v>
      </c>
      <c r="AO44">
        <v>7.990295019602911E-3</v>
      </c>
      <c r="AP44">
        <v>8.8138657270531162E-4</v>
      </c>
      <c r="AQ44">
        <v>-2.552502221979247E-2</v>
      </c>
      <c r="AR44">
        <v>-1.5976174675188859E-2</v>
      </c>
      <c r="AS44">
        <v>-1.3851189744847449E-2</v>
      </c>
      <c r="AT44">
        <v>-2.1789014908589088E-2</v>
      </c>
      <c r="AU44">
        <v>-7.008981405026149E-3</v>
      </c>
      <c r="AV44">
        <v>1.499290278224263E-3</v>
      </c>
      <c r="AW44">
        <v>-1</v>
      </c>
      <c r="AZ44" s="400" t="s">
        <v>65</v>
      </c>
      <c r="BA44" s="235">
        <v>4.9328571074236605E-2</v>
      </c>
      <c r="BB44">
        <v>1.8330119430489233E-2</v>
      </c>
      <c r="BC44">
        <v>2.4781082257361309E-3</v>
      </c>
      <c r="BD44">
        <v>2.5404967721365246E-2</v>
      </c>
      <c r="BE44">
        <v>3.9856656399880785E-2</v>
      </c>
      <c r="BF44">
        <v>2.3380541173926073E-2</v>
      </c>
      <c r="BG44">
        <v>5.3675456119153919E-2</v>
      </c>
      <c r="BH44">
        <v>2.1295902852597415E-2</v>
      </c>
      <c r="BI44">
        <v>1.2260524612739854E-2</v>
      </c>
      <c r="BJ44">
        <v>-0.13709371401144155</v>
      </c>
      <c r="BK44">
        <v>0.1408550508544979</v>
      </c>
      <c r="BL44">
        <v>9.7877736035430374E-2</v>
      </c>
      <c r="BM44" s="159">
        <v>8.210288940747601E-3</v>
      </c>
    </row>
    <row r="45" spans="1:67" ht="15.75" customHeight="1">
      <c r="A45" s="63"/>
      <c r="B45" s="524"/>
      <c r="C45" s="197" t="s">
        <v>147</v>
      </c>
      <c r="D45">
        <v>-1.2267165526846551</v>
      </c>
      <c r="E45">
        <v>-0.95266798674259745</v>
      </c>
      <c r="F45">
        <v>0.14306345691820299</v>
      </c>
      <c r="G45">
        <v>-0.83827824079993207</v>
      </c>
      <c r="H45">
        <v>-1.07452489582721</v>
      </c>
      <c r="I45">
        <v>-0.26454942162274669</v>
      </c>
      <c r="J45">
        <v>-0.26454942162274669</v>
      </c>
      <c r="K45">
        <v>-0.26454942162274669</v>
      </c>
      <c r="L45">
        <v>-0.3438538976116986</v>
      </c>
      <c r="M45">
        <v>-0.55255967769750336</v>
      </c>
      <c r="N45">
        <v>-1.302339167576275</v>
      </c>
      <c r="O45">
        <v>-1.0746964212292609</v>
      </c>
      <c r="P45">
        <v>-1.4528267516713249</v>
      </c>
      <c r="Q45">
        <v>-1.5601498585566089</v>
      </c>
      <c r="R45">
        <v>-1.2047725405208869</v>
      </c>
      <c r="S45">
        <v>-2.3968238796214831</v>
      </c>
      <c r="T45">
        <v>1.134876959198837</v>
      </c>
      <c r="U45">
        <v>-1.41265141132635</v>
      </c>
      <c r="V45">
        <v>0.19949834398780081</v>
      </c>
      <c r="W45">
        <v>26.634735181506048</v>
      </c>
      <c r="X45">
        <v>0</v>
      </c>
      <c r="AA45" s="521"/>
      <c r="AB45" s="196" t="s">
        <v>88</v>
      </c>
      <c r="AC45">
        <v>4.6914826761477402E-2</v>
      </c>
      <c r="AD45">
        <v>-1.376592372987062E-2</v>
      </c>
      <c r="AE45">
        <v>1.072827537786991E-2</v>
      </c>
      <c r="AF45">
        <v>3.4486552365389223E-2</v>
      </c>
      <c r="AG45">
        <v>1.626318788591052E-2</v>
      </c>
      <c r="AH45">
        <v>1.5250019400930631E-2</v>
      </c>
      <c r="AI45">
        <v>1.5250019400930631E-2</v>
      </c>
      <c r="AJ45">
        <v>1.5250019400930631E-2</v>
      </c>
      <c r="AK45">
        <v>6.7117740663085179E-3</v>
      </c>
      <c r="AL45">
        <v>4.8858594009044687E-3</v>
      </c>
      <c r="AM45">
        <v>8.4332552212562639E-4</v>
      </c>
      <c r="AN45">
        <v>1.4246710078027469E-2</v>
      </c>
      <c r="AO45">
        <v>3.9282158392333066E-3</v>
      </c>
      <c r="AP45">
        <v>7.9713264037755138E-3</v>
      </c>
      <c r="AQ45">
        <v>3.8600453314787671E-3</v>
      </c>
      <c r="AR45">
        <v>-9.20437562592058E-3</v>
      </c>
      <c r="AS45">
        <v>4.0187744711865916E-3</v>
      </c>
      <c r="AT45">
        <v>-1.144412474994194E-3</v>
      </c>
      <c r="AU45">
        <v>1.0980814400998851E-2</v>
      </c>
      <c r="AV45">
        <v>1.5340289011463559E-2</v>
      </c>
      <c r="AW45">
        <v>-1</v>
      </c>
      <c r="AZ45" s="400" t="s">
        <v>67</v>
      </c>
      <c r="BA45" s="235">
        <v>4.9328571074236605E-2</v>
      </c>
      <c r="BB45">
        <v>1.8330119430489233E-2</v>
      </c>
      <c r="BC45">
        <v>2.4781082257361309E-3</v>
      </c>
      <c r="BD45">
        <v>2.5404967721365246E-2</v>
      </c>
      <c r="BE45">
        <v>3.9856656399880785E-2</v>
      </c>
      <c r="BF45">
        <v>2.3380541173926073E-2</v>
      </c>
      <c r="BG45">
        <v>5.3675456119153919E-2</v>
      </c>
      <c r="BH45">
        <v>2.1295902852597415E-2</v>
      </c>
      <c r="BI45">
        <v>1.2260524612739854E-2</v>
      </c>
      <c r="BJ45">
        <v>-0.13709371401144155</v>
      </c>
      <c r="BK45">
        <v>0.1408550508544979</v>
      </c>
      <c r="BL45">
        <v>9.7877736035430374E-2</v>
      </c>
      <c r="BM45" s="159">
        <v>8.210288940747601E-3</v>
      </c>
    </row>
    <row r="46" spans="1:67" ht="15.75" customHeight="1">
      <c r="A46" s="63"/>
      <c r="B46" s="524" t="s">
        <v>744</v>
      </c>
      <c r="C46" s="197" t="s">
        <v>139</v>
      </c>
      <c r="D46">
        <v>0.50139627942496456</v>
      </c>
      <c r="E46">
        <v>1.98072770539291</v>
      </c>
      <c r="F46">
        <v>0.14326570527947169</v>
      </c>
      <c r="G46">
        <v>2.6043716600216378</v>
      </c>
      <c r="H46">
        <v>0.55832763239226046</v>
      </c>
      <c r="I46">
        <v>3.5350003797926162</v>
      </c>
      <c r="J46">
        <v>3.5350003797926162</v>
      </c>
      <c r="K46">
        <v>3.5350003797926162</v>
      </c>
      <c r="L46">
        <v>1.998286555370858</v>
      </c>
      <c r="M46">
        <v>0.57557645962236625</v>
      </c>
      <c r="N46">
        <v>0.33630232501195378</v>
      </c>
      <c r="O46">
        <v>2.364387848445674</v>
      </c>
      <c r="P46">
        <v>2.0899994850247778</v>
      </c>
      <c r="Q46">
        <v>0.566491742975331</v>
      </c>
      <c r="R46">
        <v>1.7011643848168041</v>
      </c>
      <c r="S46">
        <v>2.7533760788014789</v>
      </c>
      <c r="T46">
        <v>0.39008430461102889</v>
      </c>
      <c r="U46">
        <v>3.0191439725918752</v>
      </c>
      <c r="V46">
        <v>2.4750361937829761</v>
      </c>
      <c r="W46">
        <v>0.19789898367476569</v>
      </c>
      <c r="X46">
        <v>0</v>
      </c>
      <c r="AA46" s="532"/>
      <c r="AB46" s="196" t="s">
        <v>147</v>
      </c>
      <c r="AC46">
        <v>3.5177631033808998E-2</v>
      </c>
      <c r="AD46">
        <v>-2.322121475634276E-2</v>
      </c>
      <c r="AE46">
        <v>-3.3520787671489471E-2</v>
      </c>
      <c r="AF46">
        <v>5.0748449012959718E-2</v>
      </c>
      <c r="AG46">
        <v>-3.118732507993727E-2</v>
      </c>
      <c r="AH46">
        <v>-2.1822144652439261E-2</v>
      </c>
      <c r="AI46">
        <v>-2.1822144652439261E-2</v>
      </c>
      <c r="AJ46">
        <v>-2.1822144652439261E-2</v>
      </c>
      <c r="AK46">
        <v>-6.7677150276072018E-3</v>
      </c>
      <c r="AL46">
        <v>2.6651021526531431E-3</v>
      </c>
      <c r="AM46">
        <v>-2.9734550481866129E-2</v>
      </c>
      <c r="AN46">
        <v>-4.4858033416719227E-2</v>
      </c>
      <c r="AO46">
        <v>-1.555518216410556E-2</v>
      </c>
      <c r="AP46">
        <v>-1.038315650424293E-2</v>
      </c>
      <c r="AQ46">
        <v>-0.12581209581737149</v>
      </c>
      <c r="AR46">
        <v>1.1523587326690791E-2</v>
      </c>
      <c r="AS46">
        <v>-6.8503177160692541E-3</v>
      </c>
      <c r="AT46">
        <v>-5.6855890481199663E-2</v>
      </c>
      <c r="AU46">
        <v>1.6369396427107219E-3</v>
      </c>
      <c r="AV46">
        <v>-5.6634645742031593E-2</v>
      </c>
      <c r="AW46">
        <v>-1</v>
      </c>
      <c r="AZ46" s="400" t="s">
        <v>69</v>
      </c>
      <c r="BA46" s="235">
        <v>4.9328571074236605E-2</v>
      </c>
      <c r="BB46">
        <v>1.8330119430489233E-2</v>
      </c>
      <c r="BC46">
        <v>2.4781082257361309E-3</v>
      </c>
      <c r="BD46">
        <v>2.5404967721365246E-2</v>
      </c>
      <c r="BE46">
        <v>3.9856656399880785E-2</v>
      </c>
      <c r="BF46">
        <v>2.3380541173926073E-2</v>
      </c>
      <c r="BG46">
        <v>5.3675456119153919E-2</v>
      </c>
      <c r="BH46">
        <v>2.1295902852597415E-2</v>
      </c>
      <c r="BI46">
        <v>1.2260524612739854E-2</v>
      </c>
      <c r="BJ46">
        <v>-0.13709371401144155</v>
      </c>
      <c r="BK46">
        <v>0.1408550508544979</v>
      </c>
      <c r="BL46">
        <v>9.7877736035430374E-2</v>
      </c>
      <c r="BM46" s="159">
        <v>8.210288940747601E-3</v>
      </c>
    </row>
    <row r="47" spans="1:67" ht="15.75" customHeight="1">
      <c r="A47" s="63"/>
      <c r="B47" s="524"/>
      <c r="C47" s="197" t="s">
        <v>37</v>
      </c>
      <c r="D47">
        <v>1.6419044841812049</v>
      </c>
      <c r="E47">
        <v>1.260658253708846</v>
      </c>
      <c r="F47">
        <v>0.99340577601750146</v>
      </c>
      <c r="G47">
        <v>1.1952016720726979</v>
      </c>
      <c r="H47">
        <v>2.9792401330339349</v>
      </c>
      <c r="I47">
        <v>1.298862895762593</v>
      </c>
      <c r="J47">
        <v>1.298862895762593</v>
      </c>
      <c r="K47">
        <v>1.298862895762593</v>
      </c>
      <c r="L47">
        <v>3.996024234843464</v>
      </c>
      <c r="M47">
        <v>1.515713131998095</v>
      </c>
      <c r="N47">
        <v>1.5815796791888559</v>
      </c>
      <c r="O47">
        <v>2.2924877500400149</v>
      </c>
      <c r="P47">
        <v>3.1473782579850109</v>
      </c>
      <c r="Q47">
        <v>1.306277298787325</v>
      </c>
      <c r="R47">
        <v>4.0833035510023796</v>
      </c>
      <c r="S47">
        <v>4.8161779783144762</v>
      </c>
      <c r="T47">
        <v>2.7521666360445982</v>
      </c>
      <c r="U47">
        <v>3.0411438922318181</v>
      </c>
      <c r="V47">
        <v>3.6839121016927678</v>
      </c>
      <c r="W47">
        <v>5.736643120909358</v>
      </c>
      <c r="X47">
        <v>0</v>
      </c>
      <c r="AA47" s="229"/>
      <c r="AB47" s="230"/>
      <c r="AC47" s="194"/>
      <c r="AD47" s="194"/>
      <c r="AE47" s="194"/>
      <c r="AF47" s="194"/>
      <c r="AG47" s="194"/>
      <c r="AH47" s="194"/>
      <c r="AI47" s="194"/>
      <c r="AJ47" s="194"/>
      <c r="AK47" s="194"/>
      <c r="AL47" s="194"/>
      <c r="AM47" s="194"/>
      <c r="AN47" s="194"/>
      <c r="AO47" s="194"/>
      <c r="AP47" s="194"/>
      <c r="AQ47" s="194"/>
      <c r="AR47" s="194"/>
      <c r="AS47" s="194"/>
      <c r="AT47" s="194"/>
      <c r="AU47" s="194"/>
      <c r="AV47" s="194"/>
      <c r="AW47" s="194"/>
      <c r="AZ47" s="400" t="s">
        <v>145</v>
      </c>
      <c r="BA47" s="235">
        <v>4.9328571074236605E-2</v>
      </c>
      <c r="BB47">
        <v>1.8330119430489233E-2</v>
      </c>
      <c r="BC47">
        <v>2.4781082257361309E-3</v>
      </c>
      <c r="BD47">
        <v>2.5404967721365246E-2</v>
      </c>
      <c r="BE47">
        <v>3.9856656399880785E-2</v>
      </c>
      <c r="BF47">
        <v>2.3380541173926073E-2</v>
      </c>
      <c r="BG47">
        <v>5.3675456119153919E-2</v>
      </c>
      <c r="BH47">
        <v>2.1295902852597415E-2</v>
      </c>
      <c r="BI47">
        <v>1.2260524612739854E-2</v>
      </c>
      <c r="BJ47">
        <v>-0.13709371401144155</v>
      </c>
      <c r="BK47">
        <v>0.1408550508544979</v>
      </c>
      <c r="BL47">
        <v>9.7877736035430374E-2</v>
      </c>
      <c r="BM47" s="159">
        <v>8.210288940747601E-3</v>
      </c>
    </row>
    <row r="48" spans="1:67" ht="15.75" customHeight="1">
      <c r="A48" s="63"/>
      <c r="B48" s="524"/>
      <c r="C48" s="197" t="s">
        <v>140</v>
      </c>
      <c r="D48">
        <v>0.2080401024560409</v>
      </c>
      <c r="E48">
        <v>0.93499837092988913</v>
      </c>
      <c r="F48">
        <v>0.34028252373226731</v>
      </c>
      <c r="G48">
        <v>0.7259848021674673</v>
      </c>
      <c r="H48">
        <v>0.2160005688813616</v>
      </c>
      <c r="I48">
        <v>1.7399382637839571</v>
      </c>
      <c r="J48">
        <v>1.7399382637839571</v>
      </c>
      <c r="K48">
        <v>1.7399382637839571</v>
      </c>
      <c r="L48">
        <v>0.47156013705872679</v>
      </c>
      <c r="M48">
        <v>0.42085789356746311</v>
      </c>
      <c r="N48">
        <v>0.89245506513606854</v>
      </c>
      <c r="O48">
        <v>0.71980040782646382</v>
      </c>
      <c r="P48">
        <v>0.2759739619335036</v>
      </c>
      <c r="Q48">
        <v>0.1546376202835803</v>
      </c>
      <c r="R48">
        <v>1.040548640183828</v>
      </c>
      <c r="S48">
        <v>2.0672770406861138</v>
      </c>
      <c r="T48">
        <v>0.36918834591549959</v>
      </c>
      <c r="U48">
        <v>0.65854736496990296</v>
      </c>
      <c r="V48">
        <v>1.74576357916542</v>
      </c>
      <c r="W48">
        <v>0.26752926674561001</v>
      </c>
      <c r="X48">
        <v>0</v>
      </c>
      <c r="AA48" s="520" t="s">
        <v>744</v>
      </c>
      <c r="AB48" s="196" t="s">
        <v>139</v>
      </c>
      <c r="AC48">
        <v>1.9648964764957349E-2</v>
      </c>
      <c r="AD48">
        <v>0.1029458609249005</v>
      </c>
      <c r="AE48">
        <v>3.7458064747368153E-2</v>
      </c>
      <c r="AF48">
        <v>0.21115772433836699</v>
      </c>
      <c r="AG48">
        <v>7.6449529791742757E-2</v>
      </c>
      <c r="AH48">
        <v>0.61293339398866231</v>
      </c>
      <c r="AI48">
        <v>0.61293339398866231</v>
      </c>
      <c r="AJ48">
        <v>0.61293339398866231</v>
      </c>
      <c r="AK48">
        <v>0.16049249641846061</v>
      </c>
      <c r="AL48">
        <v>8.0789498734516893E-2</v>
      </c>
      <c r="AM48">
        <v>4.4911020179508279E-2</v>
      </c>
      <c r="AN48">
        <v>0.13205579419221089</v>
      </c>
      <c r="AO48">
        <v>4.8610729898619753E-2</v>
      </c>
      <c r="AP48">
        <v>7.9172379918181782E-2</v>
      </c>
      <c r="AQ48">
        <v>8.3890864001330931E-2</v>
      </c>
      <c r="AR48">
        <v>7.2475336706065471E-2</v>
      </c>
      <c r="AS48">
        <v>7.74180930914104E-2</v>
      </c>
      <c r="AT48">
        <v>0.1184028808030418</v>
      </c>
      <c r="AU48">
        <v>0.11316921293894409</v>
      </c>
      <c r="AV48">
        <v>4.1587131290775473E-2</v>
      </c>
      <c r="AW48">
        <v>0</v>
      </c>
      <c r="AZ48" s="400" t="s">
        <v>73</v>
      </c>
      <c r="BA48" s="235">
        <v>4.9328571074236605E-2</v>
      </c>
      <c r="BB48">
        <v>1.8330119430489233E-2</v>
      </c>
      <c r="BC48">
        <v>2.4781082257361309E-3</v>
      </c>
      <c r="BD48">
        <v>2.5404967721365246E-2</v>
      </c>
      <c r="BE48">
        <v>3.9856656399880785E-2</v>
      </c>
      <c r="BF48">
        <v>2.3380541173926073E-2</v>
      </c>
      <c r="BG48">
        <v>5.3675456119153919E-2</v>
      </c>
      <c r="BH48">
        <v>2.1295902852597415E-2</v>
      </c>
      <c r="BI48">
        <v>1.2260524612739854E-2</v>
      </c>
      <c r="BJ48">
        <v>-0.13709371401144155</v>
      </c>
      <c r="BK48">
        <v>0.1408550508544979</v>
      </c>
      <c r="BL48">
        <v>9.7877736035430374E-2</v>
      </c>
      <c r="BM48" s="159">
        <v>8.210288940747601E-3</v>
      </c>
    </row>
    <row r="49" spans="1:65" ht="15.75" customHeight="1">
      <c r="A49" s="63"/>
      <c r="B49" s="524"/>
      <c r="C49" s="197" t="s">
        <v>48</v>
      </c>
      <c r="D49">
        <v>0.5060128944448834</v>
      </c>
      <c r="E49">
        <v>2.380386351328315</v>
      </c>
      <c r="F49">
        <v>5.3589424974151707E-2</v>
      </c>
      <c r="G49">
        <v>0.8938390902631923</v>
      </c>
      <c r="H49">
        <v>7.1800931709254112E-2</v>
      </c>
      <c r="I49">
        <v>0.90782088867241506</v>
      </c>
      <c r="J49">
        <v>0.90782088867241506</v>
      </c>
      <c r="K49">
        <v>0.90782088867241506</v>
      </c>
      <c r="L49">
        <v>0.57430186117884685</v>
      </c>
      <c r="M49">
        <v>1.51532757099787</v>
      </c>
      <c r="N49">
        <v>0.69543524773411591</v>
      </c>
      <c r="O49">
        <v>0.8585085644513788</v>
      </c>
      <c r="P49">
        <v>3.5168996709334719</v>
      </c>
      <c r="Q49">
        <v>0.33435000748646532</v>
      </c>
      <c r="R49">
        <v>1.1691217666471201</v>
      </c>
      <c r="S49">
        <v>1.244044290760743</v>
      </c>
      <c r="T49">
        <v>0.53798088749405115</v>
      </c>
      <c r="U49">
        <v>1.34064374775388</v>
      </c>
      <c r="V49">
        <v>0.79852828365270345</v>
      </c>
      <c r="W49">
        <v>1.429142669196658</v>
      </c>
      <c r="X49">
        <v>0</v>
      </c>
      <c r="AA49" s="521"/>
      <c r="AB49" s="196" t="s">
        <v>37</v>
      </c>
      <c r="AC49">
        <v>7.4439883392477285E-2</v>
      </c>
      <c r="AD49">
        <v>9.5909566272323249E-2</v>
      </c>
      <c r="AE49">
        <v>8.8683401333841463E-2</v>
      </c>
      <c r="AF49">
        <v>6.8953315417402058E-2</v>
      </c>
      <c r="AG49">
        <v>0.25860057952086418</v>
      </c>
      <c r="AH49">
        <v>7.2974776159217228E-2</v>
      </c>
      <c r="AI49">
        <v>7.2974776159217228E-2</v>
      </c>
      <c r="AJ49">
        <v>7.2974776159217228E-2</v>
      </c>
      <c r="AK49">
        <v>0.28558240556552722</v>
      </c>
      <c r="AL49">
        <v>8.6923863593786482E-2</v>
      </c>
      <c r="AM49">
        <v>8.6788032327217407E-2</v>
      </c>
      <c r="AN49">
        <v>0.14549882349804341</v>
      </c>
      <c r="AO49">
        <v>0.2172677869018681</v>
      </c>
      <c r="AP49">
        <v>0.1312684760144435</v>
      </c>
      <c r="AQ49">
        <v>0.16465609295119751</v>
      </c>
      <c r="AR49">
        <v>0.1343586279281769</v>
      </c>
      <c r="AS49">
        <v>0.12663722632226501</v>
      </c>
      <c r="AT49">
        <v>0.10237743827886089</v>
      </c>
      <c r="AU49">
        <v>0.17590081130431659</v>
      </c>
      <c r="AV49">
        <v>0.20792126480533249</v>
      </c>
      <c r="AW49">
        <v>0</v>
      </c>
      <c r="AZ49" s="400" t="s">
        <v>75</v>
      </c>
      <c r="BA49" s="235">
        <v>4.9328571074236605E-2</v>
      </c>
      <c r="BB49">
        <v>1.8330119430489233E-2</v>
      </c>
      <c r="BC49">
        <v>2.4781082257361309E-3</v>
      </c>
      <c r="BD49">
        <v>2.5404967721365246E-2</v>
      </c>
      <c r="BE49">
        <v>3.9856656399880785E-2</v>
      </c>
      <c r="BF49">
        <v>2.3380541173926073E-2</v>
      </c>
      <c r="BG49">
        <v>5.3675456119153919E-2</v>
      </c>
      <c r="BH49">
        <v>2.1295902852597415E-2</v>
      </c>
      <c r="BI49">
        <v>1.2260524612739854E-2</v>
      </c>
      <c r="BJ49">
        <v>-0.13709371401144155</v>
      </c>
      <c r="BK49">
        <v>0.1408550508544979</v>
      </c>
      <c r="BL49">
        <v>9.7877736035430374E-2</v>
      </c>
      <c r="BM49" s="159">
        <v>8.210288940747601E-3</v>
      </c>
    </row>
    <row r="50" spans="1:65" ht="15.75" customHeight="1">
      <c r="A50" s="63"/>
      <c r="B50" s="524"/>
      <c r="C50" s="197" t="s">
        <v>141</v>
      </c>
      <c r="D50">
        <v>6.1841349212055556</v>
      </c>
      <c r="E50">
        <v>0.72706635825751309</v>
      </c>
      <c r="F50">
        <v>0.1468635801949657</v>
      </c>
      <c r="G50">
        <v>1.1569144313003059</v>
      </c>
      <c r="H50">
        <v>0.82016236146088339</v>
      </c>
      <c r="I50">
        <v>0.81854020648973602</v>
      </c>
      <c r="J50">
        <v>0.81854020648973602</v>
      </c>
      <c r="K50">
        <v>0.81854020648973602</v>
      </c>
      <c r="L50">
        <v>0.52369125217654167</v>
      </c>
      <c r="M50">
        <v>2.320880473575639</v>
      </c>
      <c r="N50">
        <v>0.96918109598046043</v>
      </c>
      <c r="O50">
        <v>1.5922127887692079</v>
      </c>
      <c r="P50">
        <v>0.43860316266131999</v>
      </c>
      <c r="Q50">
        <v>0.61320465601728669</v>
      </c>
      <c r="R50">
        <v>0.60761909589929619</v>
      </c>
      <c r="S50">
        <v>2.8855181283366171</v>
      </c>
      <c r="T50">
        <v>0.5768964773861267</v>
      </c>
      <c r="U50">
        <v>1.5214257631897761</v>
      </c>
      <c r="V50">
        <v>0.31243317314579783</v>
      </c>
      <c r="W50">
        <v>3.5101421692490913E-2</v>
      </c>
      <c r="X50">
        <v>0</v>
      </c>
      <c r="AA50" s="521"/>
      <c r="AB50" s="196" t="s">
        <v>140</v>
      </c>
      <c r="AC50">
        <v>3.2086699525304761E-2</v>
      </c>
      <c r="AD50">
        <v>0.1072163675733315</v>
      </c>
      <c r="AE50">
        <v>1.145933875542709E-2</v>
      </c>
      <c r="AF50">
        <v>9.4262080760506656E-2</v>
      </c>
      <c r="AG50">
        <v>1.257909121804103E-2</v>
      </c>
      <c r="AH50">
        <v>8.6419356105406062E-2</v>
      </c>
      <c r="AI50">
        <v>8.6419356105406062E-2</v>
      </c>
      <c r="AJ50">
        <v>8.6419356105406062E-2</v>
      </c>
      <c r="AK50">
        <v>3.9904806075071152E-2</v>
      </c>
      <c r="AL50">
        <v>1.2017280782762931E-2</v>
      </c>
      <c r="AM50">
        <v>6.5992132909437812E-2</v>
      </c>
      <c r="AN50">
        <v>3.4239756148224172E-2</v>
      </c>
      <c r="AO50">
        <v>1.9164393468377849E-2</v>
      </c>
      <c r="AP50">
        <v>1.749003451627798E-2</v>
      </c>
      <c r="AQ50">
        <v>1.611040211784108E-2</v>
      </c>
      <c r="AR50">
        <v>3.9654777314862819E-2</v>
      </c>
      <c r="AS50">
        <v>4.8117410161373518E-2</v>
      </c>
      <c r="AT50">
        <v>3.0027528927619899E-2</v>
      </c>
      <c r="AU50">
        <v>8.5635724538263042E-2</v>
      </c>
      <c r="AV50">
        <v>3.4917986451681322E-2</v>
      </c>
      <c r="AW50">
        <v>0</v>
      </c>
      <c r="AZ50" s="400" t="s">
        <v>146</v>
      </c>
      <c r="BA50" s="235">
        <v>4.9328571074236605E-2</v>
      </c>
      <c r="BB50">
        <v>1.8330119430489233E-2</v>
      </c>
      <c r="BC50">
        <v>2.4781082257361309E-3</v>
      </c>
      <c r="BD50">
        <v>2.5404967721365246E-2</v>
      </c>
      <c r="BE50">
        <v>3.9856656399880785E-2</v>
      </c>
      <c r="BF50">
        <v>2.3380541173926073E-2</v>
      </c>
      <c r="BG50">
        <v>5.3675456119153919E-2</v>
      </c>
      <c r="BH50">
        <v>2.1295902852597415E-2</v>
      </c>
      <c r="BI50">
        <v>1.2260524612739854E-2</v>
      </c>
      <c r="BJ50">
        <v>-0.13709371401144155</v>
      </c>
      <c r="BK50">
        <v>0.1408550508544979</v>
      </c>
      <c r="BL50">
        <v>9.7877736035430374E-2</v>
      </c>
      <c r="BM50" s="159">
        <v>8.210288940747601E-3</v>
      </c>
    </row>
    <row r="51" spans="1:65" ht="15.75" customHeight="1">
      <c r="A51" s="63"/>
      <c r="B51" s="524"/>
      <c r="C51" s="197" t="s">
        <v>58</v>
      </c>
      <c r="D51">
        <v>0.97630156771445309</v>
      </c>
      <c r="E51">
        <v>0.89214963452174678</v>
      </c>
      <c r="F51">
        <v>0.32232420687672941</v>
      </c>
      <c r="G51">
        <v>0.73987267763778097</v>
      </c>
      <c r="H51">
        <v>0.59739916220987765</v>
      </c>
      <c r="I51">
        <v>1.004010926824159</v>
      </c>
      <c r="J51">
        <v>1.004010926824159</v>
      </c>
      <c r="K51">
        <v>1.004010926824159</v>
      </c>
      <c r="L51">
        <v>0.53692995355966455</v>
      </c>
      <c r="M51">
        <v>0.72378486348987836</v>
      </c>
      <c r="N51">
        <v>0.4931126111124266</v>
      </c>
      <c r="O51">
        <v>0.28871785256429527</v>
      </c>
      <c r="P51">
        <v>4.3321029773257427E-2</v>
      </c>
      <c r="Q51">
        <v>0.25740336198102581</v>
      </c>
      <c r="R51">
        <v>0.69977178828099373</v>
      </c>
      <c r="S51">
        <v>2.3820099318350989</v>
      </c>
      <c r="T51">
        <v>0.48812581771374508</v>
      </c>
      <c r="U51">
        <v>1.337772720411682</v>
      </c>
      <c r="V51">
        <v>0.34511505773085138</v>
      </c>
      <c r="W51">
        <v>0.19687972679519861</v>
      </c>
      <c r="X51">
        <v>0</v>
      </c>
      <c r="AA51" s="521"/>
      <c r="AB51" s="196" t="s">
        <v>48</v>
      </c>
      <c r="AC51">
        <v>3.6186766472691687E-2</v>
      </c>
      <c r="AD51">
        <v>0.12524347438021799</v>
      </c>
      <c r="AE51">
        <v>4.9455488852518957E-2</v>
      </c>
      <c r="AF51">
        <v>7.4626324818157522E-2</v>
      </c>
      <c r="AG51">
        <v>0.1014887209371845</v>
      </c>
      <c r="AH51">
        <v>6.0237436365976157E-2</v>
      </c>
      <c r="AI51">
        <v>6.0237436365976157E-2</v>
      </c>
      <c r="AJ51">
        <v>6.0237436365976157E-2</v>
      </c>
      <c r="AK51">
        <v>0.10884215078139529</v>
      </c>
      <c r="AL51">
        <v>9.6521488434965469E-2</v>
      </c>
      <c r="AM51">
        <v>3.7795958339849188E-2</v>
      </c>
      <c r="AN51">
        <v>4.263905654558231E-2</v>
      </c>
      <c r="AO51">
        <v>3.5735646449538409E-2</v>
      </c>
      <c r="AP51">
        <v>8.3193875806934672E-2</v>
      </c>
      <c r="AQ51">
        <v>3.4789235025506758E-2</v>
      </c>
      <c r="AR51">
        <v>4.5308084372245878E-2</v>
      </c>
      <c r="AS51">
        <v>5.9687714326409368E-2</v>
      </c>
      <c r="AT51">
        <v>5.438323401345678E-2</v>
      </c>
      <c r="AU51">
        <v>5.0805045695618493E-2</v>
      </c>
      <c r="AV51">
        <v>4.8882548112468699E-2</v>
      </c>
      <c r="AW51">
        <v>0</v>
      </c>
      <c r="AZ51" s="400" t="s">
        <v>83</v>
      </c>
      <c r="BA51" s="235">
        <v>4.9328571074236605E-2</v>
      </c>
      <c r="BB51">
        <v>1.8330119430489233E-2</v>
      </c>
      <c r="BC51">
        <v>2.4781082257361309E-3</v>
      </c>
      <c r="BD51">
        <v>2.5404967721365246E-2</v>
      </c>
      <c r="BE51">
        <v>3.9856656399880785E-2</v>
      </c>
      <c r="BF51">
        <v>2.3380541173926073E-2</v>
      </c>
      <c r="BG51">
        <v>5.3675456119153919E-2</v>
      </c>
      <c r="BH51">
        <v>2.1295902852597415E-2</v>
      </c>
      <c r="BI51">
        <v>1.2260524612739854E-2</v>
      </c>
      <c r="BJ51">
        <v>-0.13709371401144155</v>
      </c>
      <c r="BK51">
        <v>0.1408550508544979</v>
      </c>
      <c r="BL51">
        <v>9.7877736035430374E-2</v>
      </c>
      <c r="BM51" s="159">
        <v>8.210288940747601E-3</v>
      </c>
    </row>
    <row r="52" spans="1:65" ht="15.75" customHeight="1">
      <c r="A52" s="63"/>
      <c r="B52" s="524"/>
      <c r="C52" s="197" t="s">
        <v>58</v>
      </c>
      <c r="D52">
        <v>0.97630156771445309</v>
      </c>
      <c r="E52">
        <v>0.89214963452174678</v>
      </c>
      <c r="F52">
        <v>0.32232420687672941</v>
      </c>
      <c r="G52">
        <v>0.73987267763778097</v>
      </c>
      <c r="H52">
        <v>0.59739916220987765</v>
      </c>
      <c r="I52">
        <v>1.004010926824159</v>
      </c>
      <c r="J52">
        <v>1.004010926824159</v>
      </c>
      <c r="K52">
        <v>1.004010926824159</v>
      </c>
      <c r="L52">
        <v>0.53692995355966455</v>
      </c>
      <c r="M52">
        <v>0.72378486348987836</v>
      </c>
      <c r="N52">
        <v>0.4931126111124266</v>
      </c>
      <c r="O52">
        <v>0.28871785256429527</v>
      </c>
      <c r="P52">
        <v>4.3321029773257427E-2</v>
      </c>
      <c r="Q52">
        <v>0.25740336198102581</v>
      </c>
      <c r="R52">
        <v>0.69977178828099373</v>
      </c>
      <c r="S52">
        <v>2.3820099318350989</v>
      </c>
      <c r="T52">
        <v>0.48812581771374508</v>
      </c>
      <c r="U52">
        <v>1.337772720411682</v>
      </c>
      <c r="V52">
        <v>0.34511505773085138</v>
      </c>
      <c r="W52">
        <v>0.19687972679519861</v>
      </c>
      <c r="X52">
        <v>0</v>
      </c>
      <c r="AA52" s="521"/>
      <c r="AB52" s="196" t="s">
        <v>141</v>
      </c>
      <c r="AC52">
        <v>0.29014322758208111</v>
      </c>
      <c r="AD52">
        <v>0.1044071871412475</v>
      </c>
      <c r="AE52">
        <v>3.6246195512775248E-2</v>
      </c>
      <c r="AF52">
        <v>8.8354209122002411E-2</v>
      </c>
      <c r="AG52">
        <v>5.5972350814443461E-2</v>
      </c>
      <c r="AH52">
        <v>5.4971996308200162E-2</v>
      </c>
      <c r="AI52">
        <v>5.4971996308200162E-2</v>
      </c>
      <c r="AJ52">
        <v>5.4971996308200162E-2</v>
      </c>
      <c r="AK52">
        <v>4.4410911145428889E-2</v>
      </c>
      <c r="AL52">
        <v>0.21444594210234111</v>
      </c>
      <c r="AM52">
        <v>7.7824037683562081E-2</v>
      </c>
      <c r="AN52">
        <v>0.1063414378707406</v>
      </c>
      <c r="AO52">
        <v>5.2309910746498128E-2</v>
      </c>
      <c r="AP52">
        <v>5.2003549352803283E-2</v>
      </c>
      <c r="AQ52">
        <v>8.2207565017346274E-2</v>
      </c>
      <c r="AR52">
        <v>6.1898129193375763E-2</v>
      </c>
      <c r="AS52">
        <v>7.0557937911657043E-2</v>
      </c>
      <c r="AT52">
        <v>7.1992096768917102E-2</v>
      </c>
      <c r="AU52">
        <v>3.2544707657757653E-2</v>
      </c>
      <c r="AV52">
        <v>4.5157668698913737E-2</v>
      </c>
      <c r="AW52">
        <v>0</v>
      </c>
      <c r="AZ52" s="400" t="s">
        <v>85</v>
      </c>
      <c r="BA52" s="235">
        <v>4.9328571074236605E-2</v>
      </c>
      <c r="BB52">
        <v>1.8330119430489233E-2</v>
      </c>
      <c r="BC52">
        <v>2.4781082257361309E-3</v>
      </c>
      <c r="BD52">
        <v>2.5404967721365246E-2</v>
      </c>
      <c r="BE52">
        <v>3.9856656399880785E-2</v>
      </c>
      <c r="BF52">
        <v>2.3380541173926073E-2</v>
      </c>
      <c r="BG52">
        <v>5.3675456119153919E-2</v>
      </c>
      <c r="BH52">
        <v>2.1295902852597415E-2</v>
      </c>
      <c r="BI52">
        <v>1.2260524612739854E-2</v>
      </c>
      <c r="BJ52">
        <v>-0.13709371401144155</v>
      </c>
      <c r="BK52">
        <v>0.1408550508544979</v>
      </c>
      <c r="BL52">
        <v>9.7877736035430374E-2</v>
      </c>
      <c r="BM52" s="159">
        <v>8.210288940747601E-3</v>
      </c>
    </row>
    <row r="53" spans="1:65" ht="15.75" customHeight="1">
      <c r="A53" s="63"/>
      <c r="B53" s="524"/>
      <c r="C53" s="197" t="s">
        <v>58</v>
      </c>
      <c r="D53">
        <v>0.97630156771445309</v>
      </c>
      <c r="E53">
        <v>0.89214963452174678</v>
      </c>
      <c r="F53">
        <v>0.32232420687672941</v>
      </c>
      <c r="G53">
        <v>0.73987267763778097</v>
      </c>
      <c r="H53">
        <v>0.59739916220987765</v>
      </c>
      <c r="I53">
        <v>1.004010926824159</v>
      </c>
      <c r="J53">
        <v>1.004010926824159</v>
      </c>
      <c r="K53">
        <v>1.004010926824159</v>
      </c>
      <c r="L53">
        <v>0.53692995355966455</v>
      </c>
      <c r="M53">
        <v>0.72378486348987836</v>
      </c>
      <c r="N53">
        <v>0.4931126111124266</v>
      </c>
      <c r="O53">
        <v>0.28871785256429527</v>
      </c>
      <c r="P53">
        <v>4.3321029773257427E-2</v>
      </c>
      <c r="Q53">
        <v>0.25740336198102581</v>
      </c>
      <c r="R53">
        <v>0.69977178828099373</v>
      </c>
      <c r="S53">
        <v>2.3820099318350989</v>
      </c>
      <c r="T53">
        <v>0.48812581771374508</v>
      </c>
      <c r="U53">
        <v>1.337772720411682</v>
      </c>
      <c r="V53">
        <v>0.34511505773085138</v>
      </c>
      <c r="W53">
        <v>0.19687972679519861</v>
      </c>
      <c r="X53">
        <v>0</v>
      </c>
      <c r="AA53" s="521"/>
      <c r="AB53" s="196" t="s">
        <v>58</v>
      </c>
      <c r="AC53">
        <v>5.0578824367579073E-2</v>
      </c>
      <c r="AD53">
        <v>0.1089997736717653</v>
      </c>
      <c r="AE53">
        <v>3.5186454404344342E-2</v>
      </c>
      <c r="AF53">
        <v>7.5437087680684897E-2</v>
      </c>
      <c r="AG53">
        <v>5.2060572880700109E-2</v>
      </c>
      <c r="AH53">
        <v>4.4047653163737488E-2</v>
      </c>
      <c r="AI53">
        <v>4.4047653163737488E-2</v>
      </c>
      <c r="AJ53">
        <v>4.4047653163737488E-2</v>
      </c>
      <c r="AK53">
        <v>3.9855332931544953E-2</v>
      </c>
      <c r="AL53">
        <v>4.6128819174858463E-2</v>
      </c>
      <c r="AM53">
        <v>4.2349321199537673E-2</v>
      </c>
      <c r="AN53">
        <v>3.6530577438188661E-2</v>
      </c>
      <c r="AO53">
        <v>4.3321901263053263E-2</v>
      </c>
      <c r="AP53">
        <v>3.9369054292760962E-2</v>
      </c>
      <c r="AQ53">
        <v>4.0139939707802309E-2</v>
      </c>
      <c r="AR53">
        <v>4.2876539920870711E-2</v>
      </c>
      <c r="AS53">
        <v>6.4172719817260374E-2</v>
      </c>
      <c r="AT53">
        <v>5.7491337200581867E-2</v>
      </c>
      <c r="AU53">
        <v>3.069185615024177E-2</v>
      </c>
      <c r="AV53">
        <v>4.3506882233287331E-2</v>
      </c>
      <c r="AW53">
        <v>0</v>
      </c>
      <c r="AZ53" s="400" t="s">
        <v>88</v>
      </c>
      <c r="BA53" s="235">
        <v>4.9328571074236605E-2</v>
      </c>
      <c r="BB53">
        <v>1.8330119430489233E-2</v>
      </c>
      <c r="BC53">
        <v>2.4781082257361309E-3</v>
      </c>
      <c r="BD53">
        <v>2.5404967721365246E-2</v>
      </c>
      <c r="BE53">
        <v>3.9856656399880785E-2</v>
      </c>
      <c r="BF53">
        <v>2.3380541173926073E-2</v>
      </c>
      <c r="BG53">
        <v>5.3675456119153919E-2</v>
      </c>
      <c r="BH53">
        <v>2.1295902852597415E-2</v>
      </c>
      <c r="BI53">
        <v>1.2260524612739854E-2</v>
      </c>
      <c r="BJ53">
        <v>-0.13709371401144155</v>
      </c>
      <c r="BK53">
        <v>0.1408550508544979</v>
      </c>
      <c r="BL53">
        <v>9.7877736035430374E-2</v>
      </c>
      <c r="BM53" s="159">
        <v>8.210288940747601E-3</v>
      </c>
    </row>
    <row r="54" spans="1:65" ht="15.75" customHeight="1">
      <c r="A54" s="63"/>
      <c r="B54" s="524"/>
      <c r="C54" s="197" t="s">
        <v>61</v>
      </c>
      <c r="D54">
        <v>0.38016071851960731</v>
      </c>
      <c r="E54">
        <v>0.75896068004366368</v>
      </c>
      <c r="F54">
        <v>0.21495462018613071</v>
      </c>
      <c r="G54">
        <v>10.41380440827103</v>
      </c>
      <c r="H54">
        <v>2.2240695677903131</v>
      </c>
      <c r="I54">
        <v>0.63343349256073556</v>
      </c>
      <c r="J54">
        <v>0.63343349256073556</v>
      </c>
      <c r="K54">
        <v>0.63343349256073556</v>
      </c>
      <c r="L54">
        <v>0.58164651694780678</v>
      </c>
      <c r="M54">
        <v>0.47862814754702221</v>
      </c>
      <c r="N54">
        <v>0.34524553129021118</v>
      </c>
      <c r="O54">
        <v>0.76177063614112162</v>
      </c>
      <c r="P54">
        <v>0.33579235785190448</v>
      </c>
      <c r="Q54">
        <v>0.31369737974806822</v>
      </c>
      <c r="R54">
        <v>1.033765051941528</v>
      </c>
      <c r="S54">
        <v>1.467052254841031</v>
      </c>
      <c r="T54">
        <v>0.22869494217105171</v>
      </c>
      <c r="U54">
        <v>1.482721539046904</v>
      </c>
      <c r="V54">
        <v>2.1333398863292028</v>
      </c>
      <c r="W54">
        <v>0.2471268970206843</v>
      </c>
      <c r="X54">
        <v>0</v>
      </c>
      <c r="AA54" s="521"/>
      <c r="AB54" s="196" t="s">
        <v>58</v>
      </c>
      <c r="AC54">
        <v>5.0578824367579073E-2</v>
      </c>
      <c r="AD54">
        <v>0.1089997736717653</v>
      </c>
      <c r="AE54">
        <v>3.5186454404344342E-2</v>
      </c>
      <c r="AF54">
        <v>7.5437087680684897E-2</v>
      </c>
      <c r="AG54">
        <v>5.2060572880700109E-2</v>
      </c>
      <c r="AH54">
        <v>4.4047653163737488E-2</v>
      </c>
      <c r="AI54">
        <v>4.4047653163737488E-2</v>
      </c>
      <c r="AJ54">
        <v>4.4047653163737488E-2</v>
      </c>
      <c r="AK54">
        <v>3.9855332931544953E-2</v>
      </c>
      <c r="AL54">
        <v>4.6128819174858463E-2</v>
      </c>
      <c r="AM54">
        <v>4.2349321199537673E-2</v>
      </c>
      <c r="AN54">
        <v>3.6530577438188661E-2</v>
      </c>
      <c r="AO54">
        <v>4.3321901263053263E-2</v>
      </c>
      <c r="AP54">
        <v>3.9369054292760962E-2</v>
      </c>
      <c r="AQ54">
        <v>4.0139939707802309E-2</v>
      </c>
      <c r="AR54">
        <v>4.2876539920870711E-2</v>
      </c>
      <c r="AS54">
        <v>6.4172719817260374E-2</v>
      </c>
      <c r="AT54">
        <v>5.7491337200581867E-2</v>
      </c>
      <c r="AU54">
        <v>3.069185615024177E-2</v>
      </c>
      <c r="AV54">
        <v>4.3506882233287331E-2</v>
      </c>
      <c r="AW54">
        <v>0</v>
      </c>
      <c r="AZ54" s="400" t="s">
        <v>147</v>
      </c>
      <c r="BA54" s="236">
        <v>4.9328571074236605E-2</v>
      </c>
      <c r="BB54" s="237">
        <v>1.8330119430489233E-2</v>
      </c>
      <c r="BC54" s="237">
        <v>2.4781082257361309E-3</v>
      </c>
      <c r="BD54" s="237">
        <v>2.5404967721365246E-2</v>
      </c>
      <c r="BE54" s="237">
        <v>3.9856656399880785E-2</v>
      </c>
      <c r="BF54" s="237">
        <v>2.3380541173926073E-2</v>
      </c>
      <c r="BG54" s="237">
        <v>5.3675456119153919E-2</v>
      </c>
      <c r="BH54" s="237">
        <v>2.1295902852597415E-2</v>
      </c>
      <c r="BI54" s="237">
        <v>1.2260524612739854E-2</v>
      </c>
      <c r="BJ54" s="237">
        <v>-0.13709371401144155</v>
      </c>
      <c r="BK54" s="237">
        <v>0.1408550508544979</v>
      </c>
      <c r="BL54" s="237">
        <v>9.7877736035430374E-2</v>
      </c>
      <c r="BM54" s="161">
        <v>8.210288940747601E-3</v>
      </c>
    </row>
    <row r="55" spans="1:65" ht="15.75" customHeight="1">
      <c r="A55" s="63"/>
      <c r="B55" s="524"/>
      <c r="C55" s="197" t="s">
        <v>63</v>
      </c>
      <c r="D55">
        <v>0.51107871786937353</v>
      </c>
      <c r="E55">
        <v>1.1120982645773829</v>
      </c>
      <c r="F55">
        <v>0.2605051131169443</v>
      </c>
      <c r="G55">
        <v>28.0344351109995</v>
      </c>
      <c r="H55">
        <v>1.7591461713767249</v>
      </c>
      <c r="I55">
        <v>2.0030310831691418</v>
      </c>
      <c r="J55">
        <v>2.0030310831691418</v>
      </c>
      <c r="K55">
        <v>2.0030310831691418</v>
      </c>
      <c r="L55">
        <v>0.54980533121537245</v>
      </c>
      <c r="M55">
        <v>0.69122377359673504</v>
      </c>
      <c r="N55">
        <v>0.48916078613494868</v>
      </c>
      <c r="O55">
        <v>1.183101977086318</v>
      </c>
      <c r="P55">
        <v>0.20407850455901139</v>
      </c>
      <c r="Q55">
        <v>0.34318248669656021</v>
      </c>
      <c r="R55">
        <v>0.86512219723658557</v>
      </c>
      <c r="S55">
        <v>3.1541022205727942</v>
      </c>
      <c r="T55">
        <v>0.6194781394337836</v>
      </c>
      <c r="U55">
        <v>0.53999935351298944</v>
      </c>
      <c r="V55">
        <v>0.86121048247165333</v>
      </c>
      <c r="W55">
        <v>1.115562506105608</v>
      </c>
      <c r="X55">
        <v>0</v>
      </c>
      <c r="AA55" s="521"/>
      <c r="AB55" s="196" t="s">
        <v>58</v>
      </c>
      <c r="AC55">
        <v>5.0578824367579073E-2</v>
      </c>
      <c r="AD55">
        <v>0.1089997736717653</v>
      </c>
      <c r="AE55">
        <v>3.5186454404344342E-2</v>
      </c>
      <c r="AF55">
        <v>7.5437087680684897E-2</v>
      </c>
      <c r="AG55">
        <v>5.2060572880700109E-2</v>
      </c>
      <c r="AH55">
        <v>4.4047653163737488E-2</v>
      </c>
      <c r="AI55">
        <v>4.4047653163737488E-2</v>
      </c>
      <c r="AJ55">
        <v>4.4047653163737488E-2</v>
      </c>
      <c r="AK55">
        <v>3.9855332931544953E-2</v>
      </c>
      <c r="AL55">
        <v>4.6128819174858463E-2</v>
      </c>
      <c r="AM55">
        <v>4.2349321199537673E-2</v>
      </c>
      <c r="AN55">
        <v>3.6530577438188661E-2</v>
      </c>
      <c r="AO55">
        <v>4.3321901263053263E-2</v>
      </c>
      <c r="AP55">
        <v>3.9369054292760962E-2</v>
      </c>
      <c r="AQ55">
        <v>4.0139939707802309E-2</v>
      </c>
      <c r="AR55">
        <v>4.2876539920870711E-2</v>
      </c>
      <c r="AS55">
        <v>6.4172719817260374E-2</v>
      </c>
      <c r="AT55">
        <v>5.7491337200581867E-2</v>
      </c>
      <c r="AU55">
        <v>3.069185615024177E-2</v>
      </c>
      <c r="AV55">
        <v>4.3506882233287331E-2</v>
      </c>
      <c r="AW55">
        <v>0</v>
      </c>
    </row>
    <row r="56" spans="1:65" ht="15.75" customHeight="1">
      <c r="A56" s="63"/>
      <c r="B56" s="524"/>
      <c r="C56" s="197" t="s">
        <v>65</v>
      </c>
      <c r="D56">
        <v>0.42266670924764138</v>
      </c>
      <c r="E56">
        <v>0.68457462726044338</v>
      </c>
      <c r="F56">
        <v>0.29176038273897148</v>
      </c>
      <c r="G56">
        <v>0.72036786940425213</v>
      </c>
      <c r="H56">
        <v>0.76336334953101836</v>
      </c>
      <c r="I56">
        <v>0.49761844718492609</v>
      </c>
      <c r="J56">
        <v>0.49761844718492609</v>
      </c>
      <c r="K56">
        <v>0.49761844718492609</v>
      </c>
      <c r="L56">
        <v>0.32456495533086333</v>
      </c>
      <c r="M56">
        <v>0.42666461450393772</v>
      </c>
      <c r="N56">
        <v>0.48506379980477249</v>
      </c>
      <c r="O56">
        <v>0.68853785984269977</v>
      </c>
      <c r="P56">
        <v>0.26058981467481268</v>
      </c>
      <c r="Q56">
        <v>0.21599718756082539</v>
      </c>
      <c r="R56">
        <v>3.6160706878089539</v>
      </c>
      <c r="S56">
        <v>5.145268199179295</v>
      </c>
      <c r="T56">
        <v>0.44442681129470912</v>
      </c>
      <c r="U56">
        <v>0.74653771307982331</v>
      </c>
      <c r="V56">
        <v>1.135023417131038</v>
      </c>
      <c r="W56">
        <v>0.30504421409094962</v>
      </c>
      <c r="X56">
        <v>0</v>
      </c>
      <c r="AA56" s="521"/>
      <c r="AB56" s="196" t="s">
        <v>61</v>
      </c>
      <c r="AC56">
        <v>3.8098053002905571E-2</v>
      </c>
      <c r="AD56">
        <v>0.1013519748487101</v>
      </c>
      <c r="AE56">
        <v>2.153562449109472E-2</v>
      </c>
      <c r="AF56">
        <v>0.79275547395737311</v>
      </c>
      <c r="AG56">
        <v>0.18556679103716309</v>
      </c>
      <c r="AH56">
        <v>4.654829242649787E-2</v>
      </c>
      <c r="AI56">
        <v>4.654829242649787E-2</v>
      </c>
      <c r="AJ56">
        <v>4.654829242649787E-2</v>
      </c>
      <c r="AK56">
        <v>3.9854598641703702E-2</v>
      </c>
      <c r="AL56">
        <v>6.8411333563348872E-2</v>
      </c>
      <c r="AM56">
        <v>3.4620337948807582E-2</v>
      </c>
      <c r="AN56">
        <v>5.9235842541906052E-2</v>
      </c>
      <c r="AO56">
        <v>2.007044924767969E-2</v>
      </c>
      <c r="AP56">
        <v>4.0647053746208583E-2</v>
      </c>
      <c r="AQ56">
        <v>4.4534747558192908E-2</v>
      </c>
      <c r="AR56">
        <v>6.0923056801295047E-2</v>
      </c>
      <c r="AS56">
        <v>6.3392373546083888E-2</v>
      </c>
      <c r="AT56">
        <v>4.8350372461311797E-2</v>
      </c>
      <c r="AU56">
        <v>9.5072366868235419E-2</v>
      </c>
      <c r="AV56">
        <v>2.2614209412304381E-2</v>
      </c>
      <c r="AW56">
        <v>0</v>
      </c>
    </row>
    <row r="57" spans="1:65" ht="15.75" customHeight="1">
      <c r="A57" s="63"/>
      <c r="B57" s="524"/>
      <c r="C57" s="197" t="s">
        <v>67</v>
      </c>
      <c r="D57">
        <v>0.36580477981904791</v>
      </c>
      <c r="E57">
        <v>1.845708383585122</v>
      </c>
      <c r="F57">
        <v>6.2240773940964937E-2</v>
      </c>
      <c r="G57">
        <v>1.453972536921359</v>
      </c>
      <c r="H57">
        <v>0.86582823127968056</v>
      </c>
      <c r="I57">
        <v>0.83067102681613625</v>
      </c>
      <c r="J57">
        <v>0.83067102681613625</v>
      </c>
      <c r="K57">
        <v>0.83067102681613625</v>
      </c>
      <c r="L57">
        <v>0.14612065219740669</v>
      </c>
      <c r="M57">
        <v>0.65296022397863851</v>
      </c>
      <c r="N57">
        <v>1.04294351480151</v>
      </c>
      <c r="O57">
        <v>1.5310152384878111</v>
      </c>
      <c r="P57">
        <v>2.0406527593274788</v>
      </c>
      <c r="Q57">
        <v>0.36779861287683691</v>
      </c>
      <c r="R57">
        <v>0.51137515997942606</v>
      </c>
      <c r="S57">
        <v>1.506220385159196</v>
      </c>
      <c r="T57">
        <v>0.2229232461315199</v>
      </c>
      <c r="U57">
        <v>1.744692543063306</v>
      </c>
      <c r="V57">
        <v>1.573071213491348</v>
      </c>
      <c r="W57">
        <v>0.47168980953783829</v>
      </c>
      <c r="X57">
        <v>0</v>
      </c>
      <c r="AA57" s="521"/>
      <c r="AB57" s="196" t="s">
        <v>63</v>
      </c>
      <c r="AC57">
        <v>4.3347631483642811E-2</v>
      </c>
      <c r="AD57">
        <v>0.14660486086942259</v>
      </c>
      <c r="AE57">
        <v>2.7078385028576749E-2</v>
      </c>
      <c r="AF57">
        <v>2.0783168714699878</v>
      </c>
      <c r="AG57">
        <v>0.1752584685733036</v>
      </c>
      <c r="AH57">
        <v>0.22986287877093259</v>
      </c>
      <c r="AI57">
        <v>0.22986287877093259</v>
      </c>
      <c r="AJ57">
        <v>0.22986287877093259</v>
      </c>
      <c r="AK57">
        <v>4.4567504631583092E-2</v>
      </c>
      <c r="AL57">
        <v>4.5874553026648397E-2</v>
      </c>
      <c r="AM57">
        <v>3.4656037757981872E-2</v>
      </c>
      <c r="AN57">
        <v>4.5159884018496028E-2</v>
      </c>
      <c r="AO57">
        <v>4.9298705165595792E-2</v>
      </c>
      <c r="AP57">
        <v>2.2330785113400559E-2</v>
      </c>
      <c r="AQ57">
        <v>2.6534671529742732E-2</v>
      </c>
      <c r="AR57">
        <v>2.2971574208611251E-2</v>
      </c>
      <c r="AS57">
        <v>8.9711461627941899E-2</v>
      </c>
      <c r="AT57">
        <v>4.2849703116332162E-2</v>
      </c>
      <c r="AU57">
        <v>5.1440755568521027E-2</v>
      </c>
      <c r="AV57">
        <v>4.1004153083691743E-2</v>
      </c>
      <c r="AW57">
        <v>0</v>
      </c>
    </row>
    <row r="58" spans="1:65" ht="15.75" customHeight="1">
      <c r="A58" s="63"/>
      <c r="B58" s="524"/>
      <c r="C58" s="197" t="s">
        <v>69</v>
      </c>
      <c r="D58">
        <v>0.28222878435045162</v>
      </c>
      <c r="E58">
        <v>0.83242693885903807</v>
      </c>
      <c r="F58">
        <v>0.20887679550054589</v>
      </c>
      <c r="G58">
        <v>4.7761891181062364</v>
      </c>
      <c r="H58">
        <v>2.2931679240239862</v>
      </c>
      <c r="I58">
        <v>2.5211750795936112</v>
      </c>
      <c r="J58">
        <v>2.5211750795936112</v>
      </c>
      <c r="K58">
        <v>2.5211750795936112</v>
      </c>
      <c r="L58">
        <v>3.1188062500202678</v>
      </c>
      <c r="M58">
        <v>0.96968674368472074</v>
      </c>
      <c r="N58">
        <v>0.5741637377954002</v>
      </c>
      <c r="O58">
        <v>1.121340911925802</v>
      </c>
      <c r="P58">
        <v>0.17362030872041209</v>
      </c>
      <c r="Q58">
        <v>0.31426598406255318</v>
      </c>
      <c r="R58">
        <v>4.0772719892868849</v>
      </c>
      <c r="S58">
        <v>1.209493649980353</v>
      </c>
      <c r="T58">
        <v>0.71898062681668939</v>
      </c>
      <c r="U58">
        <v>1.1605721401724971</v>
      </c>
      <c r="V58">
        <v>3.4644823756561909</v>
      </c>
      <c r="W58">
        <v>1.7772561167638761</v>
      </c>
      <c r="X58">
        <v>0</v>
      </c>
      <c r="AA58" s="521"/>
      <c r="AB58" s="196" t="s">
        <v>65</v>
      </c>
      <c r="AC58">
        <v>3.6622185542904633E-2</v>
      </c>
      <c r="AD58">
        <v>7.9100200790588687E-2</v>
      </c>
      <c r="AE58">
        <v>1.213436760842281E-2</v>
      </c>
      <c r="AF58">
        <v>7.2785281315298919E-2</v>
      </c>
      <c r="AG58">
        <v>5.0382068049673177E-2</v>
      </c>
      <c r="AH58">
        <v>3.4141840049120603E-2</v>
      </c>
      <c r="AI58">
        <v>3.4141840049120603E-2</v>
      </c>
      <c r="AJ58">
        <v>3.4141840049120603E-2</v>
      </c>
      <c r="AK58">
        <v>1.7034819172702869E-2</v>
      </c>
      <c r="AL58">
        <v>3.5245509602244221E-2</v>
      </c>
      <c r="AM58">
        <v>2.0951361398901368E-2</v>
      </c>
      <c r="AN58">
        <v>2.5585190836258539E-2</v>
      </c>
      <c r="AO58">
        <v>2.8920095914690181E-2</v>
      </c>
      <c r="AP58">
        <v>1.463963989840264E-2</v>
      </c>
      <c r="AQ58">
        <v>1.265663833744266E-2</v>
      </c>
      <c r="AR58">
        <v>0.10067310750030931</v>
      </c>
      <c r="AS58">
        <v>0.10238007076307989</v>
      </c>
      <c r="AT58">
        <v>3.4799090856600878E-2</v>
      </c>
      <c r="AU58">
        <v>6.1694637549442953E-2</v>
      </c>
      <c r="AV58">
        <v>2.0176404930285701E-2</v>
      </c>
      <c r="AW58">
        <v>0</v>
      </c>
    </row>
    <row r="59" spans="1:65" ht="15.75" customHeight="1">
      <c r="A59" s="63"/>
      <c r="B59" s="524"/>
      <c r="C59" s="197" t="s">
        <v>145</v>
      </c>
      <c r="D59">
        <v>0.67403086953802016</v>
      </c>
      <c r="E59">
        <v>0.85737270188889336</v>
      </c>
      <c r="F59">
        <v>5.4648939026625293E-2</v>
      </c>
      <c r="G59">
        <v>2.6887683907281832</v>
      </c>
      <c r="H59">
        <v>1.4977552563247261</v>
      </c>
      <c r="I59">
        <v>1.612130408928391</v>
      </c>
      <c r="J59">
        <v>1.612130408928391</v>
      </c>
      <c r="K59">
        <v>1.612130408928391</v>
      </c>
      <c r="L59">
        <v>1.367373401927974</v>
      </c>
      <c r="M59">
        <v>0.38222962058160143</v>
      </c>
      <c r="N59">
        <v>0.67284545201732138</v>
      </c>
      <c r="O59">
        <v>1.5187352846051621</v>
      </c>
      <c r="P59">
        <v>1.8776169963788849</v>
      </c>
      <c r="Q59">
        <v>0.38185091097652718</v>
      </c>
      <c r="R59">
        <v>3.262156982460894</v>
      </c>
      <c r="S59">
        <v>3.181920490468515</v>
      </c>
      <c r="T59">
        <v>1.619746611698528</v>
      </c>
      <c r="U59">
        <v>1.1189128748161219</v>
      </c>
      <c r="V59">
        <v>2.733888534361085</v>
      </c>
      <c r="W59">
        <v>0.88050234772568325</v>
      </c>
      <c r="X59">
        <v>0</v>
      </c>
      <c r="AA59" s="521"/>
      <c r="AB59" s="196" t="s">
        <v>67</v>
      </c>
      <c r="AC59">
        <v>3.9341704923185838E-2</v>
      </c>
      <c r="AD59">
        <v>0.1181166474279684</v>
      </c>
      <c r="AE59">
        <v>2.1631441395380271E-2</v>
      </c>
      <c r="AF59">
        <v>0.13842072826331711</v>
      </c>
      <c r="AG59">
        <v>9.346576683303659E-2</v>
      </c>
      <c r="AH59">
        <v>5.6126238721191803E-2</v>
      </c>
      <c r="AI59">
        <v>5.6126238721191803E-2</v>
      </c>
      <c r="AJ59">
        <v>5.6126238721191803E-2</v>
      </c>
      <c r="AK59">
        <v>3.4641251309378188E-2</v>
      </c>
      <c r="AL59">
        <v>3.3878779070587769E-2</v>
      </c>
      <c r="AM59">
        <v>6.4366932353864911E-2</v>
      </c>
      <c r="AN59">
        <v>6.0315556296280007E-2</v>
      </c>
      <c r="AO59">
        <v>3.062203623965239E-2</v>
      </c>
      <c r="AP59">
        <v>5.5138487689878272E-2</v>
      </c>
      <c r="AQ59">
        <v>3.9756355290200947E-2</v>
      </c>
      <c r="AR59">
        <v>5.1792206921388251E-2</v>
      </c>
      <c r="AS59">
        <v>4.6450568534177977E-2</v>
      </c>
      <c r="AT59">
        <v>7.9244250475463102E-2</v>
      </c>
      <c r="AU59">
        <v>7.827753868607952E-2</v>
      </c>
      <c r="AV59">
        <v>3.5890367858532772E-2</v>
      </c>
      <c r="AW59">
        <v>0</v>
      </c>
    </row>
    <row r="60" spans="1:65" ht="15.75" customHeight="1">
      <c r="A60" s="63"/>
      <c r="B60" s="524"/>
      <c r="C60" s="197" t="s">
        <v>73</v>
      </c>
      <c r="D60">
        <v>0.40829871880996937</v>
      </c>
      <c r="E60">
        <v>1.781613722414285</v>
      </c>
      <c r="F60">
        <v>0.10482868840436969</v>
      </c>
      <c r="G60">
        <v>0.82230075246535783</v>
      </c>
      <c r="H60">
        <v>0.23869196474314519</v>
      </c>
      <c r="I60">
        <v>1.134137919169971</v>
      </c>
      <c r="J60">
        <v>1.134137919169971</v>
      </c>
      <c r="K60">
        <v>1.134137919169971</v>
      </c>
      <c r="L60">
        <v>0.24299767951997139</v>
      </c>
      <c r="M60">
        <v>0.2922497026469224</v>
      </c>
      <c r="N60">
        <v>0.87911921879810562</v>
      </c>
      <c r="O60">
        <v>2.0184254061432751</v>
      </c>
      <c r="P60">
        <v>0.63170355227145614</v>
      </c>
      <c r="Q60">
        <v>0.37808921136404822</v>
      </c>
      <c r="R60">
        <v>0.32051078981138459</v>
      </c>
      <c r="S60">
        <v>1.60988900489177</v>
      </c>
      <c r="T60">
        <v>0.43642228946062439</v>
      </c>
      <c r="U60">
        <v>1.192396571063397</v>
      </c>
      <c r="V60">
        <v>0.76062383573029402</v>
      </c>
      <c r="W60">
        <v>4.9975619199015761E-2</v>
      </c>
      <c r="X60">
        <v>0</v>
      </c>
      <c r="Y60" s="5"/>
      <c r="Z60" s="5"/>
      <c r="AA60" s="521"/>
      <c r="AB60" s="196" t="s">
        <v>69</v>
      </c>
      <c r="AC60">
        <v>3.2898673317072663E-2</v>
      </c>
      <c r="AD60">
        <v>6.9935116887660131E-2</v>
      </c>
      <c r="AE60">
        <v>3.052294602572805E-2</v>
      </c>
      <c r="AF60">
        <v>0.37546748479218878</v>
      </c>
      <c r="AG60">
        <v>0.18340892530015479</v>
      </c>
      <c r="AH60">
        <v>0.1198706767164715</v>
      </c>
      <c r="AI60">
        <v>0.1198706767164715</v>
      </c>
      <c r="AJ60">
        <v>0.1198706767164715</v>
      </c>
      <c r="AK60">
        <v>0.1966368119201154</v>
      </c>
      <c r="AL60">
        <v>0.10255613778934509</v>
      </c>
      <c r="AM60">
        <v>3.7018678923714583E-2</v>
      </c>
      <c r="AN60">
        <v>4.51610834396763E-2</v>
      </c>
      <c r="AO60">
        <v>4.5505908832179517E-2</v>
      </c>
      <c r="AP60">
        <v>1.9389688410364109E-2</v>
      </c>
      <c r="AQ60">
        <v>2.4580343024784269E-2</v>
      </c>
      <c r="AR60">
        <v>0.11449663442284511</v>
      </c>
      <c r="AS60">
        <v>4.0034910091475542E-2</v>
      </c>
      <c r="AT60">
        <v>4.5804600139550733E-2</v>
      </c>
      <c r="AU60">
        <v>0.14631783343433311</v>
      </c>
      <c r="AV60">
        <v>7.150139221912484E-2</v>
      </c>
      <c r="AW60">
        <v>0</v>
      </c>
    </row>
    <row r="61" spans="1:65" ht="15.75" customHeight="1">
      <c r="A61" s="63"/>
      <c r="B61" s="524"/>
      <c r="C61" s="197" t="s">
        <v>75</v>
      </c>
      <c r="D61">
        <v>0.46542298686404848</v>
      </c>
      <c r="E61">
        <v>3.7546127303957362</v>
      </c>
      <c r="F61">
        <v>0.27163346972105679</v>
      </c>
      <c r="G61">
        <v>1.591621531535957</v>
      </c>
      <c r="H61">
        <v>0.46805966444945901</v>
      </c>
      <c r="I61">
        <v>2.1142495835586872</v>
      </c>
      <c r="J61">
        <v>2.1142495835586872</v>
      </c>
      <c r="K61">
        <v>2.1142495835586872</v>
      </c>
      <c r="L61">
        <v>1.197311828474233</v>
      </c>
      <c r="M61">
        <v>0.61246583352948003</v>
      </c>
      <c r="N61">
        <v>0.24253036391527499</v>
      </c>
      <c r="O61">
        <v>2.3906022169813061</v>
      </c>
      <c r="P61">
        <v>6.7878893059403769E-2</v>
      </c>
      <c r="Q61">
        <v>0.20183446143552619</v>
      </c>
      <c r="R61">
        <v>1.074707595596369</v>
      </c>
      <c r="S61">
        <v>3.8968389141582001</v>
      </c>
      <c r="T61">
        <v>0.63710194686964317</v>
      </c>
      <c r="U61">
        <v>0.77271706035864529</v>
      </c>
      <c r="V61">
        <v>0.99545302537861491</v>
      </c>
      <c r="W61">
        <v>1.471820872179197</v>
      </c>
      <c r="X61">
        <v>0</v>
      </c>
      <c r="Y61" s="65"/>
      <c r="Z61" s="65"/>
      <c r="AA61" s="521"/>
      <c r="AB61" s="196" t="s">
        <v>145</v>
      </c>
      <c r="AC61">
        <v>2.9739284043358231E-2</v>
      </c>
      <c r="AD61">
        <v>8.8618115423709912E-2</v>
      </c>
      <c r="AE61">
        <v>3.018262910086052E-2</v>
      </c>
      <c r="AF61">
        <v>0.21498876057141569</v>
      </c>
      <c r="AG61">
        <v>0.11030761609201981</v>
      </c>
      <c r="AH61">
        <v>7.7437881156884839E-2</v>
      </c>
      <c r="AI61">
        <v>7.7437881156884839E-2</v>
      </c>
      <c r="AJ61">
        <v>7.7437881156884839E-2</v>
      </c>
      <c r="AK61">
        <v>9.6812955750057897E-2</v>
      </c>
      <c r="AL61">
        <v>4.6915762256254677E-2</v>
      </c>
      <c r="AM61">
        <v>5.7337259827741183E-2</v>
      </c>
      <c r="AN61">
        <v>6.4964300555536397E-2</v>
      </c>
      <c r="AO61">
        <v>0.11784939114615541</v>
      </c>
      <c r="AP61">
        <v>5.7857960335595371E-2</v>
      </c>
      <c r="AQ61">
        <v>5.3850454280031157E-2</v>
      </c>
      <c r="AR61">
        <v>9.8675524180100629E-2</v>
      </c>
      <c r="AS61">
        <v>8.1521991828790663E-2</v>
      </c>
      <c r="AT61">
        <v>5.5992605630738872E-2</v>
      </c>
      <c r="AU61">
        <v>0.1150419705797384</v>
      </c>
      <c r="AV61">
        <v>4.5629608706051393E-2</v>
      </c>
      <c r="AW61">
        <v>0</v>
      </c>
    </row>
    <row r="62" spans="1:65" ht="15.75" customHeight="1">
      <c r="A62" s="63"/>
      <c r="B62" s="524"/>
      <c r="C62" s="197" t="s">
        <v>146</v>
      </c>
      <c r="D62">
        <v>0.41651136334182431</v>
      </c>
      <c r="E62">
        <v>0.66620460542439608</v>
      </c>
      <c r="F62">
        <v>0.1015955192691415</v>
      </c>
      <c r="G62">
        <v>6.3932480048846987</v>
      </c>
      <c r="H62">
        <v>1.441371465292397</v>
      </c>
      <c r="I62">
        <v>0.99209208515171077</v>
      </c>
      <c r="J62">
        <v>0.99209208515171077</v>
      </c>
      <c r="K62">
        <v>0.99209208515171077</v>
      </c>
      <c r="L62">
        <v>0.24294272559022609</v>
      </c>
      <c r="M62">
        <v>0.35467732865936241</v>
      </c>
      <c r="N62">
        <v>0.36634294014791702</v>
      </c>
      <c r="O62">
        <v>0.41212616253807383</v>
      </c>
      <c r="P62">
        <v>0.94770210545054123</v>
      </c>
      <c r="Q62">
        <v>0.51827296999246908</v>
      </c>
      <c r="R62">
        <v>1.435255066898776</v>
      </c>
      <c r="S62">
        <v>4.2794028373427651</v>
      </c>
      <c r="T62">
        <v>0.2476563041552457</v>
      </c>
      <c r="U62">
        <v>1.599607899315975</v>
      </c>
      <c r="V62">
        <v>0.35967532829922599</v>
      </c>
      <c r="W62">
        <v>6.4534326811179904E-2</v>
      </c>
      <c r="X62">
        <v>0</v>
      </c>
      <c r="Y62" s="65"/>
      <c r="Z62" s="65"/>
      <c r="AA62" s="521"/>
      <c r="AB62" s="196" t="s">
        <v>73</v>
      </c>
      <c r="AC62">
        <v>4.8470476055342687E-2</v>
      </c>
      <c r="AD62">
        <v>0.1099808955061239</v>
      </c>
      <c r="AE62">
        <v>3.0288745856524E-2</v>
      </c>
      <c r="AF62">
        <v>6.9690041298123992E-2</v>
      </c>
      <c r="AG62">
        <v>4.2900201209903503E-2</v>
      </c>
      <c r="AH62">
        <v>6.0915488247049399E-2</v>
      </c>
      <c r="AI62">
        <v>6.0915488247049399E-2</v>
      </c>
      <c r="AJ62">
        <v>6.0915488247049399E-2</v>
      </c>
      <c r="AK62">
        <v>2.5218917787712201E-2</v>
      </c>
      <c r="AL62">
        <v>2.7399233669310311E-2</v>
      </c>
      <c r="AM62">
        <v>7.1583256771486359E-2</v>
      </c>
      <c r="AN62">
        <v>0.1075912738140266</v>
      </c>
      <c r="AO62">
        <v>4.6280286027705841E-2</v>
      </c>
      <c r="AP62">
        <v>2.9608942259762919E-2</v>
      </c>
      <c r="AQ62">
        <v>3.8027615054304888E-2</v>
      </c>
      <c r="AR62">
        <v>1.745025596385303E-2</v>
      </c>
      <c r="AS62">
        <v>4.735611179062197E-2</v>
      </c>
      <c r="AT62">
        <v>4.5039474023243521E-2</v>
      </c>
      <c r="AU62">
        <v>4.9224763356017283E-2</v>
      </c>
      <c r="AV62">
        <v>3.333075691442574E-2</v>
      </c>
      <c r="AW62">
        <v>0</v>
      </c>
    </row>
    <row r="63" spans="1:65" ht="15.75" customHeight="1">
      <c r="A63" s="63"/>
      <c r="B63" s="524"/>
      <c r="C63" s="197" t="s">
        <v>83</v>
      </c>
      <c r="D63">
        <v>1.1883418196866891</v>
      </c>
      <c r="E63">
        <v>1.8946372743708939</v>
      </c>
      <c r="F63">
        <v>1.677502414568002</v>
      </c>
      <c r="G63">
        <v>24.43734116521345</v>
      </c>
      <c r="H63">
        <v>1.7086442084199429</v>
      </c>
      <c r="I63">
        <v>3.0184072822550538</v>
      </c>
      <c r="J63">
        <v>3.0184072822550538</v>
      </c>
      <c r="K63">
        <v>3.0184072822550538</v>
      </c>
      <c r="L63">
        <v>1.072172671979662</v>
      </c>
      <c r="M63">
        <v>1.065466453714605</v>
      </c>
      <c r="N63">
        <v>1.209543111744799</v>
      </c>
      <c r="O63">
        <v>1.4120647024367761</v>
      </c>
      <c r="P63">
        <v>0.80691456120421456</v>
      </c>
      <c r="Q63">
        <v>8.6444214549438916E-2</v>
      </c>
      <c r="R63">
        <v>2.540770557857861</v>
      </c>
      <c r="S63">
        <v>7.060267163441778</v>
      </c>
      <c r="T63">
        <v>0.59525802418829576</v>
      </c>
      <c r="U63">
        <v>1.907911125842211</v>
      </c>
      <c r="V63">
        <v>3.4738760830791251</v>
      </c>
      <c r="W63">
        <v>0.25303200837756429</v>
      </c>
      <c r="X63">
        <v>0</v>
      </c>
      <c r="Y63" s="65"/>
      <c r="Z63" s="65"/>
      <c r="AA63" s="521"/>
      <c r="AB63" s="196" t="s">
        <v>75</v>
      </c>
      <c r="AC63">
        <v>6.9994980441440646E-2</v>
      </c>
      <c r="AD63">
        <v>0.22043444551747449</v>
      </c>
      <c r="AE63">
        <v>3.4889613024844411E-2</v>
      </c>
      <c r="AF63">
        <v>0.11011449070769951</v>
      </c>
      <c r="AG63">
        <v>3.4223564826733048E-2</v>
      </c>
      <c r="AH63">
        <v>0.11414086563975891</v>
      </c>
      <c r="AI63">
        <v>0.11414086563975891</v>
      </c>
      <c r="AJ63">
        <v>0.11414086563975891</v>
      </c>
      <c r="AK63">
        <v>7.3406674288632859E-2</v>
      </c>
      <c r="AL63">
        <v>7.1502237380654865E-2</v>
      </c>
      <c r="AM63">
        <v>2.6757327635708789E-2</v>
      </c>
      <c r="AN63">
        <v>9.6627979054555016E-2</v>
      </c>
      <c r="AO63">
        <v>3.7261425159329828E-2</v>
      </c>
      <c r="AP63">
        <v>2.6557003980031229E-2</v>
      </c>
      <c r="AQ63">
        <v>2.3393114465185591E-2</v>
      </c>
      <c r="AR63">
        <v>4.3762298467818643E-2</v>
      </c>
      <c r="AS63">
        <v>8.5110897235827584E-2</v>
      </c>
      <c r="AT63">
        <v>4.0292039052447E-2</v>
      </c>
      <c r="AU63">
        <v>4.3661793609100628E-2</v>
      </c>
      <c r="AV63">
        <v>6.1805112364252172E-2</v>
      </c>
      <c r="AW63">
        <v>0</v>
      </c>
    </row>
    <row r="64" spans="1:65" ht="15.75" customHeight="1">
      <c r="A64" s="63"/>
      <c r="B64" s="524"/>
      <c r="C64" s="197" t="s">
        <v>85</v>
      </c>
      <c r="D64">
        <v>4.4290228013161714</v>
      </c>
      <c r="E64">
        <v>1.7322571252239549</v>
      </c>
      <c r="F64">
        <v>0.40318238370475218</v>
      </c>
      <c r="G64">
        <v>2.002263346298764</v>
      </c>
      <c r="H64">
        <v>0.48665737063598352</v>
      </c>
      <c r="I64">
        <v>2.1453764157502651</v>
      </c>
      <c r="J64">
        <v>2.1453764157502651</v>
      </c>
      <c r="K64">
        <v>2.1453764157502651</v>
      </c>
      <c r="L64">
        <v>0.42449833195590558</v>
      </c>
      <c r="M64">
        <v>0.42896285794724659</v>
      </c>
      <c r="N64">
        <v>1.3825840313861619</v>
      </c>
      <c r="O64">
        <v>0.59586077610599997</v>
      </c>
      <c r="P64">
        <v>1.1264472095611799</v>
      </c>
      <c r="Q64">
        <v>0.39621303678991088</v>
      </c>
      <c r="R64">
        <v>1.2657512007712091</v>
      </c>
      <c r="S64">
        <v>3.88422244026847</v>
      </c>
      <c r="T64">
        <v>1.162459339286315</v>
      </c>
      <c r="U64">
        <v>0.88088239181368133</v>
      </c>
      <c r="V64">
        <v>2.9412246544506231</v>
      </c>
      <c r="W64">
        <v>2.0292108991692608</v>
      </c>
      <c r="X64">
        <v>0</v>
      </c>
      <c r="Y64" s="65"/>
      <c r="Z64" s="65"/>
      <c r="AA64" s="521"/>
      <c r="AB64" s="196" t="s">
        <v>146</v>
      </c>
      <c r="AC64">
        <v>4.7746538196420017E-2</v>
      </c>
      <c r="AD64">
        <v>8.8652142683244728E-2</v>
      </c>
      <c r="AE64">
        <v>2.3715388748772739E-2</v>
      </c>
      <c r="AF64">
        <v>0.48335629424246951</v>
      </c>
      <c r="AG64">
        <v>0.14443477409945141</v>
      </c>
      <c r="AH64">
        <v>8.3699186454931407E-2</v>
      </c>
      <c r="AI64">
        <v>8.3699186454931407E-2</v>
      </c>
      <c r="AJ64">
        <v>8.3699186454931407E-2</v>
      </c>
      <c r="AK64">
        <v>4.226313065657477E-2</v>
      </c>
      <c r="AL64">
        <v>3.7472593837880819E-2</v>
      </c>
      <c r="AM64">
        <v>2.8577033570098311E-2</v>
      </c>
      <c r="AN64">
        <v>2.7839214102154931E-2</v>
      </c>
      <c r="AO64">
        <v>2.47700447452728E-2</v>
      </c>
      <c r="AP64">
        <v>3.9940052470642369E-2</v>
      </c>
      <c r="AQ64">
        <v>4.7204283026437609E-2</v>
      </c>
      <c r="AR64">
        <v>4.9670210691166103E-2</v>
      </c>
      <c r="AS64">
        <v>0.1052493643960319</v>
      </c>
      <c r="AT64">
        <v>6.6605211729668212E-2</v>
      </c>
      <c r="AU64">
        <v>3.9950261443151162E-2</v>
      </c>
      <c r="AV64">
        <v>2.066121174246089E-2</v>
      </c>
      <c r="AW64">
        <v>0</v>
      </c>
    </row>
    <row r="65" spans="1:49" ht="15.75" customHeight="1">
      <c r="A65" s="63"/>
      <c r="B65" s="524"/>
      <c r="C65" s="197" t="s">
        <v>88</v>
      </c>
      <c r="D65">
        <v>1.0267748326900941</v>
      </c>
      <c r="E65">
        <v>0.48063007052376588</v>
      </c>
      <c r="F65">
        <v>0.50475458468438827</v>
      </c>
      <c r="G65">
        <v>2.2291488883803932</v>
      </c>
      <c r="H65">
        <v>0.65244766634723039</v>
      </c>
      <c r="I65">
        <v>0.76219471672633865</v>
      </c>
      <c r="J65">
        <v>0.76219471672633865</v>
      </c>
      <c r="K65">
        <v>0.76219471672633865</v>
      </c>
      <c r="L65">
        <v>1.9800584240839789</v>
      </c>
      <c r="M65">
        <v>1.062853384116939</v>
      </c>
      <c r="N65">
        <v>0.50467523154410399</v>
      </c>
      <c r="O65">
        <v>2.476025633563709</v>
      </c>
      <c r="P65">
        <v>3.4503869864599901</v>
      </c>
      <c r="Q65">
        <v>0.32321981959956347</v>
      </c>
      <c r="R65">
        <v>2.3456474570013</v>
      </c>
      <c r="S65">
        <v>4.5964016089291437</v>
      </c>
      <c r="T65">
        <v>0.76175335306220893</v>
      </c>
      <c r="U65">
        <v>1.811128683100109</v>
      </c>
      <c r="V65">
        <v>3.667479548197047</v>
      </c>
      <c r="W65">
        <v>4.9458128460296728E-2</v>
      </c>
      <c r="X65">
        <v>0</v>
      </c>
      <c r="Y65" s="65"/>
      <c r="Z65" s="65"/>
      <c r="AA65" s="521"/>
      <c r="AB65" s="196" t="s">
        <v>83</v>
      </c>
      <c r="AC65">
        <v>5.9800722641522641E-2</v>
      </c>
      <c r="AD65">
        <v>0.40157991843086721</v>
      </c>
      <c r="AE65">
        <v>9.7122938391919586E-2</v>
      </c>
      <c r="AF65">
        <v>1.8414185776608401</v>
      </c>
      <c r="AG65">
        <v>0.13657084805311229</v>
      </c>
      <c r="AH65">
        <v>0.68510845509127816</v>
      </c>
      <c r="AI65">
        <v>0.68510845509127816</v>
      </c>
      <c r="AJ65">
        <v>0.68510845509127816</v>
      </c>
      <c r="AK65">
        <v>0.1018639529392395</v>
      </c>
      <c r="AL65">
        <v>0.12593491408454771</v>
      </c>
      <c r="AM65">
        <v>0.10488790683864541</v>
      </c>
      <c r="AN65">
        <v>7.24271926033761E-2</v>
      </c>
      <c r="AO65">
        <v>5.6870226267021533E-2</v>
      </c>
      <c r="AP65">
        <v>6.0303599240707287E-2</v>
      </c>
      <c r="AQ65">
        <v>3.9853595766028961E-2</v>
      </c>
      <c r="AR65">
        <v>6.2763185531468244E-2</v>
      </c>
      <c r="AS65">
        <v>0.1490536211669842</v>
      </c>
      <c r="AT65">
        <v>7.9165577072585563E-2</v>
      </c>
      <c r="AU65">
        <v>0.16510344870075469</v>
      </c>
      <c r="AV65">
        <v>2.906767083234316E-2</v>
      </c>
      <c r="AW65">
        <v>0</v>
      </c>
    </row>
    <row r="66" spans="1:49" ht="15.75" customHeight="1">
      <c r="A66" s="63"/>
      <c r="B66" s="524"/>
      <c r="C66" s="197" t="s">
        <v>147</v>
      </c>
      <c r="D66">
        <v>22.6168821655416</v>
      </c>
      <c r="E66">
        <v>1.892010074181989</v>
      </c>
      <c r="F66">
        <v>7.1428690112272673</v>
      </c>
      <c r="G66">
        <v>9.5813775532833709</v>
      </c>
      <c r="H66">
        <v>1.179356790483032</v>
      </c>
      <c r="I66">
        <v>6.896766333695421</v>
      </c>
      <c r="J66">
        <v>6.896766333695421</v>
      </c>
      <c r="K66">
        <v>6.896766333695421</v>
      </c>
      <c r="L66">
        <v>0.74042075156716503</v>
      </c>
      <c r="M66">
        <v>10.35862244473501</v>
      </c>
      <c r="N66">
        <v>6.6020115059280178</v>
      </c>
      <c r="O66">
        <v>1.0587949183811181</v>
      </c>
      <c r="P66">
        <v>2.165994304941111</v>
      </c>
      <c r="Q66">
        <v>10.11441915467047</v>
      </c>
      <c r="R66">
        <v>1.830566099588995</v>
      </c>
      <c r="S66">
        <v>16.8896293215052</v>
      </c>
      <c r="T66">
        <v>6.3997769956470636</v>
      </c>
      <c r="U66">
        <v>12.58007805453177</v>
      </c>
      <c r="V66">
        <v>3.0510532526643308</v>
      </c>
      <c r="W66">
        <v>40.365273336576763</v>
      </c>
      <c r="X66">
        <v>0</v>
      </c>
      <c r="Y66" s="65"/>
      <c r="Z66" s="65"/>
      <c r="AA66" s="521"/>
      <c r="AB66" s="196" t="s">
        <v>85</v>
      </c>
      <c r="AC66">
        <v>0.2298932922220274</v>
      </c>
      <c r="AD66">
        <v>0.14476451998493631</v>
      </c>
      <c r="AE66">
        <v>4.7258330558591147E-2</v>
      </c>
      <c r="AF66">
        <v>0.1281790020645544</v>
      </c>
      <c r="AG66">
        <v>5.6161390594192277E-2</v>
      </c>
      <c r="AH66">
        <v>0.10869866236724809</v>
      </c>
      <c r="AI66">
        <v>0.10869866236724809</v>
      </c>
      <c r="AJ66">
        <v>0.10869866236724809</v>
      </c>
      <c r="AK66">
        <v>6.5589622054036831E-2</v>
      </c>
      <c r="AL66">
        <v>3.1032828554292881E-2</v>
      </c>
      <c r="AM66">
        <v>9.2561922454214782E-2</v>
      </c>
      <c r="AN66">
        <v>5.630576931064557E-2</v>
      </c>
      <c r="AO66">
        <v>9.8188707020428048E-2</v>
      </c>
      <c r="AP66">
        <v>4.8886349104936819E-2</v>
      </c>
      <c r="AQ66">
        <v>4.3848236728256829E-2</v>
      </c>
      <c r="AR66">
        <v>4.5678570010216427E-2</v>
      </c>
      <c r="AS66">
        <v>8.7213679742786418E-2</v>
      </c>
      <c r="AT66">
        <v>3.7816890013597441E-2</v>
      </c>
      <c r="AU66">
        <v>0.13530732269962931</v>
      </c>
      <c r="AV66">
        <v>8.282751785891497E-2</v>
      </c>
      <c r="AW66">
        <v>0</v>
      </c>
    </row>
    <row r="67" spans="1:49" ht="15.75" customHeight="1">
      <c r="A67" s="63"/>
      <c r="B67" s="63"/>
      <c r="C67" s="63"/>
      <c r="D67" s="63"/>
      <c r="E67" s="63"/>
      <c r="F67" s="63"/>
      <c r="G67" s="63"/>
      <c r="H67" s="63"/>
      <c r="I67" s="63"/>
      <c r="J67" s="63"/>
      <c r="K67" s="63"/>
      <c r="L67" s="63"/>
      <c r="M67" s="63"/>
      <c r="N67" s="63"/>
      <c r="O67" s="63"/>
      <c r="P67" s="63"/>
      <c r="Q67" s="63"/>
      <c r="R67" s="63"/>
      <c r="S67" s="63"/>
      <c r="T67" s="63"/>
      <c r="U67" s="63"/>
      <c r="V67" s="63"/>
      <c r="W67" s="63"/>
      <c r="X67" s="65"/>
      <c r="Y67" s="65"/>
      <c r="Z67" s="65"/>
      <c r="AA67" s="521"/>
      <c r="AB67" s="196" t="s">
        <v>88</v>
      </c>
      <c r="AC67">
        <v>5.8165929493180279E-2</v>
      </c>
      <c r="AD67">
        <v>8.3104642293862871E-2</v>
      </c>
      <c r="AE67">
        <v>5.2706392064716237E-2</v>
      </c>
      <c r="AF67">
        <v>0.1526730546593216</v>
      </c>
      <c r="AG67">
        <v>7.4395400458631675E-2</v>
      </c>
      <c r="AH67">
        <v>4.529352659402474E-2</v>
      </c>
      <c r="AI67">
        <v>4.529352659402474E-2</v>
      </c>
      <c r="AJ67">
        <v>4.529352659402474E-2</v>
      </c>
      <c r="AK67">
        <v>0.13507890667208011</v>
      </c>
      <c r="AL67">
        <v>0.11132306279285339</v>
      </c>
      <c r="AM67">
        <v>3.5150930291477027E-2</v>
      </c>
      <c r="AN67">
        <v>0.10484594461180261</v>
      </c>
      <c r="AO67">
        <v>6.166888519139848E-2</v>
      </c>
      <c r="AP67">
        <v>9.2691064621736791E-2</v>
      </c>
      <c r="AQ67">
        <v>3.2229267554932411E-2</v>
      </c>
      <c r="AR67">
        <v>6.7703765280404546E-2</v>
      </c>
      <c r="AS67">
        <v>0.1007304594874035</v>
      </c>
      <c r="AT67">
        <v>6.8535925831785555E-2</v>
      </c>
      <c r="AU67">
        <v>0.1540682753626009</v>
      </c>
      <c r="AV67">
        <v>1.5954220762106491E-2</v>
      </c>
      <c r="AW67">
        <v>0</v>
      </c>
    </row>
    <row r="68" spans="1:49" ht="15.75" customHeight="1">
      <c r="A68" s="63"/>
      <c r="B68" s="527" t="s">
        <v>747</v>
      </c>
      <c r="C68" s="527"/>
      <c r="D68" s="527"/>
      <c r="E68" s="527"/>
      <c r="F68" s="527"/>
      <c r="G68" s="527"/>
      <c r="H68" s="527"/>
      <c r="I68" s="527"/>
      <c r="J68" s="527"/>
      <c r="K68" s="527"/>
      <c r="L68" s="527"/>
      <c r="M68" s="527"/>
      <c r="N68" s="527"/>
      <c r="O68" s="527"/>
      <c r="P68" s="527"/>
      <c r="Q68" s="527"/>
      <c r="R68" s="527"/>
      <c r="S68" s="527"/>
      <c r="T68" s="527"/>
      <c r="U68" s="527"/>
      <c r="V68" s="527"/>
      <c r="W68" s="527"/>
      <c r="X68" s="527"/>
      <c r="Y68" s="65"/>
      <c r="Z68" s="65"/>
      <c r="AA68" s="521"/>
      <c r="AB68" s="196" t="s">
        <v>147</v>
      </c>
      <c r="AC68">
        <v>0.83173979589362468</v>
      </c>
      <c r="AD68">
        <v>0.31073783332773158</v>
      </c>
      <c r="AE68">
        <v>0.40846628953255998</v>
      </c>
      <c r="AF68">
        <v>0.68148158681389637</v>
      </c>
      <c r="AG68">
        <v>0.65381492206621772</v>
      </c>
      <c r="AH68">
        <v>1.5439514716514311</v>
      </c>
      <c r="AI68">
        <v>1.5439514716514311</v>
      </c>
      <c r="AJ68">
        <v>1.5439514716514311</v>
      </c>
      <c r="AK68">
        <v>0.1706656350740838</v>
      </c>
      <c r="AL68">
        <v>0.61097577253438262</v>
      </c>
      <c r="AM68">
        <v>0.37696852162505418</v>
      </c>
      <c r="AN68">
        <v>0.29118730769199669</v>
      </c>
      <c r="AO68">
        <v>0.42358909261709432</v>
      </c>
      <c r="AP68">
        <v>0.25368238378242552</v>
      </c>
      <c r="AQ68">
        <v>1.0579554310683279</v>
      </c>
      <c r="AR68">
        <v>0.2380720711471114</v>
      </c>
      <c r="AS68">
        <v>0.3029360958970122</v>
      </c>
      <c r="AT68">
        <v>0.37321726624650658</v>
      </c>
      <c r="AU68">
        <v>0.1675185819888752</v>
      </c>
      <c r="AV68">
        <v>1.408957212051382</v>
      </c>
      <c r="AW68">
        <v>0</v>
      </c>
    </row>
    <row r="69" spans="1:49" ht="15.75" customHeight="1">
      <c r="A69" s="63"/>
      <c r="D69" s="197" t="s">
        <v>139</v>
      </c>
      <c r="E69" s="197" t="s">
        <v>37</v>
      </c>
      <c r="F69" s="197" t="s">
        <v>140</v>
      </c>
      <c r="G69" s="197" t="s">
        <v>48</v>
      </c>
      <c r="H69" s="197" t="s">
        <v>141</v>
      </c>
      <c r="I69" s="197" t="s">
        <v>58</v>
      </c>
      <c r="J69" s="197" t="s">
        <v>58</v>
      </c>
      <c r="K69" s="197" t="s">
        <v>58</v>
      </c>
      <c r="L69" s="197" t="s">
        <v>61</v>
      </c>
      <c r="M69" s="197" t="s">
        <v>63</v>
      </c>
      <c r="N69" s="197" t="s">
        <v>65</v>
      </c>
      <c r="O69" s="197" t="s">
        <v>67</v>
      </c>
      <c r="P69" s="197" t="s">
        <v>69</v>
      </c>
      <c r="Q69" s="197" t="s">
        <v>145</v>
      </c>
      <c r="R69" s="197" t="s">
        <v>73</v>
      </c>
      <c r="S69" s="197" t="s">
        <v>75</v>
      </c>
      <c r="T69" s="197" t="s">
        <v>146</v>
      </c>
      <c r="U69" s="197" t="s">
        <v>83</v>
      </c>
      <c r="V69" s="197" t="s">
        <v>85</v>
      </c>
      <c r="W69" s="197" t="s">
        <v>88</v>
      </c>
      <c r="X69" s="197" t="s">
        <v>147</v>
      </c>
      <c r="Y69" s="65"/>
      <c r="Z69" s="65"/>
      <c r="AA69" s="12"/>
      <c r="AB69" s="12"/>
      <c r="AC69" s="12"/>
      <c r="AD69" s="12"/>
      <c r="AE69" s="65"/>
      <c r="AF69" s="12"/>
    </row>
    <row r="70" spans="1:49" ht="15.75" customHeight="1">
      <c r="A70" s="63"/>
      <c r="B70" s="524" t="s">
        <v>742</v>
      </c>
      <c r="C70" s="197" t="s">
        <v>139</v>
      </c>
      <c r="D70">
        <v>5.5685398007148328E-2</v>
      </c>
      <c r="E70">
        <v>0.28312828180555089</v>
      </c>
      <c r="F70">
        <v>1.475956760902775E-2</v>
      </c>
      <c r="G70">
        <v>0.53649728255151907</v>
      </c>
      <c r="H70">
        <v>0.29939674065010369</v>
      </c>
      <c r="I70">
        <v>1.7121987060986821</v>
      </c>
      <c r="J70">
        <v>1.7121987060986821</v>
      </c>
      <c r="K70">
        <v>1.7121987060986821</v>
      </c>
      <c r="L70">
        <v>0.5371963087410847</v>
      </c>
      <c r="M70">
        <v>-2.8294946763932741E-2</v>
      </c>
      <c r="N70">
        <v>6.7129323593176693E-2</v>
      </c>
      <c r="O70">
        <v>7.5971078617375509E-2</v>
      </c>
      <c r="P70">
        <v>-8.7969905563756057E-2</v>
      </c>
      <c r="Q70">
        <v>0.1047963219573749</v>
      </c>
      <c r="R70">
        <v>0.105165294008998</v>
      </c>
      <c r="S70">
        <v>0.76680940396703368</v>
      </c>
      <c r="T70">
        <v>-0.112718797473691</v>
      </c>
      <c r="U70">
        <v>0.2959799378437491</v>
      </c>
      <c r="V70">
        <v>0.10151572072607951</v>
      </c>
      <c r="W70">
        <v>0.15739344848908071</v>
      </c>
      <c r="X70">
        <v>0</v>
      </c>
      <c r="Y70" s="65"/>
      <c r="Z70" s="65"/>
      <c r="AA70" s="65"/>
      <c r="AB70" s="529" t="s">
        <v>777</v>
      </c>
      <c r="AC70" s="530"/>
      <c r="AD70" s="530"/>
      <c r="AE70" s="530"/>
      <c r="AF70" s="530"/>
      <c r="AG70" s="530"/>
      <c r="AH70" s="530"/>
      <c r="AI70" s="530"/>
      <c r="AJ70" s="530"/>
      <c r="AK70" s="530"/>
      <c r="AL70" s="530"/>
      <c r="AM70" s="530"/>
      <c r="AN70" s="530"/>
      <c r="AO70" s="530"/>
      <c r="AP70" s="530"/>
      <c r="AQ70" s="530"/>
      <c r="AR70" s="530"/>
      <c r="AS70" s="530"/>
      <c r="AT70" s="530"/>
      <c r="AU70" s="530"/>
      <c r="AV70" s="530"/>
      <c r="AW70" s="530"/>
    </row>
    <row r="71" spans="1:49" ht="15.75" customHeight="1">
      <c r="A71" s="63"/>
      <c r="B71" s="524"/>
      <c r="C71" s="197" t="s">
        <v>37</v>
      </c>
      <c r="D71">
        <v>0.88960920772928653</v>
      </c>
      <c r="E71">
        <v>-0.24009071055553849</v>
      </c>
      <c r="F71">
        <v>-1.525797224714787E-2</v>
      </c>
      <c r="G71">
        <v>0.42427973981166439</v>
      </c>
      <c r="H71">
        <v>0.26289023183545451</v>
      </c>
      <c r="I71">
        <v>0.1980272832508925</v>
      </c>
      <c r="J71">
        <v>0.1980272832508925</v>
      </c>
      <c r="K71">
        <v>0.1980272832508925</v>
      </c>
      <c r="L71">
        <v>-0.22939092408178469</v>
      </c>
      <c r="M71">
        <v>-0.17201929903803229</v>
      </c>
      <c r="N71">
        <v>-0.2411079813271704</v>
      </c>
      <c r="O71">
        <v>-9.4234591913052723E-3</v>
      </c>
      <c r="P71">
        <v>0.2490348568647196</v>
      </c>
      <c r="Q71">
        <v>-0.3948484220514823</v>
      </c>
      <c r="R71">
        <v>0.52864075311729386</v>
      </c>
      <c r="S71">
        <v>1.094048300824787</v>
      </c>
      <c r="T71">
        <v>-0.58032690827140654</v>
      </c>
      <c r="U71">
        <v>-0.26202039925654402</v>
      </c>
      <c r="V71">
        <v>-0.39828957786348251</v>
      </c>
      <c r="W71">
        <v>-0.35705621275421018</v>
      </c>
      <c r="X71">
        <v>0</v>
      </c>
      <c r="Y71" s="65"/>
      <c r="Z71" s="65"/>
      <c r="AA71" s="65"/>
      <c r="AB71" s="206"/>
      <c r="AC71" s="206" t="s">
        <v>139</v>
      </c>
      <c r="AD71" s="206" t="s">
        <v>37</v>
      </c>
      <c r="AE71" s="206" t="s">
        <v>140</v>
      </c>
      <c r="AF71" s="206" t="s">
        <v>48</v>
      </c>
      <c r="AG71" s="206" t="s">
        <v>141</v>
      </c>
      <c r="AH71" s="206" t="s">
        <v>58</v>
      </c>
      <c r="AI71" s="206" t="s">
        <v>58</v>
      </c>
      <c r="AJ71" s="206" t="s">
        <v>58</v>
      </c>
      <c r="AK71" s="206" t="s">
        <v>61</v>
      </c>
      <c r="AL71" s="206" t="s">
        <v>63</v>
      </c>
      <c r="AM71" s="206" t="s">
        <v>65</v>
      </c>
      <c r="AN71" s="206" t="s">
        <v>67</v>
      </c>
      <c r="AO71" s="206" t="s">
        <v>69</v>
      </c>
      <c r="AP71" s="206" t="s">
        <v>145</v>
      </c>
      <c r="AQ71" s="206" t="s">
        <v>73</v>
      </c>
      <c r="AR71" s="206" t="s">
        <v>75</v>
      </c>
      <c r="AS71" s="206" t="s">
        <v>146</v>
      </c>
      <c r="AT71" s="206" t="s">
        <v>83</v>
      </c>
      <c r="AU71" s="206" t="s">
        <v>85</v>
      </c>
      <c r="AV71" s="206" t="s">
        <v>88</v>
      </c>
      <c r="AW71" s="206" t="s">
        <v>147</v>
      </c>
    </row>
    <row r="72" spans="1:49" ht="15.75" customHeight="1">
      <c r="A72" s="63"/>
      <c r="B72" s="524"/>
      <c r="C72" s="197" t="s">
        <v>140</v>
      </c>
      <c r="D72">
        <v>0.30628491780825962</v>
      </c>
      <c r="E72">
        <v>0.70944808666163439</v>
      </c>
      <c r="F72">
        <v>0.15443004677627289</v>
      </c>
      <c r="G72">
        <v>0.3878537896077856</v>
      </c>
      <c r="H72">
        <v>0.22246147598707469</v>
      </c>
      <c r="I72">
        <v>0.6473312572936778</v>
      </c>
      <c r="J72">
        <v>0.6473312572936778</v>
      </c>
      <c r="K72">
        <v>0.6473312572936778</v>
      </c>
      <c r="L72">
        <v>0.31863207137701738</v>
      </c>
      <c r="M72">
        <v>0.148449285980256</v>
      </c>
      <c r="N72">
        <v>0.17295473632343669</v>
      </c>
      <c r="O72">
        <v>0.31122432631156499</v>
      </c>
      <c r="P72">
        <v>0.17864312110414299</v>
      </c>
      <c r="Q72">
        <v>0.14173200529915089</v>
      </c>
      <c r="R72">
        <v>0.3064946117427565</v>
      </c>
      <c r="S72">
        <v>1.0429427727842471</v>
      </c>
      <c r="T72">
        <v>0.1243978059299282</v>
      </c>
      <c r="U72">
        <v>0.4458217516417271</v>
      </c>
      <c r="V72">
        <v>0.46162493689437212</v>
      </c>
      <c r="W72">
        <v>0.38994373530810938</v>
      </c>
      <c r="X72">
        <v>0</v>
      </c>
      <c r="Y72" s="65"/>
      <c r="Z72" s="65"/>
      <c r="AA72" s="65"/>
      <c r="AB72" s="206" t="s">
        <v>742</v>
      </c>
      <c r="AC72">
        <v>-6.2170946516553393E-3</v>
      </c>
      <c r="AD72">
        <v>1.6148186300265939E-2</v>
      </c>
      <c r="AE72">
        <v>1.1701222643090431E-2</v>
      </c>
      <c r="AF72">
        <v>1.132822461931373E-2</v>
      </c>
      <c r="AG72">
        <v>2.680051162153756E-2</v>
      </c>
      <c r="AH72">
        <v>1.9424708220425881E-2</v>
      </c>
      <c r="AI72">
        <v>1.9424708220425881E-2</v>
      </c>
      <c r="AJ72">
        <v>1.9424708220425881E-2</v>
      </c>
      <c r="AK72">
        <v>-1.6864198135564019E-2</v>
      </c>
      <c r="AL72">
        <v>-6.5671194295776007E-3</v>
      </c>
      <c r="AM72">
        <v>-4.8112129663264221E-3</v>
      </c>
      <c r="AN72">
        <v>-1.535242778681828E-3</v>
      </c>
      <c r="AO72">
        <v>-1.813419319794201E-2</v>
      </c>
      <c r="AP72">
        <v>-1.0010417066213979E-3</v>
      </c>
      <c r="AQ72">
        <v>1.303229878241368E-2</v>
      </c>
      <c r="AR72">
        <v>-4.0474809883077412E-3</v>
      </c>
      <c r="AS72">
        <v>-2.6703262339603129E-2</v>
      </c>
      <c r="AT72">
        <v>8.7144786930250361E-3</v>
      </c>
      <c r="AU72">
        <v>6.388054109362021E-3</v>
      </c>
      <c r="AV72">
        <v>4.2134333575064679E-3</v>
      </c>
      <c r="AW72">
        <v>6.8841898508521706E-3</v>
      </c>
    </row>
    <row r="73" spans="1:49" ht="15.75" customHeight="1">
      <c r="A73" s="63"/>
      <c r="B73" s="524"/>
      <c r="C73" s="197" t="s">
        <v>48</v>
      </c>
      <c r="D73">
        <v>-0.107160911425611</v>
      </c>
      <c r="E73">
        <v>0.91377946275695598</v>
      </c>
      <c r="F73">
        <v>-0.13380429381878031</v>
      </c>
      <c r="G73">
        <v>0.79852254528492894</v>
      </c>
      <c r="H73">
        <v>0.30375090854784431</v>
      </c>
      <c r="I73">
        <v>0.40915385984902991</v>
      </c>
      <c r="J73">
        <v>0.40915385984902991</v>
      </c>
      <c r="K73">
        <v>0.40915385984902991</v>
      </c>
      <c r="L73">
        <v>2.5249196043066299E-2</v>
      </c>
      <c r="M73">
        <v>1.9767752697443571E-2</v>
      </c>
      <c r="N73">
        <v>-4.1819540626137131E-2</v>
      </c>
      <c r="O73">
        <v>-0.1074575534680922</v>
      </c>
      <c r="P73">
        <v>-0.22368714432840409</v>
      </c>
      <c r="Q73">
        <v>2.5549944236719298E-2</v>
      </c>
      <c r="R73">
        <v>4.2604575633272468E-2</v>
      </c>
      <c r="S73">
        <v>5.3734575965540543E-2</v>
      </c>
      <c r="T73">
        <v>5.8166785014102329E-2</v>
      </c>
      <c r="U73">
        <v>0.1440779374917478</v>
      </c>
      <c r="V73">
        <v>-0.1056676871924033</v>
      </c>
      <c r="W73">
        <v>0.1351511966402017</v>
      </c>
      <c r="X73">
        <v>0</v>
      </c>
      <c r="Y73" s="65"/>
      <c r="Z73" s="65"/>
      <c r="AA73" s="65"/>
      <c r="AB73" s="231"/>
      <c r="AC73" s="194"/>
      <c r="AD73" s="194"/>
      <c r="AE73" s="194"/>
      <c r="AF73" s="194"/>
      <c r="AG73" s="194"/>
      <c r="AH73" s="194"/>
      <c r="AI73" s="194"/>
      <c r="AJ73" s="194"/>
      <c r="AK73" s="194"/>
      <c r="AL73" s="194"/>
      <c r="AM73" s="194"/>
      <c r="AN73" s="194"/>
      <c r="AO73" s="194"/>
      <c r="AP73" s="194"/>
      <c r="AQ73" s="194"/>
      <c r="AR73" s="194"/>
      <c r="AS73" s="194"/>
      <c r="AT73" s="194"/>
      <c r="AU73" s="194"/>
      <c r="AV73" s="194"/>
      <c r="AW73" s="194"/>
    </row>
    <row r="74" spans="1:49" ht="15.75" customHeight="1">
      <c r="A74" s="63"/>
      <c r="B74" s="524"/>
      <c r="C74" s="197" t="s">
        <v>141</v>
      </c>
      <c r="D74">
        <v>-0.13772606826036679</v>
      </c>
      <c r="E74">
        <v>0.66938823886298549</v>
      </c>
      <c r="F74">
        <v>0.19022532625919089</v>
      </c>
      <c r="G74">
        <v>0.97067866177242457</v>
      </c>
      <c r="H74">
        <v>0.24100517888163411</v>
      </c>
      <c r="I74">
        <v>0.69291039866510462</v>
      </c>
      <c r="J74">
        <v>0.69291039866510462</v>
      </c>
      <c r="K74">
        <v>0.69291039866510462</v>
      </c>
      <c r="L74">
        <v>0.48558551951568663</v>
      </c>
      <c r="M74">
        <v>0.2086943875404752</v>
      </c>
      <c r="N74">
        <v>0.30667539634151919</v>
      </c>
      <c r="O74">
        <v>-0.10934548888263949</v>
      </c>
      <c r="P74">
        <v>0.2289460261598992</v>
      </c>
      <c r="Q74">
        <v>0.294127710593731</v>
      </c>
      <c r="R74">
        <v>0.65915408509135753</v>
      </c>
      <c r="S74">
        <v>0.97381593954861878</v>
      </c>
      <c r="T74">
        <v>0.25721272557727293</v>
      </c>
      <c r="U74">
        <v>1.179982367313213</v>
      </c>
      <c r="V74">
        <v>0.26764214970356531</v>
      </c>
      <c r="W74">
        <v>0.33342482625011183</v>
      </c>
      <c r="X74">
        <v>0</v>
      </c>
      <c r="Y74" s="65"/>
      <c r="Z74" s="65"/>
      <c r="AA74" s="12"/>
      <c r="AB74" s="206" t="s">
        <v>743</v>
      </c>
      <c r="AC74">
        <v>-6.1414016116323467E-3</v>
      </c>
      <c r="AD74">
        <v>-2.4932075410719619E-3</v>
      </c>
      <c r="AE74">
        <v>1.2879307039982409E-2</v>
      </c>
      <c r="AF74">
        <v>1.9038255509008509E-2</v>
      </c>
      <c r="AG74">
        <v>1.4245873588508481E-2</v>
      </c>
      <c r="AH74">
        <v>1.0212348097136781E-2</v>
      </c>
      <c r="AI74">
        <v>1.0212348097136781E-2</v>
      </c>
      <c r="AJ74">
        <v>1.0212348097136781E-2</v>
      </c>
      <c r="AK74">
        <v>-9.183803991571482E-3</v>
      </c>
      <c r="AL74">
        <v>-6.9661908837507216E-3</v>
      </c>
      <c r="AM74">
        <v>-2.3178508551079391E-3</v>
      </c>
      <c r="AN74">
        <v>-5.5617406483270404E-3</v>
      </c>
      <c r="AO74">
        <v>-1.3480144115321609E-2</v>
      </c>
      <c r="AP74">
        <v>-1.935596704566334E-3</v>
      </c>
      <c r="AQ74">
        <v>7.042548360990164E-3</v>
      </c>
      <c r="AR74">
        <v>1.419597363925051E-3</v>
      </c>
      <c r="AS74">
        <v>-2.3651714657598081E-2</v>
      </c>
      <c r="AT74">
        <v>2.0397421573414838E-3</v>
      </c>
      <c r="AU74">
        <v>8.6840420876350688E-3</v>
      </c>
      <c r="AV74">
        <v>5.3164758933224032E-3</v>
      </c>
      <c r="AW74">
        <v>2.3805823431876091E-2</v>
      </c>
    </row>
    <row r="75" spans="1:49" ht="15.75" customHeight="1">
      <c r="A75" s="63"/>
      <c r="B75" s="524"/>
      <c r="C75" s="197" t="s">
        <v>58</v>
      </c>
      <c r="D75">
        <v>0.12196659764018709</v>
      </c>
      <c r="E75">
        <v>0.8976042150032757</v>
      </c>
      <c r="F75">
        <v>0.15283198604541789</v>
      </c>
      <c r="G75">
        <v>1.219394712019199</v>
      </c>
      <c r="H75">
        <v>5.1913691852268677E-2</v>
      </c>
      <c r="I75">
        <v>0.84711234701887372</v>
      </c>
      <c r="J75">
        <v>0.84711234701887372</v>
      </c>
      <c r="K75">
        <v>0.84711234701887372</v>
      </c>
      <c r="L75">
        <v>-0.13978054651779501</v>
      </c>
      <c r="M75">
        <v>0.21453387709315089</v>
      </c>
      <c r="N75">
        <v>0.16328554510168919</v>
      </c>
      <c r="O75">
        <v>0.34873819085848412</v>
      </c>
      <c r="P75">
        <v>0.2243556036812602</v>
      </c>
      <c r="Q75">
        <v>0.110465507602634</v>
      </c>
      <c r="R75">
        <v>7.666633816733226E-2</v>
      </c>
      <c r="S75">
        <v>1.2802588652096201</v>
      </c>
      <c r="T75">
        <v>0.1723320261939327</v>
      </c>
      <c r="U75">
        <v>1.1574536487447611</v>
      </c>
      <c r="V75">
        <v>-0.142246199402391</v>
      </c>
      <c r="W75">
        <v>-4.2023221033391178E-2</v>
      </c>
      <c r="X75">
        <v>0</v>
      </c>
      <c r="Y75" s="65"/>
      <c r="Z75" s="65"/>
      <c r="AA75" s="12"/>
      <c r="AB75" s="231"/>
      <c r="AC75" s="194"/>
      <c r="AD75" s="194"/>
      <c r="AE75" s="194"/>
      <c r="AF75" s="194"/>
      <c r="AG75" s="194"/>
      <c r="AH75" s="194"/>
      <c r="AI75" s="194"/>
      <c r="AJ75" s="194"/>
      <c r="AK75" s="194"/>
      <c r="AL75" s="194"/>
      <c r="AM75" s="194"/>
      <c r="AN75" s="194"/>
      <c r="AO75" s="194"/>
      <c r="AP75" s="194"/>
      <c r="AQ75" s="194"/>
      <c r="AR75" s="194"/>
      <c r="AS75" s="194"/>
      <c r="AT75" s="194"/>
      <c r="AU75" s="194"/>
      <c r="AV75" s="194"/>
      <c r="AW75" s="194"/>
    </row>
    <row r="76" spans="1:49" ht="15.75" customHeight="1">
      <c r="A76" s="63"/>
      <c r="B76" s="524"/>
      <c r="C76" s="197" t="s">
        <v>58</v>
      </c>
      <c r="D76">
        <v>0.12196659764018709</v>
      </c>
      <c r="E76">
        <v>0.8976042150032757</v>
      </c>
      <c r="F76">
        <v>0.15283198604541789</v>
      </c>
      <c r="G76">
        <v>1.219394712019199</v>
      </c>
      <c r="H76">
        <v>5.1913691852268677E-2</v>
      </c>
      <c r="I76">
        <v>0.84711234701887372</v>
      </c>
      <c r="J76">
        <v>0.84711234701887372</v>
      </c>
      <c r="K76">
        <v>0.84711234701887372</v>
      </c>
      <c r="L76">
        <v>-0.13978054651779501</v>
      </c>
      <c r="M76">
        <v>0.21453387709315089</v>
      </c>
      <c r="N76">
        <v>0.16328554510168919</v>
      </c>
      <c r="O76">
        <v>0.34873819085848412</v>
      </c>
      <c r="P76">
        <v>0.2243556036812602</v>
      </c>
      <c r="Q76">
        <v>0.110465507602634</v>
      </c>
      <c r="R76">
        <v>7.666633816733226E-2</v>
      </c>
      <c r="S76">
        <v>1.2802588652096201</v>
      </c>
      <c r="T76">
        <v>0.1723320261939327</v>
      </c>
      <c r="U76">
        <v>1.1574536487447611</v>
      </c>
      <c r="V76">
        <v>-0.142246199402391</v>
      </c>
      <c r="W76">
        <v>-4.2023221033391178E-2</v>
      </c>
      <c r="X76">
        <v>0</v>
      </c>
      <c r="Y76" s="65"/>
      <c r="Z76" s="65"/>
      <c r="AA76" s="12"/>
      <c r="AB76" s="206" t="s">
        <v>744</v>
      </c>
      <c r="AC76">
        <v>4.8005834532903538E-2</v>
      </c>
      <c r="AD76">
        <v>7.8208095817873163E-2</v>
      </c>
      <c r="AE76">
        <v>1.427845385763617E-2</v>
      </c>
      <c r="AF76">
        <v>2.6296512173000979E-2</v>
      </c>
      <c r="AG76">
        <v>3.7270680057298319E-2</v>
      </c>
      <c r="AH76">
        <v>7.7711937709499912E-2</v>
      </c>
      <c r="AI76">
        <v>7.7711937709499912E-2</v>
      </c>
      <c r="AJ76">
        <v>7.7711937709499912E-2</v>
      </c>
      <c r="AK76">
        <v>3.015248798305508E-2</v>
      </c>
      <c r="AL76">
        <v>2.5239358965823511E-2</v>
      </c>
      <c r="AM76">
        <v>1.8119951778501481E-2</v>
      </c>
      <c r="AN76">
        <v>2.7987066094577569E-2</v>
      </c>
      <c r="AO76">
        <v>3.1999665410126207E-2</v>
      </c>
      <c r="AP76">
        <v>2.652456403059571E-2</v>
      </c>
      <c r="AQ76">
        <v>2.829025724389005E-2</v>
      </c>
      <c r="AR76">
        <v>4.6735863781881978E-2</v>
      </c>
      <c r="AS76">
        <v>1.3311174463620311E-2</v>
      </c>
      <c r="AT76">
        <v>2.2892808782973981E-2</v>
      </c>
      <c r="AU76">
        <v>2.2832098814072131E-2</v>
      </c>
      <c r="AV76">
        <v>1.432501435596862E-2</v>
      </c>
      <c r="AW76">
        <v>4.7401330115435542E-2</v>
      </c>
    </row>
    <row r="77" spans="1:49" ht="15.75" customHeight="1">
      <c r="A77" s="63"/>
      <c r="B77" s="524"/>
      <c r="C77" s="197" t="s">
        <v>58</v>
      </c>
      <c r="D77">
        <v>0.12196659764018709</v>
      </c>
      <c r="E77">
        <v>0.8976042150032757</v>
      </c>
      <c r="F77">
        <v>0.15283198604541789</v>
      </c>
      <c r="G77">
        <v>1.219394712019199</v>
      </c>
      <c r="H77">
        <v>5.1913691852268677E-2</v>
      </c>
      <c r="I77">
        <v>0.84711234701887372</v>
      </c>
      <c r="J77">
        <v>0.84711234701887372</v>
      </c>
      <c r="K77">
        <v>0.84711234701887372</v>
      </c>
      <c r="L77">
        <v>-0.13978054651779501</v>
      </c>
      <c r="M77">
        <v>0.21453387709315089</v>
      </c>
      <c r="N77">
        <v>0.16328554510168919</v>
      </c>
      <c r="O77">
        <v>0.34873819085848412</v>
      </c>
      <c r="P77">
        <v>0.2243556036812602</v>
      </c>
      <c r="Q77">
        <v>0.110465507602634</v>
      </c>
      <c r="R77">
        <v>7.666633816733226E-2</v>
      </c>
      <c r="S77">
        <v>1.2802588652096201</v>
      </c>
      <c r="T77">
        <v>0.1723320261939327</v>
      </c>
      <c r="U77">
        <v>1.1574536487447611</v>
      </c>
      <c r="V77">
        <v>-0.142246199402391</v>
      </c>
      <c r="W77">
        <v>-4.2023221033391178E-2</v>
      </c>
      <c r="X77">
        <v>0</v>
      </c>
      <c r="Y77" s="65"/>
      <c r="Z77" s="65"/>
      <c r="AA77" s="12"/>
      <c r="AB77" s="12"/>
      <c r="AC77" s="12"/>
      <c r="AD77" s="12"/>
      <c r="AE77" s="65"/>
      <c r="AF77" s="12"/>
    </row>
    <row r="78" spans="1:49" ht="15.75" customHeight="1">
      <c r="A78" s="63"/>
      <c r="B78" s="524"/>
      <c r="C78" s="197" t="s">
        <v>61</v>
      </c>
      <c r="D78">
        <v>0.37886307663525032</v>
      </c>
      <c r="E78">
        <v>0.74109938005049414</v>
      </c>
      <c r="F78">
        <v>0.19203796095978201</v>
      </c>
      <c r="G78">
        <v>0.62597659393051841</v>
      </c>
      <c r="H78">
        <v>0.17304377316823191</v>
      </c>
      <c r="I78">
        <v>0.64047416641722865</v>
      </c>
      <c r="J78">
        <v>0.64047416641722865</v>
      </c>
      <c r="K78">
        <v>0.64047416641722865</v>
      </c>
      <c r="L78">
        <v>0.2708829212013637</v>
      </c>
      <c r="M78">
        <v>6.2733295802915645E-2</v>
      </c>
      <c r="N78">
        <v>8.1798279362205628E-2</v>
      </c>
      <c r="O78">
        <v>9.9670010646604856E-2</v>
      </c>
      <c r="P78">
        <v>0.12342980182585769</v>
      </c>
      <c r="Q78">
        <v>0.1084613285449814</v>
      </c>
      <c r="R78">
        <v>0.54845550214825467</v>
      </c>
      <c r="S78">
        <v>0.60075412997581723</v>
      </c>
      <c r="T78">
        <v>2.5008654946832239E-2</v>
      </c>
      <c r="U78">
        <v>-3.9548030200048927E-2</v>
      </c>
      <c r="V78">
        <v>0.33149670545312437</v>
      </c>
      <c r="W78">
        <v>0.20597052579962011</v>
      </c>
      <c r="X78">
        <v>0</v>
      </c>
      <c r="Y78" s="65"/>
      <c r="Z78" s="65"/>
      <c r="AA78" s="12"/>
      <c r="AB78" s="531" t="s">
        <v>778</v>
      </c>
      <c r="AC78" s="531"/>
      <c r="AD78" s="531"/>
      <c r="AE78" s="531"/>
      <c r="AF78" s="531"/>
      <c r="AG78" s="531"/>
      <c r="AH78" s="531"/>
      <c r="AI78" s="531"/>
      <c r="AJ78" s="531"/>
      <c r="AK78" s="531"/>
      <c r="AL78" s="531"/>
      <c r="AM78" s="531"/>
      <c r="AN78" s="531"/>
      <c r="AO78" s="531"/>
      <c r="AP78" s="531"/>
      <c r="AQ78" s="531"/>
      <c r="AR78" s="531"/>
      <c r="AS78" s="531"/>
      <c r="AT78" s="531"/>
      <c r="AU78" s="531"/>
      <c r="AV78" s="531"/>
      <c r="AW78" s="531"/>
    </row>
    <row r="79" spans="1:49" ht="15.75" customHeight="1">
      <c r="A79" s="63"/>
      <c r="B79" s="524"/>
      <c r="C79" s="197" t="s">
        <v>63</v>
      </c>
      <c r="D79">
        <v>0.1050680869167155</v>
      </c>
      <c r="E79">
        <v>2.1948746508309651</v>
      </c>
      <c r="F79">
        <v>0.18249072508093711</v>
      </c>
      <c r="G79">
        <v>0.95419597849385784</v>
      </c>
      <c r="H79">
        <v>0.18387579791813621</v>
      </c>
      <c r="I79">
        <v>1.7415624420525631</v>
      </c>
      <c r="J79">
        <v>1.7415624420525631</v>
      </c>
      <c r="K79">
        <v>1.7415624420525631</v>
      </c>
      <c r="L79">
        <v>0.25776484268803063</v>
      </c>
      <c r="M79">
        <v>0.2135608210060933</v>
      </c>
      <c r="N79">
        <v>0.22517935938383271</v>
      </c>
      <c r="O79">
        <v>0.26338791176234139</v>
      </c>
      <c r="P79">
        <v>0.11972581837170559</v>
      </c>
      <c r="Q79">
        <v>0.1870960554079035</v>
      </c>
      <c r="R79">
        <v>0.12613163619246909</v>
      </c>
      <c r="S79">
        <v>1.263544671028231</v>
      </c>
      <c r="T79">
        <v>0.22450143231808181</v>
      </c>
      <c r="U79">
        <v>1.018796674649258</v>
      </c>
      <c r="V79">
        <v>0.57302737980138496</v>
      </c>
      <c r="W79">
        <v>0.29807657940368898</v>
      </c>
      <c r="X79">
        <v>0</v>
      </c>
      <c r="Y79" s="65"/>
      <c r="Z79" s="65"/>
      <c r="AA79" s="12"/>
      <c r="AC79" s="196" t="s">
        <v>139</v>
      </c>
      <c r="AD79" s="196" t="s">
        <v>37</v>
      </c>
      <c r="AE79" s="196" t="s">
        <v>140</v>
      </c>
      <c r="AF79" s="196" t="s">
        <v>48</v>
      </c>
      <c r="AG79" s="196" t="s">
        <v>141</v>
      </c>
      <c r="AH79" s="196" t="s">
        <v>58</v>
      </c>
      <c r="AI79" s="196" t="s">
        <v>58</v>
      </c>
      <c r="AJ79" s="196" t="s">
        <v>58</v>
      </c>
      <c r="AK79" s="196" t="s">
        <v>61</v>
      </c>
      <c r="AL79" s="196" t="s">
        <v>63</v>
      </c>
      <c r="AM79" s="196" t="s">
        <v>65</v>
      </c>
      <c r="AN79" s="196" t="s">
        <v>67</v>
      </c>
      <c r="AO79" s="196" t="s">
        <v>69</v>
      </c>
      <c r="AP79" s="196" t="s">
        <v>145</v>
      </c>
      <c r="AQ79" s="196" t="s">
        <v>73</v>
      </c>
      <c r="AR79" s="196" t="s">
        <v>75</v>
      </c>
      <c r="AS79" s="196" t="s">
        <v>146</v>
      </c>
      <c r="AT79" s="196" t="s">
        <v>83</v>
      </c>
      <c r="AU79" s="196" t="s">
        <v>85</v>
      </c>
      <c r="AV79" s="196" t="s">
        <v>88</v>
      </c>
      <c r="AW79" s="196" t="s">
        <v>147</v>
      </c>
    </row>
    <row r="80" spans="1:49" ht="15.75" customHeight="1">
      <c r="A80" s="63"/>
      <c r="B80" s="524"/>
      <c r="C80" s="197" t="s">
        <v>65</v>
      </c>
      <c r="D80">
        <v>0.27432611836587761</v>
      </c>
      <c r="E80">
        <v>0.52970947644099087</v>
      </c>
      <c r="F80">
        <v>0.11541310336028369</v>
      </c>
      <c r="G80">
        <v>0.62522085698409757</v>
      </c>
      <c r="H80">
        <v>0.1780485844821578</v>
      </c>
      <c r="I80">
        <v>0.46152839045303778</v>
      </c>
      <c r="J80">
        <v>0.46152839045303778</v>
      </c>
      <c r="K80">
        <v>0.46152839045303778</v>
      </c>
      <c r="L80">
        <v>0.1919109619651678</v>
      </c>
      <c r="M80">
        <v>0.14937218860307699</v>
      </c>
      <c r="N80">
        <v>0.1660954108998618</v>
      </c>
      <c r="O80">
        <v>0.27507167089440832</v>
      </c>
      <c r="P80">
        <v>0.1572578474183246</v>
      </c>
      <c r="Q80">
        <v>0.14446085046633611</v>
      </c>
      <c r="R80">
        <v>0.37102325027588678</v>
      </c>
      <c r="S80">
        <v>0.84448580195701051</v>
      </c>
      <c r="T80">
        <v>0.1046094757883755</v>
      </c>
      <c r="U80">
        <v>0.49807073004841279</v>
      </c>
      <c r="V80">
        <v>0.50207617065408328</v>
      </c>
      <c r="W80">
        <v>0.28713835643083468</v>
      </c>
      <c r="X80">
        <v>0</v>
      </c>
      <c r="Y80" s="65"/>
      <c r="Z80" s="65"/>
      <c r="AA80" s="12"/>
      <c r="AB80" s="196" t="s">
        <v>779</v>
      </c>
      <c r="AC80">
        <v>4.436432087069142E-2</v>
      </c>
      <c r="AD80">
        <v>-0.2924999236307021</v>
      </c>
      <c r="AE80">
        <v>3.8401948199240372E-2</v>
      </c>
      <c r="AF80">
        <v>2.488692924591018E-2</v>
      </c>
      <c r="AG80">
        <v>2.2689744397857311E-2</v>
      </c>
      <c r="AH80">
        <v>-0.1185902657268243</v>
      </c>
      <c r="AI80">
        <v>-0.1185902657268243</v>
      </c>
      <c r="AJ80">
        <v>-0.1185902657268243</v>
      </c>
      <c r="AK80">
        <v>-2.4345289932951261E-2</v>
      </c>
      <c r="AL80">
        <v>-3.7453746173383928E-2</v>
      </c>
      <c r="AM80">
        <v>1.6276874397958441E-2</v>
      </c>
      <c r="AN80">
        <v>-5.3838822530335451E-3</v>
      </c>
      <c r="AO80">
        <v>-4.5181056878287329E-3</v>
      </c>
      <c r="AP80">
        <v>-7.0253064628038597E-3</v>
      </c>
      <c r="AQ80">
        <v>7.5228592329581456E-3</v>
      </c>
      <c r="AR80">
        <v>-1.6926656807730089E-2</v>
      </c>
      <c r="AS80">
        <v>2.845068359109026E-3</v>
      </c>
      <c r="AT80">
        <v>-3.8331938737457771E-2</v>
      </c>
      <c r="AU80">
        <v>-1.895473396198899E-2</v>
      </c>
      <c r="AV80">
        <v>3.4485146702916358E-2</v>
      </c>
      <c r="AW80">
        <v>-8.6113260204289888E-2</v>
      </c>
    </row>
    <row r="81" spans="1:49" ht="15.75" customHeight="1">
      <c r="A81" s="63"/>
      <c r="B81" s="524"/>
      <c r="C81" s="197" t="s">
        <v>67</v>
      </c>
      <c r="D81">
        <v>0.15139427282679249</v>
      </c>
      <c r="E81">
        <v>1.013051955235315</v>
      </c>
      <c r="F81">
        <v>0.15155552092326599</v>
      </c>
      <c r="G81">
        <v>1.6131138535957741</v>
      </c>
      <c r="H81">
        <v>0.26433953699029539</v>
      </c>
      <c r="I81">
        <v>1.0489657026224299</v>
      </c>
      <c r="J81">
        <v>1.0489657026224299</v>
      </c>
      <c r="K81">
        <v>1.0489657026224299</v>
      </c>
      <c r="L81">
        <v>0.17415222216515611</v>
      </c>
      <c r="M81">
        <v>0.15989313708939101</v>
      </c>
      <c r="N81">
        <v>0.12802210338052711</v>
      </c>
      <c r="O81">
        <v>0.39241936038294528</v>
      </c>
      <c r="P81">
        <v>0.19871334124504189</v>
      </c>
      <c r="Q81">
        <v>1.2171862365139671E-2</v>
      </c>
      <c r="R81">
        <v>0.64741664734686055</v>
      </c>
      <c r="S81">
        <v>0.76005359913261761</v>
      </c>
      <c r="T81">
        <v>9.7125267151423555E-2</v>
      </c>
      <c r="U81">
        <v>0.78465370343407925</v>
      </c>
      <c r="V81">
        <v>0.17175406452114789</v>
      </c>
      <c r="W81">
        <v>0.10643793915943919</v>
      </c>
      <c r="X81">
        <v>0</v>
      </c>
      <c r="Y81" s="65"/>
      <c r="Z81" s="65"/>
      <c r="AA81" s="12"/>
      <c r="AB81" s="230"/>
      <c r="AC81" s="194"/>
      <c r="AD81" s="194"/>
      <c r="AE81" s="194"/>
      <c r="AF81" s="194"/>
      <c r="AG81" s="194"/>
      <c r="AH81" s="194"/>
      <c r="AI81" s="194"/>
      <c r="AJ81" s="194"/>
      <c r="AK81" s="194"/>
      <c r="AL81" s="194"/>
      <c r="AM81" s="194"/>
      <c r="AN81" s="194"/>
      <c r="AO81" s="194"/>
      <c r="AP81" s="194"/>
      <c r="AQ81" s="194"/>
      <c r="AR81" s="194"/>
      <c r="AS81" s="194"/>
      <c r="AT81" s="194"/>
      <c r="AU81" s="194"/>
      <c r="AV81" s="194"/>
      <c r="AW81" s="194"/>
    </row>
    <row r="82" spans="1:49" ht="15.75" customHeight="1">
      <c r="A82" s="63"/>
      <c r="B82" s="524"/>
      <c r="C82" s="197" t="s">
        <v>69</v>
      </c>
      <c r="D82">
        <v>3.6363802322990413E-2</v>
      </c>
      <c r="E82">
        <v>0.72568266856447394</v>
      </c>
      <c r="F82">
        <v>9.6404860349586841E-2</v>
      </c>
      <c r="G82">
        <v>0.93056959470772216</v>
      </c>
      <c r="H82">
        <v>0.20995029008315361</v>
      </c>
      <c r="I82">
        <v>0.80800558244513199</v>
      </c>
      <c r="J82">
        <v>0.80800558244513199</v>
      </c>
      <c r="K82">
        <v>0.80800558244513199</v>
      </c>
      <c r="L82">
        <v>0.37491391067513508</v>
      </c>
      <c r="M82">
        <v>0.1486871678267887</v>
      </c>
      <c r="N82">
        <v>0.15363701997079099</v>
      </c>
      <c r="O82">
        <v>0.32953827436961342</v>
      </c>
      <c r="P82">
        <v>0.23803293192681571</v>
      </c>
      <c r="Q82">
        <v>0.17236166305285019</v>
      </c>
      <c r="R82">
        <v>0.80346814142189227</v>
      </c>
      <c r="S82">
        <v>0.89246627408489076</v>
      </c>
      <c r="T82">
        <v>0.1299559983857381</v>
      </c>
      <c r="U82">
        <v>0.49584326209680629</v>
      </c>
      <c r="V82">
        <v>0.49275263203480391</v>
      </c>
      <c r="W82">
        <v>0.24145777003969121</v>
      </c>
      <c r="X82">
        <v>0</v>
      </c>
      <c r="Y82" s="65"/>
      <c r="Z82" s="65"/>
      <c r="AA82" s="12"/>
      <c r="AB82" s="196" t="s">
        <v>780</v>
      </c>
      <c r="AC82">
        <v>-1.7852508606637781E-2</v>
      </c>
      <c r="AD82">
        <v>1.5004488214068971E-2</v>
      </c>
      <c r="AE82">
        <v>6.0363371980465708E-2</v>
      </c>
      <c r="AF82">
        <v>2.7223769001647021E-2</v>
      </c>
      <c r="AG82">
        <v>5.522766410920843E-2</v>
      </c>
      <c r="AH82">
        <v>2.8319562661422988E-3</v>
      </c>
      <c r="AI82">
        <v>2.8319562661422988E-3</v>
      </c>
      <c r="AJ82">
        <v>2.8319562661422988E-3</v>
      </c>
      <c r="AK82">
        <v>1.513807510051968E-2</v>
      </c>
      <c r="AL82">
        <v>-2.140821108832058E-2</v>
      </c>
      <c r="AM82">
        <v>5.1763026637844163E-2</v>
      </c>
      <c r="AN82">
        <v>2.625804495077011E-2</v>
      </c>
      <c r="AO82">
        <v>-1.6477223190948801E-2</v>
      </c>
      <c r="AP82">
        <v>-8.957683683323725E-3</v>
      </c>
      <c r="AQ82">
        <v>-6.7526504132143783E-3</v>
      </c>
      <c r="AR82">
        <v>-5.8363628752466923E-4</v>
      </c>
      <c r="AS82">
        <v>5.7318850654666242E-3</v>
      </c>
      <c r="AT82">
        <v>-1.1097453580998669E-2</v>
      </c>
      <c r="AU82">
        <v>-4.4708847975705727E-2</v>
      </c>
      <c r="AV82">
        <v>-3.854701257577775E-2</v>
      </c>
      <c r="AW82">
        <v>0</v>
      </c>
    </row>
    <row r="83" spans="1:49" ht="15.75" customHeight="1">
      <c r="A83" s="63"/>
      <c r="B83" s="524"/>
      <c r="C83" s="197" t="s">
        <v>145</v>
      </c>
      <c r="D83">
        <v>0.25263262451107282</v>
      </c>
      <c r="E83">
        <v>0.81529145018962512</v>
      </c>
      <c r="F83">
        <v>0.1855357535963951</v>
      </c>
      <c r="G83">
        <v>0.95578556251750513</v>
      </c>
      <c r="H83">
        <v>0.27739951959193632</v>
      </c>
      <c r="I83">
        <v>0.97569367721500311</v>
      </c>
      <c r="J83">
        <v>0.97569367721500311</v>
      </c>
      <c r="K83">
        <v>0.97569367721500311</v>
      </c>
      <c r="L83">
        <v>0.50892491899732017</v>
      </c>
      <c r="M83">
        <v>0.25299785902581678</v>
      </c>
      <c r="N83">
        <v>0.34273882402758948</v>
      </c>
      <c r="O83">
        <v>0.41858558830820319</v>
      </c>
      <c r="P83">
        <v>0.35033827588772759</v>
      </c>
      <c r="Q83">
        <v>0.31271996265289997</v>
      </c>
      <c r="R83">
        <v>0.60250739624957284</v>
      </c>
      <c r="S83">
        <v>1.408560238630838</v>
      </c>
      <c r="T83">
        <v>0.25704292970285758</v>
      </c>
      <c r="U83">
        <v>0.95273959705688038</v>
      </c>
      <c r="V83">
        <v>0.78445179097957185</v>
      </c>
      <c r="W83">
        <v>0.27595879465627537</v>
      </c>
      <c r="X83">
        <v>0</v>
      </c>
      <c r="Y83" s="65"/>
      <c r="Z83" s="65"/>
      <c r="AA83" s="12"/>
      <c r="AB83" s="230"/>
      <c r="AC83" s="194"/>
      <c r="AD83" s="194"/>
      <c r="AE83" s="194"/>
      <c r="AF83" s="194"/>
      <c r="AG83" s="194"/>
      <c r="AH83" s="194"/>
      <c r="AI83" s="194"/>
      <c r="AJ83" s="194"/>
      <c r="AK83" s="194"/>
      <c r="AL83" s="194"/>
      <c r="AM83" s="194"/>
      <c r="AN83" s="194"/>
      <c r="AO83" s="194"/>
      <c r="AP83" s="194"/>
      <c r="AQ83" s="194"/>
      <c r="AR83" s="194"/>
      <c r="AS83" s="194"/>
      <c r="AT83" s="194"/>
      <c r="AU83" s="194"/>
      <c r="AV83" s="194"/>
      <c r="AW83" s="194"/>
    </row>
    <row r="84" spans="1:49" ht="15.75" customHeight="1">
      <c r="A84" s="63"/>
      <c r="B84" s="524"/>
      <c r="C84" s="197" t="s">
        <v>73</v>
      </c>
      <c r="D84">
        <v>0.49010764396566953</v>
      </c>
      <c r="E84">
        <v>1.171659849107161</v>
      </c>
      <c r="F84">
        <v>0.14977772174576051</v>
      </c>
      <c r="G84">
        <v>0.97596012266311671</v>
      </c>
      <c r="H84">
        <v>0.2257257520680476</v>
      </c>
      <c r="I84">
        <v>0.62073705485981234</v>
      </c>
      <c r="J84">
        <v>0.62073705485981234</v>
      </c>
      <c r="K84">
        <v>0.62073705485981234</v>
      </c>
      <c r="L84">
        <v>0.29471302037273728</v>
      </c>
      <c r="M84">
        <v>0.23052476291053869</v>
      </c>
      <c r="N84">
        <v>0.18258874487474869</v>
      </c>
      <c r="O84">
        <v>0.57673832033270811</v>
      </c>
      <c r="P84">
        <v>0.32417246362538871</v>
      </c>
      <c r="Q84">
        <v>0.21601660869303749</v>
      </c>
      <c r="R84">
        <v>0.52945364225349567</v>
      </c>
      <c r="S84">
        <v>1.2990658765060541</v>
      </c>
      <c r="T84">
        <v>0.22846792487244769</v>
      </c>
      <c r="U84">
        <v>0.60159723195238346</v>
      </c>
      <c r="V84">
        <v>0.37697917916291929</v>
      </c>
      <c r="W84">
        <v>0.28482448146788603</v>
      </c>
      <c r="X84">
        <v>0</v>
      </c>
      <c r="Y84" s="65"/>
      <c r="Z84" s="65"/>
      <c r="AA84" s="66"/>
      <c r="AB84" s="196" t="s">
        <v>138</v>
      </c>
      <c r="AC84">
        <v>8.237011105398695E-2</v>
      </c>
      <c r="AD84">
        <v>-6.2082771531880132E-2</v>
      </c>
      <c r="AE84">
        <v>-5.5611883830793962E-3</v>
      </c>
      <c r="AF84">
        <v>7.0432223658745796E-2</v>
      </c>
      <c r="AG84">
        <v>-2.9902489400393861E-2</v>
      </c>
      <c r="AH84">
        <v>-6.1747087586779832E-2</v>
      </c>
      <c r="AI84">
        <v>-6.1747087586779832E-2</v>
      </c>
      <c r="AJ84">
        <v>-6.1747087586779832E-2</v>
      </c>
      <c r="AK84">
        <v>-2.6217796382361661E-2</v>
      </c>
      <c r="AL84">
        <v>-9.1659132996273152E-2</v>
      </c>
      <c r="AM84">
        <v>-1.1520919436722621E-2</v>
      </c>
      <c r="AN84">
        <v>-5.1770187525633782E-3</v>
      </c>
      <c r="AO84">
        <v>-1.3948253596730799E-2</v>
      </c>
      <c r="AP84">
        <v>4.2932096537138698E-2</v>
      </c>
      <c r="AQ84">
        <v>3.0493362540566782E-3</v>
      </c>
      <c r="AR84">
        <v>-5.1422356761491539E-2</v>
      </c>
      <c r="AS84">
        <v>6.8642506722950136E-2</v>
      </c>
      <c r="AT84">
        <v>4.1959651287168942E-3</v>
      </c>
      <c r="AU84">
        <v>1.8005169436985598E-2</v>
      </c>
      <c r="AV84">
        <v>3.7813270477228267E-2</v>
      </c>
      <c r="AW84">
        <v>-4.0228901928530132E-2</v>
      </c>
    </row>
    <row r="85" spans="1:49" ht="15.75" customHeight="1">
      <c r="A85" s="63"/>
      <c r="B85" s="524"/>
      <c r="C85" s="197" t="s">
        <v>75</v>
      </c>
      <c r="D85">
        <v>0.722491050733304</v>
      </c>
      <c r="E85">
        <v>0.76967008204601028</v>
      </c>
      <c r="F85">
        <v>0.1653210435763672</v>
      </c>
      <c r="G85">
        <v>0.86630403301147418</v>
      </c>
      <c r="H85">
        <v>0.30040420810589952</v>
      </c>
      <c r="I85">
        <v>1.1438634509706509</v>
      </c>
      <c r="J85">
        <v>1.1438634509706509</v>
      </c>
      <c r="K85">
        <v>1.1438634509706509</v>
      </c>
      <c r="L85">
        <v>0.34627001240189309</v>
      </c>
      <c r="M85">
        <v>0.1850851272481282</v>
      </c>
      <c r="N85">
        <v>0.20863796252196321</v>
      </c>
      <c r="O85">
        <v>0.31303346912671942</v>
      </c>
      <c r="P85">
        <v>0.28227905385319829</v>
      </c>
      <c r="Q85">
        <v>0.16917098813350681</v>
      </c>
      <c r="R85">
        <v>0.37846780805611568</v>
      </c>
      <c r="S85">
        <v>1.234146924253215</v>
      </c>
      <c r="T85">
        <v>0.2108776833629942</v>
      </c>
      <c r="U85">
        <v>0.72006852108664465</v>
      </c>
      <c r="V85">
        <v>0.66940516041481768</v>
      </c>
      <c r="W85">
        <v>0.34365697666442602</v>
      </c>
      <c r="X85">
        <v>0</v>
      </c>
      <c r="Y85" s="65"/>
      <c r="Z85" s="65"/>
      <c r="AA85" s="66"/>
      <c r="AB85" s="66"/>
      <c r="AC85" s="66"/>
      <c r="AD85" s="66"/>
      <c r="AE85" s="65"/>
      <c r="AF85" s="66"/>
    </row>
    <row r="86" spans="1:49" ht="15.75" customHeight="1">
      <c r="A86" s="63"/>
      <c r="B86" s="524"/>
      <c r="C86" s="197" t="s">
        <v>146</v>
      </c>
      <c r="D86">
        <v>0.33246987959297519</v>
      </c>
      <c r="E86">
        <v>0.86356742840082124</v>
      </c>
      <c r="F86">
        <v>0.1005327916206693</v>
      </c>
      <c r="G86">
        <v>0.76952954220971703</v>
      </c>
      <c r="H86">
        <v>0.16142579229295431</v>
      </c>
      <c r="I86">
        <v>1.0753398856925609</v>
      </c>
      <c r="J86">
        <v>1.0753398856925609</v>
      </c>
      <c r="K86">
        <v>1.0753398856925609</v>
      </c>
      <c r="L86">
        <v>0.2829193109953021</v>
      </c>
      <c r="M86">
        <v>0.13463229692304021</v>
      </c>
      <c r="N86">
        <v>0.1588254135193434</v>
      </c>
      <c r="O86">
        <v>0.30246026161209277</v>
      </c>
      <c r="P86">
        <v>9.6136642626520885E-2</v>
      </c>
      <c r="Q86">
        <v>0.14426699610956531</v>
      </c>
      <c r="R86">
        <v>0.12905063616293219</v>
      </c>
      <c r="S86">
        <v>0.63483223931716393</v>
      </c>
      <c r="T86">
        <v>0.14566132081840319</v>
      </c>
      <c r="U86">
        <v>0.65111971345565856</v>
      </c>
      <c r="V86">
        <v>0.47853798049254181</v>
      </c>
      <c r="W86">
        <v>0.15713363610255079</v>
      </c>
      <c r="X86">
        <v>0</v>
      </c>
      <c r="Y86" s="65"/>
      <c r="Z86" s="65"/>
      <c r="AA86" s="12"/>
      <c r="AB86" s="12"/>
      <c r="AC86" s="12"/>
      <c r="AD86" s="12"/>
      <c r="AE86" s="65"/>
      <c r="AF86" s="12"/>
    </row>
    <row r="87" spans="1:49" ht="15.75" customHeight="1">
      <c r="A87" s="63"/>
      <c r="B87" s="524"/>
      <c r="C87" s="197" t="s">
        <v>83</v>
      </c>
      <c r="D87">
        <v>-0.57399014582966212</v>
      </c>
      <c r="E87">
        <v>3.8234231597120889</v>
      </c>
      <c r="F87">
        <v>-0.21256587967174581</v>
      </c>
      <c r="G87">
        <v>0.61555179549821371</v>
      </c>
      <c r="H87">
        <v>0.1132681777288365</v>
      </c>
      <c r="I87">
        <v>1.1255865150637341</v>
      </c>
      <c r="J87">
        <v>1.1255865150637341</v>
      </c>
      <c r="K87">
        <v>1.1255865150637341</v>
      </c>
      <c r="L87">
        <v>0.25796613811327612</v>
      </c>
      <c r="M87">
        <v>-2.9517050960873981E-2</v>
      </c>
      <c r="N87">
        <v>-0.22965998884263689</v>
      </c>
      <c r="O87">
        <v>-0.13861458538411589</v>
      </c>
      <c r="P87">
        <v>-0.69906465912890192</v>
      </c>
      <c r="Q87">
        <v>-7.0443831356243214E-2</v>
      </c>
      <c r="R87">
        <v>-0.39329956879133882</v>
      </c>
      <c r="S87">
        <v>0.68956578635049914</v>
      </c>
      <c r="T87">
        <v>-0.1069112771959678</v>
      </c>
      <c r="U87">
        <v>-0.23458478099074551</v>
      </c>
      <c r="V87">
        <v>1.1128417739801599</v>
      </c>
      <c r="W87">
        <v>5.9179952534478719E-2</v>
      </c>
      <c r="X87">
        <v>0</v>
      </c>
      <c r="Y87" s="65"/>
      <c r="Z87" s="65"/>
      <c r="AA87" s="12"/>
      <c r="AB87" s="531" t="s">
        <v>781</v>
      </c>
      <c r="AC87" s="531"/>
      <c r="AD87" s="531"/>
      <c r="AE87" s="531"/>
      <c r="AF87" s="531"/>
      <c r="AG87" s="531"/>
      <c r="AH87" s="531"/>
      <c r="AI87" s="531"/>
      <c r="AJ87" s="531"/>
      <c r="AK87" s="531"/>
      <c r="AL87" s="531"/>
      <c r="AM87" s="531"/>
      <c r="AN87" s="531"/>
      <c r="AO87" s="531"/>
      <c r="AP87" s="531"/>
      <c r="AQ87" s="531"/>
      <c r="AR87" s="531"/>
      <c r="AS87" s="531"/>
      <c r="AT87" s="531"/>
      <c r="AU87" s="531"/>
      <c r="AV87" s="531"/>
      <c r="AW87" s="531"/>
    </row>
    <row r="88" spans="1:49" ht="15.75" customHeight="1">
      <c r="A88" s="63"/>
      <c r="B88" s="524"/>
      <c r="C88" s="197" t="s">
        <v>85</v>
      </c>
      <c r="D88">
        <v>0.31968491090524931</v>
      </c>
      <c r="E88">
        <v>0.40088916515390532</v>
      </c>
      <c r="F88">
        <v>-1.9711404149500789E-2</v>
      </c>
      <c r="G88">
        <v>0.66699832315336471</v>
      </c>
      <c r="H88">
        <v>0.16696218518441011</v>
      </c>
      <c r="I88">
        <v>0.65657383366466804</v>
      </c>
      <c r="J88">
        <v>0.65657383366466804</v>
      </c>
      <c r="K88">
        <v>0.65657383366466804</v>
      </c>
      <c r="L88">
        <v>0.17804862089233461</v>
      </c>
      <c r="M88">
        <v>-1.8824475082318552E-2</v>
      </c>
      <c r="N88">
        <v>-8.9620204676204018E-3</v>
      </c>
      <c r="O88">
        <v>9.5379137078476894E-2</v>
      </c>
      <c r="P88">
        <v>-0.10289362480271361</v>
      </c>
      <c r="Q88">
        <v>4.2165074279059134E-3</v>
      </c>
      <c r="R88">
        <v>0.1525674363514764</v>
      </c>
      <c r="S88">
        <v>0.54821121099481807</v>
      </c>
      <c r="T88">
        <v>0.14560451625896359</v>
      </c>
      <c r="U88">
        <v>-0.18944828691840099</v>
      </c>
      <c r="V88">
        <v>0.27261263265638869</v>
      </c>
      <c r="W88">
        <v>0.13768259080507761</v>
      </c>
      <c r="X88">
        <v>0</v>
      </c>
      <c r="Y88" s="65"/>
      <c r="Z88" s="65"/>
      <c r="AA88" s="12"/>
      <c r="AC88" s="196" t="s">
        <v>139</v>
      </c>
      <c r="AD88" s="196" t="s">
        <v>37</v>
      </c>
      <c r="AE88" s="196" t="s">
        <v>140</v>
      </c>
      <c r="AF88" s="196" t="s">
        <v>48</v>
      </c>
      <c r="AG88" s="196" t="s">
        <v>141</v>
      </c>
      <c r="AH88" s="196" t="s">
        <v>58</v>
      </c>
      <c r="AI88" s="196" t="s">
        <v>58</v>
      </c>
      <c r="AJ88" s="196" t="s">
        <v>58</v>
      </c>
      <c r="AK88" s="196" t="s">
        <v>61</v>
      </c>
      <c r="AL88" s="196" t="s">
        <v>63</v>
      </c>
      <c r="AM88" s="196" t="s">
        <v>65</v>
      </c>
      <c r="AN88" s="196" t="s">
        <v>67</v>
      </c>
      <c r="AO88" s="196" t="s">
        <v>69</v>
      </c>
      <c r="AP88" s="196" t="s">
        <v>145</v>
      </c>
      <c r="AQ88" s="196" t="s">
        <v>73</v>
      </c>
      <c r="AR88" s="196" t="s">
        <v>75</v>
      </c>
      <c r="AS88" s="196" t="s">
        <v>146</v>
      </c>
      <c r="AT88" s="196" t="s">
        <v>83</v>
      </c>
      <c r="AU88" s="196" t="s">
        <v>85</v>
      </c>
      <c r="AV88" s="196" t="s">
        <v>88</v>
      </c>
      <c r="AW88" s="196" t="s">
        <v>147</v>
      </c>
    </row>
    <row r="89" spans="1:49" ht="15.75" customHeight="1">
      <c r="A89" s="63"/>
      <c r="B89" s="524"/>
      <c r="C89" s="197" t="s">
        <v>88</v>
      </c>
      <c r="D89">
        <v>-1.479881776015279E-2</v>
      </c>
      <c r="E89">
        <v>0.75987582277582688</v>
      </c>
      <c r="F89">
        <v>0.1127163477994189</v>
      </c>
      <c r="G89">
        <v>0.90536585313366036</v>
      </c>
      <c r="H89">
        <v>0.24966973898523201</v>
      </c>
      <c r="I89">
        <v>0.75549754928736168</v>
      </c>
      <c r="J89">
        <v>0.75549754928736168</v>
      </c>
      <c r="K89">
        <v>0.75549754928736168</v>
      </c>
      <c r="L89">
        <v>0.31573521722943448</v>
      </c>
      <c r="M89">
        <v>0.12839435528698201</v>
      </c>
      <c r="N89">
        <v>0.15764019695268081</v>
      </c>
      <c r="O89">
        <v>0.42932320534783491</v>
      </c>
      <c r="P89">
        <v>0.2287790526151505</v>
      </c>
      <c r="Q89">
        <v>0.1117610308415122</v>
      </c>
      <c r="R89">
        <v>0.24943832979635691</v>
      </c>
      <c r="S89">
        <v>0.66219727078494461</v>
      </c>
      <c r="T89">
        <v>0.12667471173569661</v>
      </c>
      <c r="U89">
        <v>0.46475146273987389</v>
      </c>
      <c r="V89">
        <v>0.4821935175785852</v>
      </c>
      <c r="W89">
        <v>0.33776035288198408</v>
      </c>
      <c r="X89">
        <v>0</v>
      </c>
      <c r="Y89" s="65"/>
      <c r="Z89" s="65"/>
      <c r="AA89" s="12"/>
      <c r="AB89" s="196" t="s">
        <v>139</v>
      </c>
      <c r="AC89">
        <v>5.97408306459557E-3</v>
      </c>
      <c r="AD89">
        <v>-5.2190871943579742E-2</v>
      </c>
      <c r="AE89">
        <v>8.1776684183099135E-4</v>
      </c>
      <c r="AF89">
        <v>-6.7241610879734903E-2</v>
      </c>
      <c r="AG89">
        <v>2.5304670267378698E-4</v>
      </c>
      <c r="AH89">
        <v>-0.1413696934742564</v>
      </c>
      <c r="AI89">
        <v>-0.1413696934742564</v>
      </c>
      <c r="AJ89">
        <v>-0.1413696934742564</v>
      </c>
      <c r="AK89">
        <v>-3.6861438310151977E-2</v>
      </c>
      <c r="AL89">
        <v>-1.852668176050698E-2</v>
      </c>
      <c r="AM89">
        <v>4.3959860787745608E-3</v>
      </c>
      <c r="AN89">
        <v>-2.6695950300958948E-3</v>
      </c>
      <c r="AO89">
        <v>3.0549093458713821E-3</v>
      </c>
      <c r="AP89">
        <v>-1.7848058890470919E-2</v>
      </c>
      <c r="AQ89">
        <v>1.8998665758298339E-2</v>
      </c>
      <c r="AR89">
        <v>9.8458391563236436E-3</v>
      </c>
      <c r="AS89">
        <v>-1.073161013211299E-2</v>
      </c>
      <c r="AT89">
        <v>-5.1765866961712148E-2</v>
      </c>
      <c r="AU89">
        <v>-8.4123271724229065E-3</v>
      </c>
      <c r="AV89">
        <v>7.3092853231668808E-3</v>
      </c>
      <c r="AW89">
        <v>0</v>
      </c>
    </row>
    <row r="90" spans="1:49" ht="15.75" customHeight="1">
      <c r="A90" s="63"/>
      <c r="B90" s="524"/>
      <c r="C90" s="197" t="s">
        <v>147</v>
      </c>
      <c r="D90">
        <v>1.2131417368583659</v>
      </c>
      <c r="E90">
        <v>2.676362905427847</v>
      </c>
      <c r="F90">
        <v>6.9032289428503368E-3</v>
      </c>
      <c r="G90">
        <v>1.5507457843400869</v>
      </c>
      <c r="H90">
        <v>0.78664946426899585</v>
      </c>
      <c r="I90">
        <v>0.91035778184407135</v>
      </c>
      <c r="J90">
        <v>0.91035778184407135</v>
      </c>
      <c r="K90">
        <v>0.91035778184407135</v>
      </c>
      <c r="L90">
        <v>0.45473752714405102</v>
      </c>
      <c r="M90">
        <v>0.13092267176301589</v>
      </c>
      <c r="N90">
        <v>0.14108364564560039</v>
      </c>
      <c r="O90">
        <v>0.47404119052648669</v>
      </c>
      <c r="P90">
        <v>0.86625497395583451</v>
      </c>
      <c r="Q90">
        <v>-1.8357776521034989E-2</v>
      </c>
      <c r="R90">
        <v>0.9693136762672121</v>
      </c>
      <c r="S90">
        <v>-5.2734974626626803E-2</v>
      </c>
      <c r="T90">
        <v>-9.8369528522334937E-2</v>
      </c>
      <c r="U90">
        <v>0.58882655188000066</v>
      </c>
      <c r="V90">
        <v>0.71881175523136176</v>
      </c>
      <c r="W90">
        <v>0.1003756286221575</v>
      </c>
      <c r="X90">
        <v>0</v>
      </c>
      <c r="Y90" s="65"/>
      <c r="Z90" s="65"/>
      <c r="AA90" s="65"/>
      <c r="AB90" s="196" t="s">
        <v>37</v>
      </c>
      <c r="AC90">
        <v>3.7460148947142217E-2</v>
      </c>
      <c r="AD90">
        <v>0.14054404318084129</v>
      </c>
      <c r="AE90">
        <v>0.1125522757603334</v>
      </c>
      <c r="AF90">
        <v>0.16839357369236629</v>
      </c>
      <c r="AG90">
        <v>4.5906277039826637E-3</v>
      </c>
      <c r="AH90">
        <v>0.1658265741177021</v>
      </c>
      <c r="AI90">
        <v>0.1658265741177021</v>
      </c>
      <c r="AJ90">
        <v>0.1658265741177021</v>
      </c>
      <c r="AK90">
        <v>6.7191250317395035E-2</v>
      </c>
      <c r="AL90">
        <v>6.4576537148280932E-2</v>
      </c>
      <c r="AM90">
        <v>6.8417182448229585E-2</v>
      </c>
      <c r="AN90">
        <v>6.4841245177272189E-2</v>
      </c>
      <c r="AO90">
        <v>5.6232400938249771E-2</v>
      </c>
      <c r="AP90">
        <v>1.7715188087214399E-2</v>
      </c>
      <c r="AQ90">
        <v>-1.8272341633761791E-2</v>
      </c>
      <c r="AR90">
        <v>5.5325983814601631E-2</v>
      </c>
      <c r="AS90">
        <v>-4.2850634267491694E-3</v>
      </c>
      <c r="AT90">
        <v>3.521933394256771E-2</v>
      </c>
      <c r="AU90">
        <v>-2.2648784874009901E-2</v>
      </c>
      <c r="AV90">
        <v>-1.2503500361755069E-2</v>
      </c>
      <c r="AW90">
        <v>0</v>
      </c>
    </row>
    <row r="91" spans="1:49" ht="15.75" customHeight="1">
      <c r="A91" s="63"/>
      <c r="B91" s="524" t="s">
        <v>743</v>
      </c>
      <c r="C91" s="197" t="s">
        <v>139</v>
      </c>
      <c r="D91">
        <v>-0.2093552373160458</v>
      </c>
      <c r="E91">
        <v>0.60153518770062298</v>
      </c>
      <c r="F91">
        <v>-3.0528167004994871E-2</v>
      </c>
      <c r="G91">
        <v>0.58571867876768846</v>
      </c>
      <c r="H91">
        <v>0.45434374341502209</v>
      </c>
      <c r="I91">
        <v>0.58159078070783232</v>
      </c>
      <c r="J91">
        <v>0.58159078070783232</v>
      </c>
      <c r="K91">
        <v>0.58159078070783232</v>
      </c>
      <c r="L91">
        <v>0.46845335224695772</v>
      </c>
      <c r="M91">
        <v>-4.5328987333016373E-2</v>
      </c>
      <c r="N91">
        <v>-3.8749672525387718E-2</v>
      </c>
      <c r="O91">
        <v>0.25508088491611353</v>
      </c>
      <c r="P91">
        <v>-5.9395675846371662E-2</v>
      </c>
      <c r="Q91">
        <v>-0.14009738054648541</v>
      </c>
      <c r="R91">
        <v>6.5204048980106427E-2</v>
      </c>
      <c r="S91">
        <v>0.1759164684693868</v>
      </c>
      <c r="T91">
        <v>0.91950735276007678</v>
      </c>
      <c r="U91">
        <v>0.1081823222154179</v>
      </c>
      <c r="V91">
        <v>1.4961432974725301E-2</v>
      </c>
      <c r="W91">
        <v>0.1600118191703129</v>
      </c>
      <c r="X91">
        <v>0</v>
      </c>
      <c r="Y91" s="65"/>
      <c r="Z91" s="65"/>
      <c r="AA91" s="12"/>
      <c r="AB91" s="196" t="s">
        <v>140</v>
      </c>
      <c r="AC91">
        <v>9.3171474629025752E-3</v>
      </c>
      <c r="AD91">
        <v>1.225332636919885E-2</v>
      </c>
      <c r="AE91">
        <v>2.459493963564063E-2</v>
      </c>
      <c r="AF91">
        <v>3.2084252620316667E-2</v>
      </c>
      <c r="AG91">
        <v>2.2448966220109941E-2</v>
      </c>
      <c r="AH91">
        <v>1.1533599513511071E-2</v>
      </c>
      <c r="AI91">
        <v>1.1533599513511071E-2</v>
      </c>
      <c r="AJ91">
        <v>1.1533599513511071E-2</v>
      </c>
      <c r="AK91">
        <v>1.7716442123956622E-2</v>
      </c>
      <c r="AL91">
        <v>1.6710689675928151E-2</v>
      </c>
      <c r="AM91">
        <v>2.2170461928270099E-2</v>
      </c>
      <c r="AN91">
        <v>1.8643450696187891E-2</v>
      </c>
      <c r="AO91">
        <v>1.7412169670994571E-2</v>
      </c>
      <c r="AP91">
        <v>6.431329319870116E-3</v>
      </c>
      <c r="AQ91">
        <v>1.370137287571449E-2</v>
      </c>
      <c r="AR91">
        <v>2.12673904196099E-2</v>
      </c>
      <c r="AS91">
        <v>1.098984731996855E-2</v>
      </c>
      <c r="AT91">
        <v>4.161630862601351E-3</v>
      </c>
      <c r="AU91">
        <v>-1.6321560034915361E-4</v>
      </c>
      <c r="AV91">
        <v>4.9857330764870422E-2</v>
      </c>
      <c r="AW91">
        <v>0</v>
      </c>
    </row>
    <row r="92" spans="1:49" ht="15.75" customHeight="1">
      <c r="A92" s="63"/>
      <c r="B92" s="524"/>
      <c r="C92" s="197" t="s">
        <v>37</v>
      </c>
      <c r="D92">
        <v>-1.1562458473711339</v>
      </c>
      <c r="E92">
        <v>-1.63612584670494</v>
      </c>
      <c r="F92">
        <v>-9.1775743486659817E-2</v>
      </c>
      <c r="G92">
        <v>0.42341172044311842</v>
      </c>
      <c r="H92">
        <v>0.2003776658412155</v>
      </c>
      <c r="I92">
        <v>0.12933949252566609</v>
      </c>
      <c r="J92">
        <v>0.12933949252566609</v>
      </c>
      <c r="K92">
        <v>0.12933949252566609</v>
      </c>
      <c r="L92">
        <v>-0.46290546365501151</v>
      </c>
      <c r="M92">
        <v>-0.22129847443256581</v>
      </c>
      <c r="N92">
        <v>-0.25397198599750531</v>
      </c>
      <c r="O92">
        <v>-1.0322588897912299</v>
      </c>
      <c r="P92">
        <v>-0.42889843864525112</v>
      </c>
      <c r="Q92">
        <v>-1.11114740140862</v>
      </c>
      <c r="R92">
        <v>-0.1184058943218797</v>
      </c>
      <c r="S92">
        <v>-0.8905191968840277</v>
      </c>
      <c r="T92">
        <v>0.21386308632176521</v>
      </c>
      <c r="U92">
        <v>-0.62018092348964871</v>
      </c>
      <c r="V92">
        <v>-0.72936242834943721</v>
      </c>
      <c r="W92">
        <v>-0.36544759476059713</v>
      </c>
      <c r="X92">
        <v>0</v>
      </c>
      <c r="AB92" s="196" t="s">
        <v>48</v>
      </c>
      <c r="AC92">
        <v>1.246002718840611E-2</v>
      </c>
      <c r="AD92">
        <v>2.9637326699560868E-4</v>
      </c>
      <c r="AE92">
        <v>3.4780996351117421E-2</v>
      </c>
      <c r="AF92">
        <v>5.8621145117287998E-3</v>
      </c>
      <c r="AG92">
        <v>6.0086185418207087E-2</v>
      </c>
      <c r="AH92">
        <v>7.4335012544859413E-3</v>
      </c>
      <c r="AI92">
        <v>7.4335012544859413E-3</v>
      </c>
      <c r="AJ92">
        <v>7.4335012544859413E-3</v>
      </c>
      <c r="AK92">
        <v>1.811934240723545E-2</v>
      </c>
      <c r="AL92">
        <v>9.2576500914465232E-3</v>
      </c>
      <c r="AM92">
        <v>1.404692505892813E-2</v>
      </c>
      <c r="AN92">
        <v>6.3583152116046806E-3</v>
      </c>
      <c r="AO92">
        <v>2.5640039209231299E-2</v>
      </c>
      <c r="AP92">
        <v>2.9025222652866219E-2</v>
      </c>
      <c r="AQ92">
        <v>1.5046838638512529E-2</v>
      </c>
      <c r="AR92">
        <v>3.4745933320158302E-2</v>
      </c>
      <c r="AS92">
        <v>1.205020668694079E-2</v>
      </c>
      <c r="AT92">
        <v>7.535118919119288E-3</v>
      </c>
      <c r="AU92">
        <v>3.7679904110483609E-3</v>
      </c>
      <c r="AV92">
        <v>4.3637428495998609E-2</v>
      </c>
      <c r="AW92">
        <v>0</v>
      </c>
    </row>
    <row r="93" spans="1:49" ht="15.75" customHeight="1">
      <c r="A93" s="63"/>
      <c r="B93" s="524"/>
      <c r="C93" s="197" t="s">
        <v>140</v>
      </c>
      <c r="D93">
        <v>0.35895120246643608</v>
      </c>
      <c r="E93">
        <v>0.73041155657875612</v>
      </c>
      <c r="F93">
        <v>8.9742889505385837E-2</v>
      </c>
      <c r="G93">
        <v>0.31709200782454999</v>
      </c>
      <c r="H93">
        <v>0.124403099253923</v>
      </c>
      <c r="I93">
        <v>0.51076718881031624</v>
      </c>
      <c r="J93">
        <v>0.51076718881031624</v>
      </c>
      <c r="K93">
        <v>0.51076718881031624</v>
      </c>
      <c r="L93">
        <v>0.20476594066899059</v>
      </c>
      <c r="M93">
        <v>0.107718350713291</v>
      </c>
      <c r="N93">
        <v>0.1482655401382558</v>
      </c>
      <c r="O93">
        <v>0.2545291194560797</v>
      </c>
      <c r="P93">
        <v>8.2646490091857899E-2</v>
      </c>
      <c r="Q93">
        <v>0.15496554026151929</v>
      </c>
      <c r="R93">
        <v>0.14669107915328181</v>
      </c>
      <c r="S93">
        <v>0.32779450034411223</v>
      </c>
      <c r="T93">
        <v>0.94086193707362509</v>
      </c>
      <c r="U93">
        <v>0.81335943527516985</v>
      </c>
      <c r="V93">
        <v>0.54493428951781142</v>
      </c>
      <c r="W93">
        <v>0.38810675724839849</v>
      </c>
      <c r="X93">
        <v>0</v>
      </c>
      <c r="AB93" s="196" t="s">
        <v>141</v>
      </c>
      <c r="AC93">
        <v>6.109754083865182E-2</v>
      </c>
      <c r="AD93">
        <v>3.8202543815329948E-2</v>
      </c>
      <c r="AE93">
        <v>4.0236998271485643E-2</v>
      </c>
      <c r="AF93">
        <v>7.3073552445538592E-2</v>
      </c>
      <c r="AG93">
        <v>3.4719415895370087E-2</v>
      </c>
      <c r="AH93">
        <v>6.3326561350614652E-2</v>
      </c>
      <c r="AI93">
        <v>6.3326561350614652E-2</v>
      </c>
      <c r="AJ93">
        <v>6.3326561350614652E-2</v>
      </c>
      <c r="AK93">
        <v>2.255028229180844E-2</v>
      </c>
      <c r="AL93">
        <v>5.0500447085831013E-2</v>
      </c>
      <c r="AM93">
        <v>2.9105162897277829E-2</v>
      </c>
      <c r="AN93">
        <v>5.6581063232050921E-2</v>
      </c>
      <c r="AO93">
        <v>2.097390266750376E-2</v>
      </c>
      <c r="AP93">
        <v>6.711726702477705E-2</v>
      </c>
      <c r="AQ93">
        <v>3.7364538984405497E-2</v>
      </c>
      <c r="AR93">
        <v>2.6162382394173681E-2</v>
      </c>
      <c r="AS93">
        <v>3.3773859671120343E-2</v>
      </c>
      <c r="AT93">
        <v>6.5345734157344237E-2</v>
      </c>
      <c r="AU93">
        <v>1.92563069855618E-2</v>
      </c>
      <c r="AV93">
        <v>7.9725923086310324E-2</v>
      </c>
      <c r="AW93">
        <v>0</v>
      </c>
    </row>
    <row r="94" spans="1:49" ht="15.75" customHeight="1">
      <c r="A94" s="63"/>
      <c r="B94" s="524"/>
      <c r="C94" s="197" t="s">
        <v>48</v>
      </c>
      <c r="D94">
        <v>1.150199766034319E-2</v>
      </c>
      <c r="E94">
        <v>0.91507126750510459</v>
      </c>
      <c r="F94">
        <v>0.14159143986442921</v>
      </c>
      <c r="G94">
        <v>0.87227974604416447</v>
      </c>
      <c r="H94">
        <v>0.29138789692566769</v>
      </c>
      <c r="I94">
        <v>0.22532784430068881</v>
      </c>
      <c r="J94">
        <v>0.22532784430068881</v>
      </c>
      <c r="K94">
        <v>0.22532784430068881</v>
      </c>
      <c r="L94">
        <v>-1.4122803371343249E-2</v>
      </c>
      <c r="M94">
        <v>3.2258033775736897E-2</v>
      </c>
      <c r="N94">
        <v>-1.421388611986848E-2</v>
      </c>
      <c r="O94">
        <v>-0.1309693338966528</v>
      </c>
      <c r="P94">
        <v>0.12630596916549869</v>
      </c>
      <c r="Q94">
        <v>-0.18731476823029361</v>
      </c>
      <c r="R94">
        <v>5.050088456036423E-2</v>
      </c>
      <c r="S94">
        <v>0.20467707933934881</v>
      </c>
      <c r="T94">
        <v>0.90584659870336182</v>
      </c>
      <c r="U94">
        <v>0.2410746043159597</v>
      </c>
      <c r="V94">
        <v>0.1016073939348324</v>
      </c>
      <c r="W94">
        <v>7.9315058181449294E-2</v>
      </c>
      <c r="X94">
        <v>0</v>
      </c>
      <c r="Y94" s="5"/>
      <c r="Z94" s="5"/>
      <c r="AA94" s="5"/>
      <c r="AB94" s="196" t="s">
        <v>58</v>
      </c>
      <c r="AC94">
        <v>3.8731959787197352E-2</v>
      </c>
      <c r="AD94">
        <v>4.1420279055759179E-2</v>
      </c>
      <c r="AE94">
        <v>4.2968953951437072E-2</v>
      </c>
      <c r="AF94">
        <v>4.8283621058915933E-2</v>
      </c>
      <c r="AG94">
        <v>5.4216848867144618E-2</v>
      </c>
      <c r="AH94">
        <v>4.1340063946954109E-2</v>
      </c>
      <c r="AI94">
        <v>4.1340063946954109E-2</v>
      </c>
      <c r="AJ94">
        <v>4.1340063946954109E-2</v>
      </c>
      <c r="AK94">
        <v>4.3559410851442333E-2</v>
      </c>
      <c r="AL94">
        <v>5.2295225282303237E-2</v>
      </c>
      <c r="AM94">
        <v>3.9189649540055223E-2</v>
      </c>
      <c r="AN94">
        <v>4.0695954079118968E-2</v>
      </c>
      <c r="AO94">
        <v>3.9392037836462723E-2</v>
      </c>
      <c r="AP94">
        <v>4.1257849635661481E-2</v>
      </c>
      <c r="AQ94">
        <v>3.4419799202715977E-2</v>
      </c>
      <c r="AR94">
        <v>2.9551703253253962E-2</v>
      </c>
      <c r="AS94">
        <v>4.0358679370920518E-2</v>
      </c>
      <c r="AT94">
        <v>3.9544733156126277E-2</v>
      </c>
      <c r="AU94">
        <v>3.9716833663018702E-2</v>
      </c>
      <c r="AV94">
        <v>4.1207609363844488E-2</v>
      </c>
      <c r="AW94">
        <v>0</v>
      </c>
    </row>
    <row r="95" spans="1:49" ht="15.75" customHeight="1">
      <c r="A95" s="63"/>
      <c r="B95" s="524"/>
      <c r="C95" s="197" t="s">
        <v>141</v>
      </c>
      <c r="D95">
        <v>-0.29078224748134007</v>
      </c>
      <c r="E95">
        <v>0.6801164603050609</v>
      </c>
      <c r="F95">
        <v>8.7564184716445434E-2</v>
      </c>
      <c r="G95">
        <v>1.1985028627487639</v>
      </c>
      <c r="H95">
        <v>0.1173629124116765</v>
      </c>
      <c r="I95">
        <v>0.79854235550099761</v>
      </c>
      <c r="J95">
        <v>0.79854235550099761</v>
      </c>
      <c r="K95">
        <v>0.79854235550099761</v>
      </c>
      <c r="L95">
        <v>0.51644181918799514</v>
      </c>
      <c r="M95">
        <v>0.1591573344487246</v>
      </c>
      <c r="N95">
        <v>0.31941975570422038</v>
      </c>
      <c r="O95">
        <v>0.40028637864079109</v>
      </c>
      <c r="P95">
        <v>0.27174769579114072</v>
      </c>
      <c r="Q95">
        <v>-9.6551002796015042E-2</v>
      </c>
      <c r="R95">
        <v>0.32243679181337742</v>
      </c>
      <c r="S95">
        <v>0.83748584380529023</v>
      </c>
      <c r="T95">
        <v>0.69649292684091468</v>
      </c>
      <c r="U95">
        <v>0.73025584471152882</v>
      </c>
      <c r="V95">
        <v>0.35605303289254869</v>
      </c>
      <c r="W95">
        <v>0.37048103936466342</v>
      </c>
      <c r="X95">
        <v>0</v>
      </c>
      <c r="Y95" s="65"/>
      <c r="Z95" s="65"/>
      <c r="AA95" s="12"/>
      <c r="AB95" s="196" t="s">
        <v>58</v>
      </c>
      <c r="AC95">
        <v>3.8731959787197352E-2</v>
      </c>
      <c r="AD95">
        <v>4.1420279055759179E-2</v>
      </c>
      <c r="AE95">
        <v>4.2968953951437072E-2</v>
      </c>
      <c r="AF95">
        <v>4.8283621058915933E-2</v>
      </c>
      <c r="AG95">
        <v>5.4216848867144618E-2</v>
      </c>
      <c r="AH95">
        <v>4.1340063946954109E-2</v>
      </c>
      <c r="AI95">
        <v>4.1340063946954109E-2</v>
      </c>
      <c r="AJ95">
        <v>4.1340063946954109E-2</v>
      </c>
      <c r="AK95">
        <v>4.3559410851442333E-2</v>
      </c>
      <c r="AL95">
        <v>5.2295225282303237E-2</v>
      </c>
      <c r="AM95">
        <v>3.9189649540055223E-2</v>
      </c>
      <c r="AN95">
        <v>4.0695954079118968E-2</v>
      </c>
      <c r="AO95">
        <v>3.9392037836462723E-2</v>
      </c>
      <c r="AP95">
        <v>4.1257849635661481E-2</v>
      </c>
      <c r="AQ95">
        <v>3.4419799202715977E-2</v>
      </c>
      <c r="AR95">
        <v>2.9551703253253962E-2</v>
      </c>
      <c r="AS95">
        <v>4.0358679370920518E-2</v>
      </c>
      <c r="AT95">
        <v>3.9544733156126277E-2</v>
      </c>
      <c r="AU95">
        <v>3.9716833663018702E-2</v>
      </c>
      <c r="AV95">
        <v>4.1207609363844488E-2</v>
      </c>
      <c r="AW95">
        <v>0</v>
      </c>
    </row>
    <row r="96" spans="1:49" ht="15.75" customHeight="1">
      <c r="A96" s="63"/>
      <c r="B96" s="524"/>
      <c r="C96" s="197" t="s">
        <v>58</v>
      </c>
      <c r="D96">
        <v>0.1916945426597613</v>
      </c>
      <c r="E96">
        <v>0.8981793599894391</v>
      </c>
      <c r="F96">
        <v>0.20085563769814521</v>
      </c>
      <c r="G96">
        <v>1.129114246867073</v>
      </c>
      <c r="H96">
        <v>0.26014943067479362</v>
      </c>
      <c r="I96">
        <v>0.8935077124582711</v>
      </c>
      <c r="J96">
        <v>0.8935077124582711</v>
      </c>
      <c r="K96">
        <v>0.8935077124582711</v>
      </c>
      <c r="L96">
        <v>3.8596158557914283E-2</v>
      </c>
      <c r="M96">
        <v>0.30769689491459201</v>
      </c>
      <c r="N96">
        <v>0.1203382697572138</v>
      </c>
      <c r="O96">
        <v>0.34662815838007721</v>
      </c>
      <c r="P96">
        <v>0.20464172178406259</v>
      </c>
      <c r="Q96">
        <v>0.14765536211985389</v>
      </c>
      <c r="R96">
        <v>0.14749181519791929</v>
      </c>
      <c r="S96">
        <v>6.9270620888083848E-2</v>
      </c>
      <c r="T96">
        <v>0.82437204993398328</v>
      </c>
      <c r="U96">
        <v>1.4949153016333621</v>
      </c>
      <c r="V96">
        <v>0.29625317746531588</v>
      </c>
      <c r="W96">
        <v>0.4141135894773586</v>
      </c>
      <c r="X96">
        <v>0</v>
      </c>
      <c r="Y96" s="65"/>
      <c r="Z96" s="65"/>
      <c r="AA96" s="64"/>
      <c r="AB96" s="196" t="s">
        <v>58</v>
      </c>
      <c r="AC96">
        <v>3.8731959787197352E-2</v>
      </c>
      <c r="AD96">
        <v>4.1420279055759179E-2</v>
      </c>
      <c r="AE96">
        <v>4.2968953951437072E-2</v>
      </c>
      <c r="AF96">
        <v>4.8283621058915933E-2</v>
      </c>
      <c r="AG96">
        <v>5.4216848867144618E-2</v>
      </c>
      <c r="AH96">
        <v>4.1340063946954109E-2</v>
      </c>
      <c r="AI96">
        <v>4.1340063946954109E-2</v>
      </c>
      <c r="AJ96">
        <v>4.1340063946954109E-2</v>
      </c>
      <c r="AK96">
        <v>4.3559410851442333E-2</v>
      </c>
      <c r="AL96">
        <v>5.2295225282303237E-2</v>
      </c>
      <c r="AM96">
        <v>3.9189649540055223E-2</v>
      </c>
      <c r="AN96">
        <v>4.0695954079118968E-2</v>
      </c>
      <c r="AO96">
        <v>3.9392037836462723E-2</v>
      </c>
      <c r="AP96">
        <v>4.1257849635661481E-2</v>
      </c>
      <c r="AQ96">
        <v>3.4419799202715977E-2</v>
      </c>
      <c r="AR96">
        <v>2.9551703253253962E-2</v>
      </c>
      <c r="AS96">
        <v>4.0358679370920518E-2</v>
      </c>
      <c r="AT96">
        <v>3.9544733156126277E-2</v>
      </c>
      <c r="AU96">
        <v>3.9716833663018702E-2</v>
      </c>
      <c r="AV96">
        <v>4.1207609363844488E-2</v>
      </c>
      <c r="AW96">
        <v>0</v>
      </c>
    </row>
    <row r="97" spans="1:49" ht="15.75" customHeight="1">
      <c r="A97" s="63"/>
      <c r="B97" s="524"/>
      <c r="C97" s="197" t="s">
        <v>58</v>
      </c>
      <c r="D97">
        <v>0.1916945426597613</v>
      </c>
      <c r="E97">
        <v>0.8981793599894391</v>
      </c>
      <c r="F97">
        <v>0.20085563769814521</v>
      </c>
      <c r="G97">
        <v>1.129114246867073</v>
      </c>
      <c r="H97">
        <v>0.26014943067479362</v>
      </c>
      <c r="I97">
        <v>0.8935077124582711</v>
      </c>
      <c r="J97">
        <v>0.8935077124582711</v>
      </c>
      <c r="K97">
        <v>0.8935077124582711</v>
      </c>
      <c r="L97">
        <v>3.8596158557914283E-2</v>
      </c>
      <c r="M97">
        <v>0.30769689491459201</v>
      </c>
      <c r="N97">
        <v>0.1203382697572138</v>
      </c>
      <c r="O97">
        <v>0.34662815838007721</v>
      </c>
      <c r="P97">
        <v>0.20464172178406259</v>
      </c>
      <c r="Q97">
        <v>0.14765536211985389</v>
      </c>
      <c r="R97">
        <v>0.14749181519791929</v>
      </c>
      <c r="S97">
        <v>6.9270620888083848E-2</v>
      </c>
      <c r="T97">
        <v>0.82437204993398328</v>
      </c>
      <c r="U97">
        <v>1.4949153016333621</v>
      </c>
      <c r="V97">
        <v>0.29625317746531588</v>
      </c>
      <c r="W97">
        <v>0.4141135894773586</v>
      </c>
      <c r="X97">
        <v>0</v>
      </c>
      <c r="Y97" s="65"/>
      <c r="Z97" s="65"/>
      <c r="AA97" s="64"/>
      <c r="AB97" s="196" t="s">
        <v>61</v>
      </c>
      <c r="AC97">
        <v>1.9392076983361539E-2</v>
      </c>
      <c r="AD97">
        <v>1.223678001617245E-2</v>
      </c>
      <c r="AE97">
        <v>3.5560708986350782E-2</v>
      </c>
      <c r="AF97">
        <v>8.0401370789360715E-2</v>
      </c>
      <c r="AG97">
        <v>2.5711979757421451E-2</v>
      </c>
      <c r="AH97">
        <v>3.152734515926126E-3</v>
      </c>
      <c r="AI97">
        <v>3.152734515926126E-3</v>
      </c>
      <c r="AJ97">
        <v>3.152734515926126E-3</v>
      </c>
      <c r="AK97">
        <v>3.142948962567349E-2</v>
      </c>
      <c r="AL97">
        <v>1.618473408226229E-2</v>
      </c>
      <c r="AM97">
        <v>4.5460965340719417E-2</v>
      </c>
      <c r="AN97">
        <v>3.2190894662160741E-2</v>
      </c>
      <c r="AO97">
        <v>2.936398960664155E-2</v>
      </c>
      <c r="AP97">
        <v>2.752568257038468E-2</v>
      </c>
      <c r="AQ97">
        <v>3.154757005843134E-2</v>
      </c>
      <c r="AR97">
        <v>4.4105932455760222E-3</v>
      </c>
      <c r="AS97">
        <v>2.6773232087618389E-2</v>
      </c>
      <c r="AT97">
        <v>4.2307629981765738E-2</v>
      </c>
      <c r="AU97">
        <v>-1.021895270009909E-2</v>
      </c>
      <c r="AV97">
        <v>2.3380490323750669E-2</v>
      </c>
      <c r="AW97">
        <v>0</v>
      </c>
    </row>
    <row r="98" spans="1:49" ht="15.75" customHeight="1">
      <c r="A98" s="63"/>
      <c r="B98" s="524"/>
      <c r="C98" s="197" t="s">
        <v>58</v>
      </c>
      <c r="D98">
        <v>0.1916945426597613</v>
      </c>
      <c r="E98">
        <v>0.8981793599894391</v>
      </c>
      <c r="F98">
        <v>0.20085563769814521</v>
      </c>
      <c r="G98">
        <v>1.129114246867073</v>
      </c>
      <c r="H98">
        <v>0.26014943067479362</v>
      </c>
      <c r="I98">
        <v>0.8935077124582711</v>
      </c>
      <c r="J98">
        <v>0.8935077124582711</v>
      </c>
      <c r="K98">
        <v>0.8935077124582711</v>
      </c>
      <c r="L98">
        <v>3.8596158557914283E-2</v>
      </c>
      <c r="M98">
        <v>0.30769689491459201</v>
      </c>
      <c r="N98">
        <v>0.1203382697572138</v>
      </c>
      <c r="O98">
        <v>0.34662815838007721</v>
      </c>
      <c r="P98">
        <v>0.20464172178406259</v>
      </c>
      <c r="Q98">
        <v>0.14765536211985389</v>
      </c>
      <c r="R98">
        <v>0.14749181519791929</v>
      </c>
      <c r="S98">
        <v>6.9270620888083848E-2</v>
      </c>
      <c r="T98">
        <v>0.82437204993398328</v>
      </c>
      <c r="U98">
        <v>1.4949153016333621</v>
      </c>
      <c r="V98">
        <v>0.29625317746531588</v>
      </c>
      <c r="W98">
        <v>0.4141135894773586</v>
      </c>
      <c r="X98">
        <v>0</v>
      </c>
      <c r="Y98" s="65"/>
      <c r="Z98" s="65"/>
      <c r="AA98" s="12"/>
      <c r="AB98" s="196" t="s">
        <v>63</v>
      </c>
      <c r="AC98">
        <v>7.7268043410410714E-2</v>
      </c>
      <c r="AD98">
        <v>6.1663758465497542E-2</v>
      </c>
      <c r="AE98">
        <v>5.621887641851453E-2</v>
      </c>
      <c r="AF98">
        <v>0.1101275072103005</v>
      </c>
      <c r="AG98">
        <v>-1.3719582729594171E-2</v>
      </c>
      <c r="AH98">
        <v>5.0937894057014432E-2</v>
      </c>
      <c r="AI98">
        <v>5.0937894057014432E-2</v>
      </c>
      <c r="AJ98">
        <v>5.0937894057014432E-2</v>
      </c>
      <c r="AK98">
        <v>0.12332390505621429</v>
      </c>
      <c r="AL98">
        <v>0.1070112231104023</v>
      </c>
      <c r="AM98">
        <v>0.17673069910738359</v>
      </c>
      <c r="AN98">
        <v>0.18112313675693531</v>
      </c>
      <c r="AO98">
        <v>0.1617256398657767</v>
      </c>
      <c r="AP98">
        <v>0.13434140866784561</v>
      </c>
      <c r="AQ98">
        <v>0.11419017598814341</v>
      </c>
      <c r="AR98">
        <v>0.1589811071960352</v>
      </c>
      <c r="AS98">
        <v>0.1064076946160428</v>
      </c>
      <c r="AT98">
        <v>0.1489010350279607</v>
      </c>
      <c r="AU98">
        <v>0.1201761156131724</v>
      </c>
      <c r="AV98">
        <v>0.14503513564632911</v>
      </c>
      <c r="AW98">
        <v>0</v>
      </c>
    </row>
    <row r="99" spans="1:49" ht="15.75" customHeight="1">
      <c r="A99" s="63"/>
      <c r="B99" s="524"/>
      <c r="C99" s="197" t="s">
        <v>61</v>
      </c>
      <c r="D99">
        <v>0.29880940407608392</v>
      </c>
      <c r="E99">
        <v>0.8348808819683865</v>
      </c>
      <c r="F99">
        <v>0.28756748162220153</v>
      </c>
      <c r="G99">
        <v>0.91916415948829155</v>
      </c>
      <c r="H99">
        <v>0.27493694921853179</v>
      </c>
      <c r="I99">
        <v>0.50889497242784809</v>
      </c>
      <c r="J99">
        <v>0.50889497242784809</v>
      </c>
      <c r="K99">
        <v>0.50889497242784809</v>
      </c>
      <c r="L99">
        <v>0.13901376261661821</v>
      </c>
      <c r="M99">
        <v>4.0676810978292441E-2</v>
      </c>
      <c r="N99">
        <v>8.6452370767839806E-2</v>
      </c>
      <c r="O99">
        <v>9.0824853664612556E-2</v>
      </c>
      <c r="P99">
        <v>1.8495376451159201E-2</v>
      </c>
      <c r="Q99">
        <v>0.19764654874699061</v>
      </c>
      <c r="R99">
        <v>4.3350872340085382E-2</v>
      </c>
      <c r="S99">
        <v>0.43469390167928679</v>
      </c>
      <c r="T99">
        <v>0.76741203510659595</v>
      </c>
      <c r="U99">
        <v>-8.9119436279570391E-2</v>
      </c>
      <c r="V99">
        <v>0.97735785944287024</v>
      </c>
      <c r="W99">
        <v>0.23472133657877489</v>
      </c>
      <c r="X99">
        <v>0</v>
      </c>
      <c r="Y99" s="65"/>
      <c r="Z99" s="65"/>
      <c r="AA99" s="12"/>
      <c r="AB99" s="196" t="s">
        <v>65</v>
      </c>
      <c r="AC99">
        <v>1.810706587214872E-2</v>
      </c>
      <c r="AD99">
        <v>-1.017384446189573E-2</v>
      </c>
      <c r="AE99">
        <v>2.1879240160354699E-2</v>
      </c>
      <c r="AF99">
        <v>-3.7022558370828573E-2</v>
      </c>
      <c r="AG99">
        <v>3.4648839421082211E-2</v>
      </c>
      <c r="AH99">
        <v>-2.494900864226457E-2</v>
      </c>
      <c r="AI99">
        <v>-2.494900864226457E-2</v>
      </c>
      <c r="AJ99">
        <v>-2.494900864226457E-2</v>
      </c>
      <c r="AK99">
        <v>4.1104259918758101E-2</v>
      </c>
      <c r="AL99">
        <v>7.563369893668348E-4</v>
      </c>
      <c r="AM99">
        <v>3.2376141467436843E-2</v>
      </c>
      <c r="AN99">
        <v>2.327525702344313E-2</v>
      </c>
      <c r="AO99">
        <v>2.0036897544756242E-2</v>
      </c>
      <c r="AP99">
        <v>2.9944114743600592E-2</v>
      </c>
      <c r="AQ99">
        <v>1.8054718392499499E-2</v>
      </c>
      <c r="AR99">
        <v>1.8588727939634179E-2</v>
      </c>
      <c r="AS99">
        <v>2.1668294521486331E-2</v>
      </c>
      <c r="AT99">
        <v>2.2206119473941129E-2</v>
      </c>
      <c r="AU99">
        <v>3.6650010426232837E-2</v>
      </c>
      <c r="AV99">
        <v>4.2671189527491382E-2</v>
      </c>
      <c r="AW99">
        <v>0</v>
      </c>
    </row>
    <row r="100" spans="1:49" ht="15.75" customHeight="1">
      <c r="A100" s="63"/>
      <c r="B100" s="524"/>
      <c r="C100" s="197" t="s">
        <v>63</v>
      </c>
      <c r="D100">
        <v>0.30789382750143252</v>
      </c>
      <c r="E100">
        <v>2.7351934387383201</v>
      </c>
      <c r="F100">
        <v>0.2346356249060704</v>
      </c>
      <c r="G100">
        <v>1.095931735534218</v>
      </c>
      <c r="H100">
        <v>0.15936280793375671</v>
      </c>
      <c r="I100">
        <v>0.76395251134931952</v>
      </c>
      <c r="J100">
        <v>0.76395251134931952</v>
      </c>
      <c r="K100">
        <v>0.76395251134931952</v>
      </c>
      <c r="L100">
        <v>0.17561920668166009</v>
      </c>
      <c r="M100">
        <v>0.21022093980608481</v>
      </c>
      <c r="N100">
        <v>0.1688168267978381</v>
      </c>
      <c r="O100">
        <v>0.1777660987009986</v>
      </c>
      <c r="P100">
        <v>0.16342713243231699</v>
      </c>
      <c r="Q100">
        <v>0.26440804888199232</v>
      </c>
      <c r="R100">
        <v>0.116003922299701</v>
      </c>
      <c r="S100">
        <v>0.19387761646749041</v>
      </c>
      <c r="T100">
        <v>1.0590866038374951</v>
      </c>
      <c r="U100">
        <v>1.423323205678235</v>
      </c>
      <c r="V100">
        <v>0.46211395017116452</v>
      </c>
      <c r="W100">
        <v>0.34693762725838589</v>
      </c>
      <c r="X100">
        <v>0</v>
      </c>
      <c r="Y100" s="65"/>
      <c r="Z100" s="65"/>
      <c r="AA100" s="65"/>
      <c r="AB100" s="196" t="s">
        <v>67</v>
      </c>
      <c r="AC100">
        <v>-2.5339633490084949E-2</v>
      </c>
      <c r="AD100">
        <v>-9.897062257809397E-3</v>
      </c>
      <c r="AE100">
        <v>-1.825804662645647E-2</v>
      </c>
      <c r="AF100">
        <v>1.434096821611131E-2</v>
      </c>
      <c r="AG100">
        <v>-2.5486270908831151E-2</v>
      </c>
      <c r="AH100">
        <v>-1.3343832719853179E-3</v>
      </c>
      <c r="AI100">
        <v>-1.3343832719853179E-3</v>
      </c>
      <c r="AJ100">
        <v>-1.3343832719853179E-3</v>
      </c>
      <c r="AK100">
        <v>3.9584408375772373E-3</v>
      </c>
      <c r="AL100">
        <v>1.203077870623037E-2</v>
      </c>
      <c r="AM100">
        <v>1.0900168722937529E-2</v>
      </c>
      <c r="AN100">
        <v>1.044584245012214E-2</v>
      </c>
      <c r="AO100">
        <v>-5.0312730904064074E-3</v>
      </c>
      <c r="AP100">
        <v>2.362897830526367E-2</v>
      </c>
      <c r="AQ100">
        <v>2.683162558949848E-3</v>
      </c>
      <c r="AR100">
        <v>2.372722302080588E-2</v>
      </c>
      <c r="AS100">
        <v>9.6166907643981947E-3</v>
      </c>
      <c r="AT100">
        <v>1.678755723133896E-2</v>
      </c>
      <c r="AU100">
        <v>2.1121703412239509E-2</v>
      </c>
      <c r="AV100">
        <v>2.3444510133991958E-3</v>
      </c>
      <c r="AW100">
        <v>0</v>
      </c>
    </row>
    <row r="101" spans="1:49" ht="15.75" customHeight="1">
      <c r="A101" s="63"/>
      <c r="B101" s="524"/>
      <c r="C101" s="197" t="s">
        <v>65</v>
      </c>
      <c r="D101">
        <v>0.32045061841546491</v>
      </c>
      <c r="E101">
        <v>0.52978045027395904</v>
      </c>
      <c r="F101">
        <v>0.12699835111885949</v>
      </c>
      <c r="G101">
        <v>1.0869465976308239</v>
      </c>
      <c r="H101">
        <v>7.0271706039473303E-2</v>
      </c>
      <c r="I101">
        <v>0.72043260330053616</v>
      </c>
      <c r="J101">
        <v>0.72043260330053616</v>
      </c>
      <c r="K101">
        <v>0.72043260330053616</v>
      </c>
      <c r="L101">
        <v>0.1714010106123266</v>
      </c>
      <c r="M101">
        <v>0.13209401706070889</v>
      </c>
      <c r="N101">
        <v>0.16699186869325919</v>
      </c>
      <c r="O101">
        <v>0.19093165995831651</v>
      </c>
      <c r="P101">
        <v>9.6090095908232448E-2</v>
      </c>
      <c r="Q101">
        <v>0.22032817287362241</v>
      </c>
      <c r="R101">
        <v>0.1153038185089028</v>
      </c>
      <c r="S101">
        <v>0.40166076355385971</v>
      </c>
      <c r="T101">
        <v>0.97320292488848048</v>
      </c>
      <c r="U101">
        <v>0.74575533360108714</v>
      </c>
      <c r="V101">
        <v>0.34664291694123361</v>
      </c>
      <c r="W101">
        <v>0.25027829159982662</v>
      </c>
      <c r="X101">
        <v>0</v>
      </c>
      <c r="Y101" s="65"/>
      <c r="Z101" s="65"/>
      <c r="AA101" s="65"/>
      <c r="AB101" s="196" t="s">
        <v>69</v>
      </c>
      <c r="AC101">
        <v>-8.0777156246283344E-3</v>
      </c>
      <c r="AD101">
        <v>-1.109913728931877E-3</v>
      </c>
      <c r="AE101">
        <v>-1.0169903881244171E-3</v>
      </c>
      <c r="AF101">
        <v>-3.0695888663517801E-3</v>
      </c>
      <c r="AG101">
        <v>5.9982895172239203E-4</v>
      </c>
      <c r="AH101">
        <v>-8.5165058954483897E-4</v>
      </c>
      <c r="AI101">
        <v>-8.5165058954483897E-4</v>
      </c>
      <c r="AJ101">
        <v>-8.5165058954483897E-4</v>
      </c>
      <c r="AK101">
        <v>-1.2099944289070569E-2</v>
      </c>
      <c r="AL101">
        <v>-4.3045456347512451E-4</v>
      </c>
      <c r="AM101">
        <v>-5.762713369813488E-4</v>
      </c>
      <c r="AN101">
        <v>1.8525551156201031E-4</v>
      </c>
      <c r="AO101">
        <v>-2.6959829522978929E-3</v>
      </c>
      <c r="AP101">
        <v>-1.750192550379337E-3</v>
      </c>
      <c r="AQ101">
        <v>-8.2079996813677614E-4</v>
      </c>
      <c r="AR101">
        <v>-8.2035218448073266E-4</v>
      </c>
      <c r="AS101">
        <v>-5.9410581541463614E-4</v>
      </c>
      <c r="AT101">
        <v>-7.918268416862162E-4</v>
      </c>
      <c r="AU101">
        <v>-1.2497823587709339E-4</v>
      </c>
      <c r="AV101">
        <v>-2.9896269496698658E-4</v>
      </c>
      <c r="AW101">
        <v>0</v>
      </c>
    </row>
    <row r="102" spans="1:49" ht="15.75" customHeight="1">
      <c r="A102" s="63"/>
      <c r="B102" s="524"/>
      <c r="C102" s="197" t="s">
        <v>67</v>
      </c>
      <c r="D102">
        <v>6.9377666528130655E-2</v>
      </c>
      <c r="E102">
        <v>1.013363789826939</v>
      </c>
      <c r="F102">
        <v>0.1608701498154432</v>
      </c>
      <c r="G102">
        <v>1.502455831780025</v>
      </c>
      <c r="H102">
        <v>0.33815172071972183</v>
      </c>
      <c r="I102">
        <v>1.0321035825860401</v>
      </c>
      <c r="J102">
        <v>1.0321035825860401</v>
      </c>
      <c r="K102">
        <v>1.0321035825860401</v>
      </c>
      <c r="L102">
        <v>6.957660294686939E-2</v>
      </c>
      <c r="M102">
        <v>6.89733056900277E-2</v>
      </c>
      <c r="N102">
        <v>0.15680229995589601</v>
      </c>
      <c r="O102">
        <v>0.43865549856961278</v>
      </c>
      <c r="P102">
        <v>9.605944462737015E-2</v>
      </c>
      <c r="Q102">
        <v>0.22682049346610109</v>
      </c>
      <c r="R102">
        <v>3.9129035337350938E-2</v>
      </c>
      <c r="S102">
        <v>0.3587635022779917</v>
      </c>
      <c r="T102">
        <v>1.1473064256798611</v>
      </c>
      <c r="U102">
        <v>1.2073707812373431</v>
      </c>
      <c r="V102">
        <v>0.35122381407512487</v>
      </c>
      <c r="W102">
        <v>0.23224729437889441</v>
      </c>
      <c r="X102">
        <v>0</v>
      </c>
      <c r="Y102" s="65"/>
      <c r="Z102" s="65"/>
      <c r="AA102" s="65"/>
      <c r="AB102" s="196" t="s">
        <v>145</v>
      </c>
      <c r="AC102">
        <v>4.5336619106970837E-2</v>
      </c>
      <c r="AD102">
        <v>2.1398429192430068E-2</v>
      </c>
      <c r="AE102">
        <v>2.817183273137136E-2</v>
      </c>
      <c r="AF102">
        <v>3.4233515474625609E-2</v>
      </c>
      <c r="AG102">
        <v>2.8445144146349351E-2</v>
      </c>
      <c r="AH102">
        <v>1.92085796318795E-2</v>
      </c>
      <c r="AI102">
        <v>1.92085796318795E-2</v>
      </c>
      <c r="AJ102">
        <v>1.92085796318795E-2</v>
      </c>
      <c r="AK102">
        <v>1.395465536447049E-2</v>
      </c>
      <c r="AL102">
        <v>1.0843503302289779E-2</v>
      </c>
      <c r="AM102">
        <v>2.3806104634704232E-2</v>
      </c>
      <c r="AN102">
        <v>2.8408553389357442E-2</v>
      </c>
      <c r="AO102">
        <v>2.9415476622448589E-2</v>
      </c>
      <c r="AP102">
        <v>2.0588793732824181E-2</v>
      </c>
      <c r="AQ102">
        <v>3.3381779892869723E-2</v>
      </c>
      <c r="AR102">
        <v>2.3055817383477839E-2</v>
      </c>
      <c r="AS102">
        <v>2.604012274566192E-2</v>
      </c>
      <c r="AT102">
        <v>2.259936588297928E-2</v>
      </c>
      <c r="AU102">
        <v>2.5335823163661338E-2</v>
      </c>
      <c r="AV102">
        <v>2.452507631949263E-2</v>
      </c>
      <c r="AW102">
        <v>0</v>
      </c>
    </row>
    <row r="103" spans="1:49" ht="15.75" customHeight="1">
      <c r="A103" s="63"/>
      <c r="B103" s="524"/>
      <c r="C103" s="197" t="s">
        <v>69</v>
      </c>
      <c r="D103">
        <v>0.13877166719545639</v>
      </c>
      <c r="E103">
        <v>0.74624594895493646</v>
      </c>
      <c r="F103">
        <v>5.8328198715565473E-2</v>
      </c>
      <c r="G103">
        <v>1.032088902413423</v>
      </c>
      <c r="H103">
        <v>0.1639772956633635</v>
      </c>
      <c r="I103">
        <v>0.84617886311835189</v>
      </c>
      <c r="J103">
        <v>0.84617886311835189</v>
      </c>
      <c r="K103">
        <v>0.84617886311835189</v>
      </c>
      <c r="L103">
        <v>0.21898925289476659</v>
      </c>
      <c r="M103">
        <v>0.1606268668238445</v>
      </c>
      <c r="N103">
        <v>0.14664348806873179</v>
      </c>
      <c r="O103">
        <v>0.31796519993997541</v>
      </c>
      <c r="P103">
        <v>0.1350286151765607</v>
      </c>
      <c r="Q103">
        <v>0.1566629159209573</v>
      </c>
      <c r="R103">
        <v>0.17632483414697731</v>
      </c>
      <c r="S103">
        <v>0.77831903921057322</v>
      </c>
      <c r="T103">
        <v>0.81337696129692305</v>
      </c>
      <c r="U103">
        <v>0.89101897149214615</v>
      </c>
      <c r="V103">
        <v>0.21863898456509101</v>
      </c>
      <c r="W103">
        <v>0.31490728945320928</v>
      </c>
      <c r="X103">
        <v>0</v>
      </c>
      <c r="Y103" s="65"/>
      <c r="Z103" s="65"/>
      <c r="AA103" s="12"/>
      <c r="AB103" s="196" t="s">
        <v>73</v>
      </c>
      <c r="AC103">
        <v>-2.398813998151483E-2</v>
      </c>
      <c r="AD103">
        <v>-3.075662297345538E-2</v>
      </c>
      <c r="AE103">
        <v>-1.1265090758907359E-3</v>
      </c>
      <c r="AF103">
        <v>4.1889168773070473E-2</v>
      </c>
      <c r="AG103">
        <v>9.8263394239737067E-3</v>
      </c>
      <c r="AH103">
        <v>1.5777884396534821E-2</v>
      </c>
      <c r="AI103">
        <v>1.5777884396534821E-2</v>
      </c>
      <c r="AJ103">
        <v>1.5777884396534821E-2</v>
      </c>
      <c r="AK103">
        <v>-1.4880059342419431E-2</v>
      </c>
      <c r="AL103">
        <v>2.810215808938032E-3</v>
      </c>
      <c r="AM103">
        <v>-1.4031235996108339E-2</v>
      </c>
      <c r="AN103">
        <v>-1.881379295395336E-2</v>
      </c>
      <c r="AO103">
        <v>6.5360492892851951E-4</v>
      </c>
      <c r="AP103">
        <v>-3.6308580001203068E-3</v>
      </c>
      <c r="AQ103">
        <v>2.1380830340894441E-2</v>
      </c>
      <c r="AR103">
        <v>2.3342655053067322E-2</v>
      </c>
      <c r="AS103">
        <v>-1.151923236610242E-2</v>
      </c>
      <c r="AT103">
        <v>1.6890328212862519E-2</v>
      </c>
      <c r="AU103">
        <v>2.6809680937260878E-3</v>
      </c>
      <c r="AV103">
        <v>-6.8857065051697308E-3</v>
      </c>
      <c r="AW103">
        <v>0</v>
      </c>
    </row>
    <row r="104" spans="1:49" ht="15.75" customHeight="1">
      <c r="A104" s="63"/>
      <c r="B104" s="524"/>
      <c r="C104" s="197" t="s">
        <v>145</v>
      </c>
      <c r="D104">
        <v>0.37312205872265081</v>
      </c>
      <c r="E104">
        <v>0.82422612070291645</v>
      </c>
      <c r="F104">
        <v>0.205275047582932</v>
      </c>
      <c r="G104">
        <v>1.140678209270559</v>
      </c>
      <c r="H104">
        <v>0.25762896735614482</v>
      </c>
      <c r="I104">
        <v>0.97461313774964109</v>
      </c>
      <c r="J104">
        <v>0.97461313774964109</v>
      </c>
      <c r="K104">
        <v>0.97461313774964109</v>
      </c>
      <c r="L104">
        <v>0.41225787890768162</v>
      </c>
      <c r="M104">
        <v>0.27253581221350748</v>
      </c>
      <c r="N104">
        <v>0.34414947905673687</v>
      </c>
      <c r="O104">
        <v>0.23628549910023541</v>
      </c>
      <c r="P104">
        <v>0.12026940189651709</v>
      </c>
      <c r="Q104">
        <v>0.30037542554856639</v>
      </c>
      <c r="R104">
        <v>0.31114148753525778</v>
      </c>
      <c r="S104">
        <v>0.61794042362160395</v>
      </c>
      <c r="T104">
        <v>1.242147639695995</v>
      </c>
      <c r="U104">
        <v>0.65761075479340714</v>
      </c>
      <c r="V104">
        <v>0.94389066873610639</v>
      </c>
      <c r="W104">
        <v>0.35883903474608569</v>
      </c>
      <c r="X104">
        <v>0</v>
      </c>
      <c r="Y104" s="65"/>
      <c r="Z104" s="65"/>
      <c r="AA104" s="65"/>
      <c r="AB104" s="196" t="s">
        <v>75</v>
      </c>
      <c r="AC104">
        <v>-1.3225208578451549E-2</v>
      </c>
      <c r="AD104">
        <v>-3.2116181804601303E-2</v>
      </c>
      <c r="AE104">
        <v>-1.451716910433898E-2</v>
      </c>
      <c r="AF104">
        <v>8.6545268375656903E-2</v>
      </c>
      <c r="AG104">
        <v>-1.4046691564972851E-3</v>
      </c>
      <c r="AH104">
        <v>-8.5228132112135091E-3</v>
      </c>
      <c r="AI104">
        <v>-8.5228132112135091E-3</v>
      </c>
      <c r="AJ104">
        <v>-8.5228132112135091E-3</v>
      </c>
      <c r="AK104">
        <v>-9.2031721101670794E-4</v>
      </c>
      <c r="AL104">
        <v>-5.7573944772084662E-3</v>
      </c>
      <c r="AM104">
        <v>-1.9135716520037978E-2</v>
      </c>
      <c r="AN104">
        <v>-9.2157807338095754E-3</v>
      </c>
      <c r="AO104">
        <v>-1.9471556421200131E-2</v>
      </c>
      <c r="AP104">
        <v>-1.7495275242493721E-2</v>
      </c>
      <c r="AQ104">
        <v>-2.3116551952512721E-2</v>
      </c>
      <c r="AR104">
        <v>-2.0235109346509739E-2</v>
      </c>
      <c r="AS104">
        <v>-1.6233201489457061E-2</v>
      </c>
      <c r="AT104">
        <v>-1.8650430500669061E-2</v>
      </c>
      <c r="AU104">
        <v>-1.9480581117395371E-2</v>
      </c>
      <c r="AV104">
        <v>-1.7535447199831019E-2</v>
      </c>
      <c r="AW104">
        <v>0</v>
      </c>
    </row>
    <row r="105" spans="1:49" ht="15.75" customHeight="1">
      <c r="A105" s="63"/>
      <c r="B105" s="524"/>
      <c r="C105" s="197" t="s">
        <v>73</v>
      </c>
      <c r="D105">
        <v>0.42092864004540831</v>
      </c>
      <c r="E105">
        <v>1.176865345341054</v>
      </c>
      <c r="F105">
        <v>0.14904685894466951</v>
      </c>
      <c r="G105">
        <v>1.1587138425576631</v>
      </c>
      <c r="H105">
        <v>0.31563219101891082</v>
      </c>
      <c r="I105">
        <v>1.0789478675552839</v>
      </c>
      <c r="J105">
        <v>1.0789478675552839</v>
      </c>
      <c r="K105">
        <v>1.0789478675552839</v>
      </c>
      <c r="L105">
        <v>0.33563338262129222</v>
      </c>
      <c r="M105">
        <v>0.25082695349500028</v>
      </c>
      <c r="N105">
        <v>0.22598284493742879</v>
      </c>
      <c r="O105">
        <v>0.54513459843387757</v>
      </c>
      <c r="P105">
        <v>0.41135334782952232</v>
      </c>
      <c r="Q105">
        <v>0.38642596131802559</v>
      </c>
      <c r="R105">
        <v>0.23518352116553781</v>
      </c>
      <c r="S105">
        <v>0.74830082283099875</v>
      </c>
      <c r="T105">
        <v>1.135203004152594</v>
      </c>
      <c r="U105">
        <v>0.64965379683041513</v>
      </c>
      <c r="V105">
        <v>1.491410034788257E-2</v>
      </c>
      <c r="W105">
        <v>0.41408250125285062</v>
      </c>
      <c r="X105">
        <v>0</v>
      </c>
      <c r="Y105" s="65"/>
      <c r="Z105" s="65"/>
      <c r="AA105" s="65"/>
      <c r="AB105" s="196" t="s">
        <v>146</v>
      </c>
      <c r="AC105">
        <v>3.1355656665090992E-2</v>
      </c>
      <c r="AD105">
        <v>2.891742973310318E-2</v>
      </c>
      <c r="AE105">
        <v>3.458001496665486E-2</v>
      </c>
      <c r="AF105">
        <v>0.29097039795698221</v>
      </c>
      <c r="AG105">
        <v>1.1186986140780061E-2</v>
      </c>
      <c r="AH105">
        <v>0.144672050683782</v>
      </c>
      <c r="AI105">
        <v>0.144672050683782</v>
      </c>
      <c r="AJ105">
        <v>0.144672050683782</v>
      </c>
      <c r="AK105">
        <v>1.28004830290851E-2</v>
      </c>
      <c r="AL105">
        <v>3.2472662647176083E-2</v>
      </c>
      <c r="AM105">
        <v>2.562469587670058E-2</v>
      </c>
      <c r="AN105">
        <v>1.204990819706042E-2</v>
      </c>
      <c r="AO105">
        <v>1.5322543202156201E-2</v>
      </c>
      <c r="AP105">
        <v>2.3845533502197199E-2</v>
      </c>
      <c r="AQ105">
        <v>3.3645689256357691E-2</v>
      </c>
      <c r="AR105">
        <v>4.3519818093096907E-2</v>
      </c>
      <c r="AS105">
        <v>2.1703469669662519E-2</v>
      </c>
      <c r="AT105">
        <v>2.7165683090466741E-2</v>
      </c>
      <c r="AU105">
        <v>3.1549774220225313E-2</v>
      </c>
      <c r="AV105">
        <v>2.7158625955060689E-2</v>
      </c>
      <c r="AW105">
        <v>0</v>
      </c>
    </row>
    <row r="106" spans="1:49" ht="15.75" customHeight="1">
      <c r="A106" s="63"/>
      <c r="B106" s="524"/>
      <c r="C106" s="197" t="s">
        <v>75</v>
      </c>
      <c r="D106">
        <v>0.81118081067865233</v>
      </c>
      <c r="E106">
        <v>0.79376065851324562</v>
      </c>
      <c r="F106">
        <v>0.19087831007772271</v>
      </c>
      <c r="G106">
        <v>0.80921972160097</v>
      </c>
      <c r="H106">
        <v>0.23222588185569851</v>
      </c>
      <c r="I106">
        <v>0.9688524859442561</v>
      </c>
      <c r="J106">
        <v>0.9688524859442561</v>
      </c>
      <c r="K106">
        <v>0.9688524859442561</v>
      </c>
      <c r="L106">
        <v>0.12655572606050039</v>
      </c>
      <c r="M106">
        <v>0.17435966611899259</v>
      </c>
      <c r="N106">
        <v>0.16847233704798881</v>
      </c>
      <c r="O106">
        <v>0.34460461592940678</v>
      </c>
      <c r="P106">
        <v>0.15259559806443351</v>
      </c>
      <c r="Q106">
        <v>0.27670209446292288</v>
      </c>
      <c r="R106">
        <v>0.1207179894622438</v>
      </c>
      <c r="S106">
        <v>0.53973275135966858</v>
      </c>
      <c r="T106">
        <v>1.470533739371273</v>
      </c>
      <c r="U106">
        <v>1.3150884309093429</v>
      </c>
      <c r="V106">
        <v>0.80865452115934222</v>
      </c>
      <c r="W106">
        <v>0.42435566963335231</v>
      </c>
      <c r="X106">
        <v>0</v>
      </c>
      <c r="Y106" s="65"/>
      <c r="Z106" s="65"/>
      <c r="AA106" s="65"/>
      <c r="AB106" s="196" t="s">
        <v>83</v>
      </c>
      <c r="AC106">
        <v>-2.064958566825537E-3</v>
      </c>
      <c r="AD106">
        <v>-2.7317117983650881E-2</v>
      </c>
      <c r="AE106">
        <v>3.7023657347218908E-2</v>
      </c>
      <c r="AF106">
        <v>-5.2516167553503412E-2</v>
      </c>
      <c r="AG106">
        <v>4.597696676452756E-2</v>
      </c>
      <c r="AH106">
        <v>-7.9397343570823176E-2</v>
      </c>
      <c r="AI106">
        <v>-7.9397343570823176E-2</v>
      </c>
      <c r="AJ106">
        <v>-7.9397343570823176E-2</v>
      </c>
      <c r="AK106">
        <v>-6.1737162459336581E-3</v>
      </c>
      <c r="AL106">
        <v>-1.463182330809942E-2</v>
      </c>
      <c r="AM106">
        <v>-1.460543122209379E-2</v>
      </c>
      <c r="AN106">
        <v>2.5798950378106641E-2</v>
      </c>
      <c r="AO106">
        <v>1.2208639056804801E-2</v>
      </c>
      <c r="AP106">
        <v>-1.636186414071605E-2</v>
      </c>
      <c r="AQ106">
        <v>1.2599918330968849E-2</v>
      </c>
      <c r="AR106">
        <v>-4.4390280736266392E-2</v>
      </c>
      <c r="AS106">
        <v>-1.1599402743931231E-2</v>
      </c>
      <c r="AT106">
        <v>3.4138071960763787E-2</v>
      </c>
      <c r="AU106">
        <v>-4.1396365692341057E-2</v>
      </c>
      <c r="AV106">
        <v>-1.861169301460441E-2</v>
      </c>
      <c r="AW106">
        <v>0</v>
      </c>
    </row>
    <row r="107" spans="1:49" ht="15.75" customHeight="1">
      <c r="A107" s="63"/>
      <c r="B107" s="524"/>
      <c r="C107" s="197" t="s">
        <v>146</v>
      </c>
      <c r="D107">
        <v>0.32349594771827922</v>
      </c>
      <c r="E107">
        <v>0.94063390385252776</v>
      </c>
      <c r="F107">
        <v>9.0869569710501419E-2</v>
      </c>
      <c r="G107">
        <v>0.79837171781653238</v>
      </c>
      <c r="H107">
        <v>0.1192476820321462</v>
      </c>
      <c r="I107">
        <v>0.6465076442732689</v>
      </c>
      <c r="J107">
        <v>0.6465076442732689</v>
      </c>
      <c r="K107">
        <v>0.6465076442732689</v>
      </c>
      <c r="L107">
        <v>0.19831960383099401</v>
      </c>
      <c r="M107">
        <v>0.12078340731776289</v>
      </c>
      <c r="N107">
        <v>0.1517810833633135</v>
      </c>
      <c r="O107">
        <v>0.28230998133869389</v>
      </c>
      <c r="P107">
        <v>7.1003391813395128E-2</v>
      </c>
      <c r="Q107">
        <v>0.1417786624308334</v>
      </c>
      <c r="R107">
        <v>0.13831338156119499</v>
      </c>
      <c r="S107">
        <v>0.38301523133969922</v>
      </c>
      <c r="T107">
        <v>0.57897425332624752</v>
      </c>
      <c r="U107">
        <v>1.070744419523644</v>
      </c>
      <c r="V107">
        <v>0.33921101717217089</v>
      </c>
      <c r="W107">
        <v>0.21929094501245699</v>
      </c>
      <c r="X107">
        <v>0</v>
      </c>
      <c r="Y107" s="65"/>
      <c r="Z107" s="65"/>
      <c r="AA107" s="65"/>
      <c r="AB107" s="196" t="s">
        <v>85</v>
      </c>
      <c r="AC107">
        <v>-0.1012606562109616</v>
      </c>
      <c r="AD107">
        <v>4.1789775820028303E-2</v>
      </c>
      <c r="AE107">
        <v>-3.7934168387694371E-3</v>
      </c>
      <c r="AF107">
        <v>-6.9260736637645204E-2</v>
      </c>
      <c r="AG107">
        <v>5.1086405333949259E-2</v>
      </c>
      <c r="AH107">
        <v>-8.0099432621522415E-2</v>
      </c>
      <c r="AI107">
        <v>-8.0099432621522415E-2</v>
      </c>
      <c r="AJ107">
        <v>-8.0099432621522415E-2</v>
      </c>
      <c r="AK107">
        <v>-1.7343179947926331E-2</v>
      </c>
      <c r="AL107">
        <v>1.46194788098617E-2</v>
      </c>
      <c r="AM107">
        <v>1.5344519082088229E-2</v>
      </c>
      <c r="AN107">
        <v>-7.4193237501030684E-2</v>
      </c>
      <c r="AO107">
        <v>-1.198871802201773E-2</v>
      </c>
      <c r="AP107">
        <v>-2.4031778784548759E-2</v>
      </c>
      <c r="AQ107">
        <v>-5.4748407107058084E-3</v>
      </c>
      <c r="AR107">
        <v>-1.2070799374168771E-2</v>
      </c>
      <c r="AS107">
        <v>-3.4223773207030517E-2</v>
      </c>
      <c r="AT107">
        <v>-5.7054371696763861E-2</v>
      </c>
      <c r="AU107">
        <v>-3.1354879383298173E-2</v>
      </c>
      <c r="AV107">
        <v>-6.5120589125572836E-2</v>
      </c>
      <c r="AW107">
        <v>0</v>
      </c>
    </row>
    <row r="108" spans="1:49" ht="15.75" customHeight="1">
      <c r="A108" s="63"/>
      <c r="B108" s="524"/>
      <c r="C108" s="197" t="s">
        <v>83</v>
      </c>
      <c r="D108">
        <v>-0.77209136370568998</v>
      </c>
      <c r="E108">
        <v>8.2172709319131219</v>
      </c>
      <c r="F108">
        <v>-1.9432291830924889E-2</v>
      </c>
      <c r="G108">
        <v>0.86291359050134875</v>
      </c>
      <c r="H108">
        <v>3.9168865344097227E-2</v>
      </c>
      <c r="I108">
        <v>0.1630376633222613</v>
      </c>
      <c r="J108">
        <v>0.1630376633222613</v>
      </c>
      <c r="K108">
        <v>0.1630376633222613</v>
      </c>
      <c r="L108">
        <v>0.79803702786565456</v>
      </c>
      <c r="M108">
        <v>-0.1576019388238093</v>
      </c>
      <c r="N108">
        <v>-0.247585195374835</v>
      </c>
      <c r="O108">
        <v>-0.18408845667537771</v>
      </c>
      <c r="P108">
        <v>-0.14087274721195869</v>
      </c>
      <c r="Q108">
        <v>-0.27020048032373678</v>
      </c>
      <c r="R108">
        <v>-0.16015321236126739</v>
      </c>
      <c r="S108">
        <v>-0.42748997763467939</v>
      </c>
      <c r="T108">
        <v>-0.23440372786273861</v>
      </c>
      <c r="U108">
        <v>-0.7686892167948588</v>
      </c>
      <c r="V108">
        <v>0.38856001453905292</v>
      </c>
      <c r="W108">
        <v>7.5262779893208289E-3</v>
      </c>
      <c r="X108">
        <v>0</v>
      </c>
      <c r="Y108" s="65"/>
      <c r="Z108" s="65"/>
      <c r="AA108" s="12"/>
      <c r="AB108" s="196" t="s">
        <v>88</v>
      </c>
      <c r="AC108">
        <v>6.9361596804955461E-3</v>
      </c>
      <c r="AD108">
        <v>1.8770023148179989E-2</v>
      </c>
      <c r="AE108">
        <v>1.0618460947328989E-2</v>
      </c>
      <c r="AF108">
        <v>4.0941090968052762E-2</v>
      </c>
      <c r="AG108">
        <v>2.4293923751558259E-2</v>
      </c>
      <c r="AH108">
        <v>6.262388476693026E-3</v>
      </c>
      <c r="AI108">
        <v>6.262388476693026E-3</v>
      </c>
      <c r="AJ108">
        <v>6.262388476693026E-3</v>
      </c>
      <c r="AK108">
        <v>-9.0522886701907002E-3</v>
      </c>
      <c r="AL108">
        <v>-1.2664326003647419E-3</v>
      </c>
      <c r="AM108">
        <v>1.902365304136033E-2</v>
      </c>
      <c r="AN108">
        <v>5.6943372251905711E-2</v>
      </c>
      <c r="AO108">
        <v>-2.0728676293841901E-3</v>
      </c>
      <c r="AP108">
        <v>2.2256465918645271E-2</v>
      </c>
      <c r="AQ108">
        <v>3.9707441953720453E-2</v>
      </c>
      <c r="AR108">
        <v>1.192392257542507E-2</v>
      </c>
      <c r="AS108">
        <v>2.2420926821715041E-2</v>
      </c>
      <c r="AT108">
        <v>-4.3097261069099953E-2</v>
      </c>
      <c r="AU108">
        <v>-1.426015764039856E-2</v>
      </c>
      <c r="AV108">
        <v>-6.6120264722896116E-2</v>
      </c>
      <c r="AW108">
        <v>0</v>
      </c>
    </row>
    <row r="109" spans="1:49" ht="15.75" customHeight="1">
      <c r="A109" s="63"/>
      <c r="B109" s="524"/>
      <c r="C109" s="197" t="s">
        <v>85</v>
      </c>
      <c r="D109">
        <v>-4.4055642470186812E-2</v>
      </c>
      <c r="E109">
        <v>0.42981068985522208</v>
      </c>
      <c r="F109">
        <v>2.0241544373274582E-2</v>
      </c>
      <c r="G109">
        <v>0.6830042818084987</v>
      </c>
      <c r="H109">
        <v>0.13441086915671599</v>
      </c>
      <c r="I109">
        <v>0.48854905198530241</v>
      </c>
      <c r="J109">
        <v>0.48854905198530241</v>
      </c>
      <c r="K109">
        <v>0.48854905198530241</v>
      </c>
      <c r="L109">
        <v>-1.2621634029097519E-2</v>
      </c>
      <c r="M109">
        <v>4.4590113083501524E-3</v>
      </c>
      <c r="N109">
        <v>1.7523245947865199E-2</v>
      </c>
      <c r="O109">
        <v>-5.7517609198384161E-2</v>
      </c>
      <c r="P109">
        <v>0.1626824028608834</v>
      </c>
      <c r="Q109">
        <v>5.9282986088117419E-2</v>
      </c>
      <c r="R109">
        <v>-1.1676940562461531E-2</v>
      </c>
      <c r="S109">
        <v>9.684979092044077E-2</v>
      </c>
      <c r="T109">
        <v>-0.1341761918409233</v>
      </c>
      <c r="U109">
        <v>4.2410622580724457E-2</v>
      </c>
      <c r="V109">
        <v>0.59585382762964223</v>
      </c>
      <c r="W109">
        <v>0.1087224217950737</v>
      </c>
      <c r="X109">
        <v>0</v>
      </c>
      <c r="Y109" s="65"/>
      <c r="Z109" s="65"/>
      <c r="AA109" s="12"/>
      <c r="AB109" s="196" t="s">
        <v>147</v>
      </c>
      <c r="AC109">
        <v>2.3229489860030479E-3</v>
      </c>
      <c r="AD109">
        <v>-6.7080447795417331E-2</v>
      </c>
      <c r="AE109">
        <v>-6.751849796050502E-2</v>
      </c>
      <c r="AF109">
        <v>-5.5036657442908643E-2</v>
      </c>
      <c r="AG109">
        <v>-6.3298835686887323E-2</v>
      </c>
      <c r="AH109">
        <v>-3.1232254769539058E-2</v>
      </c>
      <c r="AI109">
        <v>-3.1232254769539058E-2</v>
      </c>
      <c r="AJ109">
        <v>-3.1232254769539058E-2</v>
      </c>
      <c r="AK109">
        <v>-4.0067624470537473E-2</v>
      </c>
      <c r="AL109">
        <v>-3.5451627076516057E-2</v>
      </c>
      <c r="AM109">
        <v>-6.5083578653220675E-2</v>
      </c>
      <c r="AN109">
        <v>-5.5988925957251363E-2</v>
      </c>
      <c r="AO109">
        <v>-5.0947071725615863E-2</v>
      </c>
      <c r="AP109">
        <v>-9.6108291354953468E-2</v>
      </c>
      <c r="AQ109">
        <v>-4.179295539118244E-2</v>
      </c>
      <c r="AR109">
        <v>-4.3964786787969001E-2</v>
      </c>
      <c r="AS109">
        <v>-5.9238046331469667E-2</v>
      </c>
      <c r="AT109">
        <v>-4.5528081055009273E-2</v>
      </c>
      <c r="AU109">
        <v>-7.1031392319109932E-2</v>
      </c>
      <c r="AV109">
        <v>-2.9039498716300072E-2</v>
      </c>
      <c r="AW109">
        <v>0</v>
      </c>
    </row>
    <row r="110" spans="1:49" ht="15.75" customHeight="1">
      <c r="A110" s="63"/>
      <c r="B110" s="524"/>
      <c r="C110" s="197" t="s">
        <v>88</v>
      </c>
      <c r="D110">
        <v>9.6842774874135298E-2</v>
      </c>
      <c r="E110">
        <v>0.7660540547248228</v>
      </c>
      <c r="F110">
        <v>0.12026240577970181</v>
      </c>
      <c r="G110">
        <v>0.87812504894480425</v>
      </c>
      <c r="H110">
        <v>0.2394108493631997</v>
      </c>
      <c r="I110">
        <v>0.71311930776038379</v>
      </c>
      <c r="J110">
        <v>0.71311930776038379</v>
      </c>
      <c r="K110">
        <v>0.71311930776038379</v>
      </c>
      <c r="L110">
        <v>7.8260233140135679E-2</v>
      </c>
      <c r="M110">
        <v>0.13493420846394391</v>
      </c>
      <c r="N110">
        <v>0.15188115202384761</v>
      </c>
      <c r="O110">
        <v>0.51244709979184266</v>
      </c>
      <c r="P110">
        <v>0.13967582131668879</v>
      </c>
      <c r="Q110">
        <v>0.24849032692388739</v>
      </c>
      <c r="R110">
        <v>0.1705448761717305</v>
      </c>
      <c r="S110">
        <v>0.32947992640584511</v>
      </c>
      <c r="T110">
        <v>0.52128097132762918</v>
      </c>
      <c r="U110">
        <v>0.64258834847633972</v>
      </c>
      <c r="V110">
        <v>0.51155982877641715</v>
      </c>
      <c r="W110">
        <v>0.3570467404710812</v>
      </c>
      <c r="X110">
        <v>0</v>
      </c>
      <c r="Y110" s="65"/>
      <c r="Z110" s="65"/>
      <c r="AA110" s="12"/>
      <c r="AB110" s="12"/>
      <c r="AC110" s="12"/>
      <c r="AD110" s="12"/>
      <c r="AE110" s="65"/>
      <c r="AF110" s="12"/>
    </row>
    <row r="111" spans="1:49" ht="15.75" customHeight="1">
      <c r="A111" s="63"/>
      <c r="B111" s="524"/>
      <c r="C111" s="197" t="s">
        <v>147</v>
      </c>
      <c r="D111">
        <v>0.29348195373324493</v>
      </c>
      <c r="E111">
        <v>6.0715660654607726</v>
      </c>
      <c r="F111">
        <v>-0.20935371501385169</v>
      </c>
      <c r="G111">
        <v>1.579387007340737</v>
      </c>
      <c r="H111">
        <v>-0.16821688446952759</v>
      </c>
      <c r="I111">
        <v>0.27332197390172758</v>
      </c>
      <c r="J111">
        <v>0.27332197390172758</v>
      </c>
      <c r="K111">
        <v>0.27332197390172758</v>
      </c>
      <c r="L111">
        <v>-1.042780973451576E-2</v>
      </c>
      <c r="M111">
        <v>0.22332066888356</v>
      </c>
      <c r="N111">
        <v>-8.5498428443782623E-2</v>
      </c>
      <c r="O111">
        <v>-0.2983559013492787</v>
      </c>
      <c r="P111">
        <v>1.031847348389878E-2</v>
      </c>
      <c r="Q111">
        <v>2.2560364160963291E-2</v>
      </c>
      <c r="R111">
        <v>0.1056670109797561</v>
      </c>
      <c r="S111">
        <v>1.06348289526165</v>
      </c>
      <c r="T111">
        <v>-0.29544612238135931</v>
      </c>
      <c r="U111">
        <v>0.45778426827284519</v>
      </c>
      <c r="V111">
        <v>-0.67333616121832518</v>
      </c>
      <c r="W111">
        <v>-0.28839763643349059</v>
      </c>
      <c r="X111">
        <v>0</v>
      </c>
      <c r="Y111" s="65"/>
      <c r="Z111" s="65"/>
      <c r="AA111" s="12"/>
      <c r="AB111" s="12"/>
      <c r="AC111" s="12"/>
      <c r="AD111" s="12"/>
      <c r="AE111" s="65"/>
      <c r="AF111" s="12"/>
    </row>
    <row r="112" spans="1:49" ht="15.75" customHeight="1">
      <c r="A112" s="63"/>
      <c r="B112" s="524" t="s">
        <v>744</v>
      </c>
      <c r="C112" s="197" t="s">
        <v>139</v>
      </c>
      <c r="D112">
        <v>0.94266787944049435</v>
      </c>
      <c r="E112">
        <v>1.355357347620179</v>
      </c>
      <c r="F112">
        <v>0.27584829401723199</v>
      </c>
      <c r="G112">
        <v>0.48762470015366738</v>
      </c>
      <c r="H112">
        <v>0.4906380175276388</v>
      </c>
      <c r="I112">
        <v>16.5264556084879</v>
      </c>
      <c r="J112">
        <v>16.5264556084879</v>
      </c>
      <c r="K112">
        <v>16.5264556084879</v>
      </c>
      <c r="L112">
        <v>1.791033995561208</v>
      </c>
      <c r="M112">
        <v>0.31375827879821538</v>
      </c>
      <c r="N112">
        <v>0.39410522685892951</v>
      </c>
      <c r="O112">
        <v>0.52914197381689299</v>
      </c>
      <c r="P112">
        <v>0.5396417205829992</v>
      </c>
      <c r="Q112">
        <v>0.1772483288477672</v>
      </c>
      <c r="R112">
        <v>0.8964992876682174</v>
      </c>
      <c r="S112">
        <v>1.9055481393399369</v>
      </c>
      <c r="T112">
        <v>0.21604717109666069</v>
      </c>
      <c r="U112">
        <v>0.93012975348206806</v>
      </c>
      <c r="V112">
        <v>0.70258112908174519</v>
      </c>
      <c r="W112">
        <v>0.39162395490067142</v>
      </c>
      <c r="X112">
        <v>0</v>
      </c>
      <c r="Y112" s="65"/>
      <c r="Z112" s="65"/>
      <c r="AA112" s="12"/>
      <c r="AB112" s="531" t="s">
        <v>782</v>
      </c>
      <c r="AC112" s="531"/>
      <c r="AD112" s="531"/>
      <c r="AE112" s="531"/>
      <c r="AF112" s="531"/>
      <c r="AG112" s="531"/>
      <c r="AH112" s="531"/>
      <c r="AI112" s="531"/>
      <c r="AJ112" s="531"/>
      <c r="AK112" s="531"/>
      <c r="AL112" s="531"/>
      <c r="AM112" s="531"/>
      <c r="AN112" s="531"/>
      <c r="AO112" s="531"/>
      <c r="AP112" s="531"/>
      <c r="AQ112" s="531"/>
      <c r="AR112" s="531"/>
      <c r="AS112" s="531"/>
      <c r="AT112" s="531"/>
      <c r="AU112" s="531"/>
      <c r="AV112" s="531"/>
      <c r="AW112" s="531"/>
    </row>
    <row r="113" spans="1:49" ht="15.75" customHeight="1">
      <c r="A113" s="63"/>
      <c r="B113" s="524"/>
      <c r="C113" s="197" t="s">
        <v>37</v>
      </c>
      <c r="D113">
        <v>1.3555119917771159</v>
      </c>
      <c r="E113">
        <v>1.9742918230918529</v>
      </c>
      <c r="F113">
        <v>0.35357232378566922</v>
      </c>
      <c r="G113">
        <v>0.29331516750545261</v>
      </c>
      <c r="H113">
        <v>0.76208887461964325</v>
      </c>
      <c r="I113">
        <v>2.025023400716091</v>
      </c>
      <c r="J113">
        <v>2.025023400716091</v>
      </c>
      <c r="K113">
        <v>2.025023400716091</v>
      </c>
      <c r="L113">
        <v>2.1306199886225978</v>
      </c>
      <c r="M113">
        <v>0.31505951104440882</v>
      </c>
      <c r="N113">
        <v>0.26732774782628299</v>
      </c>
      <c r="O113">
        <v>1.3525718654344441</v>
      </c>
      <c r="P113">
        <v>1.9324657519179209</v>
      </c>
      <c r="Q113">
        <v>0.40013105826346468</v>
      </c>
      <c r="R113">
        <v>1.950590020227112</v>
      </c>
      <c r="S113">
        <v>2.927008013984354</v>
      </c>
      <c r="T113">
        <v>0.64363430273618971</v>
      </c>
      <c r="U113">
        <v>1.428177456557181</v>
      </c>
      <c r="V113">
        <v>1.052127303371539</v>
      </c>
      <c r="W113">
        <v>0.78994879522955985</v>
      </c>
      <c r="X113">
        <v>0</v>
      </c>
      <c r="Y113" s="65"/>
      <c r="Z113" s="65"/>
      <c r="AA113" s="12"/>
      <c r="AC113" s="196" t="s">
        <v>139</v>
      </c>
      <c r="AD113" s="196" t="s">
        <v>37</v>
      </c>
      <c r="AE113" s="196" t="s">
        <v>140</v>
      </c>
      <c r="AF113" s="196" t="s">
        <v>48</v>
      </c>
      <c r="AG113" s="196" t="s">
        <v>141</v>
      </c>
      <c r="AH113" s="196" t="s">
        <v>58</v>
      </c>
      <c r="AI113" s="196" t="s">
        <v>58</v>
      </c>
      <c r="AJ113" s="196" t="s">
        <v>58</v>
      </c>
      <c r="AK113" s="196" t="s">
        <v>61</v>
      </c>
      <c r="AL113" s="196" t="s">
        <v>63</v>
      </c>
      <c r="AM113" s="196" t="s">
        <v>65</v>
      </c>
      <c r="AN113" s="196" t="s">
        <v>67</v>
      </c>
      <c r="AO113" s="196" t="s">
        <v>69</v>
      </c>
      <c r="AP113" s="196" t="s">
        <v>145</v>
      </c>
      <c r="AQ113" s="196" t="s">
        <v>73</v>
      </c>
      <c r="AR113" s="196" t="s">
        <v>75</v>
      </c>
      <c r="AS113" s="196" t="s">
        <v>146</v>
      </c>
      <c r="AT113" s="196" t="s">
        <v>83</v>
      </c>
      <c r="AU113" s="196" t="s">
        <v>85</v>
      </c>
      <c r="AV113" s="196" t="s">
        <v>88</v>
      </c>
      <c r="AW113" s="196" t="s">
        <v>147</v>
      </c>
    </row>
    <row r="114" spans="1:49" ht="15.75" customHeight="1">
      <c r="A114" s="63"/>
      <c r="B114" s="524"/>
      <c r="C114" s="197" t="s">
        <v>140</v>
      </c>
      <c r="D114">
        <v>7.6330931072229241E-2</v>
      </c>
      <c r="E114">
        <v>0.37976675512790842</v>
      </c>
      <c r="F114">
        <v>0.14079914164927709</v>
      </c>
      <c r="G114">
        <v>0.36416279020058873</v>
      </c>
      <c r="H114">
        <v>0.34831084992558281</v>
      </c>
      <c r="I114">
        <v>1.066538783753872</v>
      </c>
      <c r="J114">
        <v>1.066538783753872</v>
      </c>
      <c r="K114">
        <v>1.066538783753872</v>
      </c>
      <c r="L114">
        <v>0.50652172238737225</v>
      </c>
      <c r="M114">
        <v>8.9117835956989869E-2</v>
      </c>
      <c r="N114">
        <v>0.12714528173898559</v>
      </c>
      <c r="O114">
        <v>0.13412234465424711</v>
      </c>
      <c r="P114">
        <v>9.939909692132827E-2</v>
      </c>
      <c r="Q114">
        <v>5.1850762575096743E-2</v>
      </c>
      <c r="R114">
        <v>0.50503383327605134</v>
      </c>
      <c r="S114">
        <v>1.244439726331231</v>
      </c>
      <c r="T114">
        <v>0.17242167148632789</v>
      </c>
      <c r="U114">
        <v>0.57958734430605763</v>
      </c>
      <c r="V114">
        <v>0.66141671818141712</v>
      </c>
      <c r="W114">
        <v>0.30398193511965033</v>
      </c>
      <c r="X114">
        <v>0</v>
      </c>
      <c r="Y114" s="65"/>
      <c r="Z114" s="65"/>
      <c r="AA114" s="12"/>
      <c r="AB114" s="196" t="s">
        <v>783</v>
      </c>
      <c r="AC114">
        <v>1.922213266363371E-2</v>
      </c>
      <c r="AD114">
        <v>6.0957159847096598E-2</v>
      </c>
      <c r="AE114">
        <v>3.6573100848939173E-2</v>
      </c>
      <c r="AF114">
        <v>4.2957610140657909E-2</v>
      </c>
      <c r="AG114">
        <v>3.5998520081399032E-2</v>
      </c>
      <c r="AH114">
        <v>-3.64963276828012E-3</v>
      </c>
      <c r="AI114">
        <v>-3.64963276828012E-3</v>
      </c>
      <c r="AJ114">
        <v>-3.64963276828012E-3</v>
      </c>
      <c r="AK114">
        <v>3.4204712960336003E-2</v>
      </c>
      <c r="AL114">
        <v>7.4520138642406808E-2</v>
      </c>
      <c r="AM114">
        <v>4.879929203758171E-2</v>
      </c>
      <c r="AN114">
        <v>-1.141498713342148E-2</v>
      </c>
      <c r="AO114">
        <v>3.7510808316493012E-2</v>
      </c>
      <c r="AP114">
        <v>2.3808526283520148E-2</v>
      </c>
      <c r="AQ114">
        <v>8.7148362945044244E-3</v>
      </c>
      <c r="AR114">
        <v>3.1837009858694643E-2</v>
      </c>
      <c r="AS114">
        <v>3.3432883551286263E-2</v>
      </c>
      <c r="AT114">
        <v>1.1892478390013389E-2</v>
      </c>
      <c r="AU114">
        <v>9.5959546005297547E-4</v>
      </c>
      <c r="AV114">
        <v>4.4432202297023833E-2</v>
      </c>
      <c r="AW114">
        <v>3.5335742276973781E-2</v>
      </c>
    </row>
    <row r="115" spans="1:49" ht="15.75" customHeight="1">
      <c r="A115" s="63"/>
      <c r="B115" s="524"/>
      <c r="C115" s="197" t="s">
        <v>48</v>
      </c>
      <c r="D115">
        <v>0.37124562883463419</v>
      </c>
      <c r="E115">
        <v>9.9459816542204135E-2</v>
      </c>
      <c r="F115">
        <v>0.4627411156012991</v>
      </c>
      <c r="G115">
        <v>0.66056430089213292</v>
      </c>
      <c r="H115">
        <v>0.91045535287352242</v>
      </c>
      <c r="I115">
        <v>1.573280302464799</v>
      </c>
      <c r="J115">
        <v>1.573280302464799</v>
      </c>
      <c r="K115">
        <v>1.573280302464799</v>
      </c>
      <c r="L115">
        <v>1.782963750167188</v>
      </c>
      <c r="M115">
        <v>0.27157335220149048</v>
      </c>
      <c r="N115">
        <v>0.17855437062690541</v>
      </c>
      <c r="O115">
        <v>0.44504187417572821</v>
      </c>
      <c r="P115">
        <v>0.51995002104120047</v>
      </c>
      <c r="Q115">
        <v>0.1647343312025682</v>
      </c>
      <c r="R115">
        <v>0.61398995246632482</v>
      </c>
      <c r="S115">
        <v>1.641354715568196</v>
      </c>
      <c r="T115">
        <v>0.24769664120438981</v>
      </c>
      <c r="U115">
        <v>0.45082335505477411</v>
      </c>
      <c r="V115">
        <v>0.6887049884368508</v>
      </c>
      <c r="W115">
        <v>0.32687522825716597</v>
      </c>
      <c r="X115">
        <v>0</v>
      </c>
      <c r="Y115" s="65"/>
      <c r="Z115" s="65"/>
      <c r="AA115" s="12"/>
      <c r="AB115" s="230"/>
      <c r="AC115" s="194"/>
      <c r="AD115" s="194"/>
      <c r="AE115" s="194"/>
      <c r="AF115" s="194"/>
      <c r="AG115" s="194"/>
      <c r="AH115" s="194"/>
      <c r="AI115" s="194"/>
      <c r="AJ115" s="194"/>
      <c r="AK115" s="194"/>
      <c r="AL115" s="194"/>
      <c r="AM115" s="194"/>
      <c r="AN115" s="194"/>
      <c r="AO115" s="194"/>
      <c r="AP115" s="194"/>
      <c r="AQ115" s="194"/>
      <c r="AR115" s="194"/>
      <c r="AS115" s="194"/>
      <c r="AT115" s="194"/>
      <c r="AU115" s="194"/>
      <c r="AV115" s="194"/>
      <c r="AW115" s="194"/>
    </row>
    <row r="116" spans="1:49" ht="15.75" customHeight="1">
      <c r="A116" s="63"/>
      <c r="B116" s="524"/>
      <c r="C116" s="197" t="s">
        <v>141</v>
      </c>
      <c r="D116">
        <v>3.1309648295453858</v>
      </c>
      <c r="E116">
        <v>0.26808292796799438</v>
      </c>
      <c r="F116">
        <v>0.459563675948501</v>
      </c>
      <c r="G116">
        <v>0.68128905673072782</v>
      </c>
      <c r="H116">
        <v>0.46740142866462803</v>
      </c>
      <c r="I116">
        <v>0.58885357986691989</v>
      </c>
      <c r="J116">
        <v>0.58885357986691989</v>
      </c>
      <c r="K116">
        <v>0.58885357986691989</v>
      </c>
      <c r="L116">
        <v>0.35763806700444589</v>
      </c>
      <c r="M116">
        <v>0.32174020667316872</v>
      </c>
      <c r="N116">
        <v>0.56851664380811984</v>
      </c>
      <c r="O116">
        <v>0.8789213523409537</v>
      </c>
      <c r="P116">
        <v>0.73589385874107394</v>
      </c>
      <c r="Q116">
        <v>0.25003655366961808</v>
      </c>
      <c r="R116">
        <v>1.252241035827286</v>
      </c>
      <c r="S116">
        <v>1.653489510874312</v>
      </c>
      <c r="T116">
        <v>0.41614679076657862</v>
      </c>
      <c r="U116">
        <v>1.1276152218901669</v>
      </c>
      <c r="V116">
        <v>0.50844794328059451</v>
      </c>
      <c r="W116">
        <v>0.42659819229960588</v>
      </c>
      <c r="X116">
        <v>0</v>
      </c>
      <c r="Y116" s="65"/>
      <c r="Z116" s="65"/>
      <c r="AA116" s="12"/>
      <c r="AB116" s="196" t="s">
        <v>784</v>
      </c>
      <c r="AC116">
        <v>2.6919996435203149E-2</v>
      </c>
      <c r="AD116">
        <v>-1.856442082300536E-2</v>
      </c>
      <c r="AE116">
        <v>6.4853779618263552E-3</v>
      </c>
      <c r="AF116">
        <v>-2.4201737237797168E-2</v>
      </c>
      <c r="AG116">
        <v>2.9860207801892361E-2</v>
      </c>
      <c r="AH116">
        <v>8.5869358678444696E-2</v>
      </c>
      <c r="AI116">
        <v>8.5869358678444696E-2</v>
      </c>
      <c r="AJ116">
        <v>8.5869358678444696E-2</v>
      </c>
      <c r="AK116">
        <v>2.0619504794137541E-2</v>
      </c>
      <c r="AL116">
        <v>4.998019562249123E-2</v>
      </c>
      <c r="AM116">
        <v>1.1042419422442331E-2</v>
      </c>
      <c r="AN116">
        <v>4.8960351624700582E-3</v>
      </c>
      <c r="AO116">
        <v>2.0511805664821029E-2</v>
      </c>
      <c r="AP116">
        <v>2.4007264244592319E-2</v>
      </c>
      <c r="AQ116">
        <v>1.359731940418518E-2</v>
      </c>
      <c r="AR116">
        <v>4.3853413542420228E-2</v>
      </c>
      <c r="AS116">
        <v>1.458021105924856E-2</v>
      </c>
      <c r="AT116">
        <v>-6.8390241912079652E-3</v>
      </c>
      <c r="AU116">
        <v>4.5722130608045752E-3</v>
      </c>
      <c r="AV116">
        <v>1.490287918212219E-2</v>
      </c>
      <c r="AW116">
        <v>-4.9690284458409277E-2</v>
      </c>
    </row>
    <row r="117" spans="1:49" ht="15.75" customHeight="1">
      <c r="A117" s="63"/>
      <c r="B117" s="524"/>
      <c r="C117" s="197" t="s">
        <v>58</v>
      </c>
      <c r="D117">
        <v>0.45977462913281658</v>
      </c>
      <c r="E117">
        <v>6.6077619383853578E-2</v>
      </c>
      <c r="F117">
        <v>0.17826078968655179</v>
      </c>
      <c r="G117">
        <v>0.37042071958565093</v>
      </c>
      <c r="H117">
        <v>0.49088913727555422</v>
      </c>
      <c r="I117">
        <v>0.35164326564377879</v>
      </c>
      <c r="J117">
        <v>0.35164326564377879</v>
      </c>
      <c r="K117">
        <v>0.35164326564377879</v>
      </c>
      <c r="L117">
        <v>0.33647913957730718</v>
      </c>
      <c r="M117">
        <v>0.22133890091701611</v>
      </c>
      <c r="N117">
        <v>0.25619435571740151</v>
      </c>
      <c r="O117">
        <v>0.74384498377597075</v>
      </c>
      <c r="P117">
        <v>0.82649439562835936</v>
      </c>
      <c r="Q117">
        <v>0.117630692966983</v>
      </c>
      <c r="R117">
        <v>1.159169386660645</v>
      </c>
      <c r="S117">
        <v>1.2381183371890021</v>
      </c>
      <c r="T117">
        <v>0.42687362923054822</v>
      </c>
      <c r="U117">
        <v>0.53132369611511743</v>
      </c>
      <c r="V117">
        <v>0.62446927260133489</v>
      </c>
      <c r="W117">
        <v>0.54740776070076069</v>
      </c>
      <c r="X117">
        <v>0</v>
      </c>
      <c r="Y117" s="65"/>
      <c r="Z117" s="65"/>
      <c r="AA117" s="12"/>
    </row>
    <row r="118" spans="1:49" ht="15.75" customHeight="1">
      <c r="A118" s="63"/>
      <c r="B118" s="524"/>
      <c r="C118" s="197" t="s">
        <v>58</v>
      </c>
      <c r="D118">
        <v>0.45977462913281658</v>
      </c>
      <c r="E118">
        <v>6.6077619383853578E-2</v>
      </c>
      <c r="F118">
        <v>0.17826078968655179</v>
      </c>
      <c r="G118">
        <v>0.37042071958565093</v>
      </c>
      <c r="H118">
        <v>0.49088913727555422</v>
      </c>
      <c r="I118">
        <v>0.35164326564377879</v>
      </c>
      <c r="J118">
        <v>0.35164326564377879</v>
      </c>
      <c r="K118">
        <v>0.35164326564377879</v>
      </c>
      <c r="L118">
        <v>0.33647913957730718</v>
      </c>
      <c r="M118">
        <v>0.22133890091701611</v>
      </c>
      <c r="N118">
        <v>0.25619435571740151</v>
      </c>
      <c r="O118">
        <v>0.74384498377597075</v>
      </c>
      <c r="P118">
        <v>0.82649439562835936</v>
      </c>
      <c r="Q118">
        <v>0.117630692966983</v>
      </c>
      <c r="R118">
        <v>1.159169386660645</v>
      </c>
      <c r="S118">
        <v>1.2381183371890021</v>
      </c>
      <c r="T118">
        <v>0.42687362923054822</v>
      </c>
      <c r="U118">
        <v>0.53132369611511743</v>
      </c>
      <c r="V118">
        <v>0.62446927260133489</v>
      </c>
      <c r="W118">
        <v>0.54740776070076069</v>
      </c>
      <c r="X118">
        <v>0</v>
      </c>
      <c r="Y118" s="65"/>
      <c r="Z118" s="65"/>
      <c r="AA118" s="66"/>
      <c r="AB118" s="206"/>
    </row>
    <row r="119" spans="1:49" ht="15.75" customHeight="1">
      <c r="A119" s="63"/>
      <c r="B119" s="524"/>
      <c r="C119" s="197" t="s">
        <v>58</v>
      </c>
      <c r="D119">
        <v>0.45977462913281658</v>
      </c>
      <c r="E119">
        <v>6.6077619383853578E-2</v>
      </c>
      <c r="F119">
        <v>0.17826078968655179</v>
      </c>
      <c r="G119">
        <v>0.37042071958565093</v>
      </c>
      <c r="H119">
        <v>0.49088913727555422</v>
      </c>
      <c r="I119">
        <v>0.35164326564377879</v>
      </c>
      <c r="J119">
        <v>0.35164326564377879</v>
      </c>
      <c r="K119">
        <v>0.35164326564377879</v>
      </c>
      <c r="L119">
        <v>0.33647913957730718</v>
      </c>
      <c r="M119">
        <v>0.22133890091701611</v>
      </c>
      <c r="N119">
        <v>0.25619435571740151</v>
      </c>
      <c r="O119">
        <v>0.74384498377597075</v>
      </c>
      <c r="P119">
        <v>0.82649439562835936</v>
      </c>
      <c r="Q119">
        <v>0.117630692966983</v>
      </c>
      <c r="R119">
        <v>1.159169386660645</v>
      </c>
      <c r="S119">
        <v>1.2381183371890021</v>
      </c>
      <c r="T119">
        <v>0.42687362923054822</v>
      </c>
      <c r="U119">
        <v>0.53132369611511743</v>
      </c>
      <c r="V119">
        <v>0.62446927260133489</v>
      </c>
      <c r="W119">
        <v>0.54740776070076069</v>
      </c>
      <c r="X119">
        <v>0</v>
      </c>
      <c r="Y119" s="65"/>
      <c r="Z119" s="65"/>
      <c r="AA119" s="66"/>
      <c r="AB119" s="156"/>
      <c r="AC119" s="156"/>
      <c r="AD119" s="156"/>
      <c r="AE119" s="156"/>
      <c r="AF119" s="156"/>
      <c r="AG119" s="156"/>
      <c r="AH119" s="156"/>
      <c r="AI119" s="156"/>
      <c r="AJ119" s="156"/>
      <c r="AK119" s="156"/>
      <c r="AL119" s="156"/>
      <c r="AM119" s="156"/>
      <c r="AN119" s="156"/>
      <c r="AO119" s="156"/>
    </row>
    <row r="120" spans="1:49" ht="15.75" customHeight="1">
      <c r="A120" s="63"/>
      <c r="B120" s="524"/>
      <c r="C120" s="197" t="s">
        <v>61</v>
      </c>
      <c r="D120">
        <v>0.3784381131626548</v>
      </c>
      <c r="E120">
        <v>0.81897594567956411</v>
      </c>
      <c r="F120">
        <v>0.2544823757891419</v>
      </c>
      <c r="G120">
        <v>0.56287522044819427</v>
      </c>
      <c r="H120">
        <v>0.34765807280728261</v>
      </c>
      <c r="I120">
        <v>0.86616190012271732</v>
      </c>
      <c r="J120">
        <v>0.86616190012271732</v>
      </c>
      <c r="K120">
        <v>0.86616190012271732</v>
      </c>
      <c r="L120">
        <v>0.38582707365746688</v>
      </c>
      <c r="M120">
        <v>0.2131054766226709</v>
      </c>
      <c r="N120">
        <v>0.24678376394558749</v>
      </c>
      <c r="O120">
        <v>0.1949358309278843</v>
      </c>
      <c r="P120">
        <v>0.4037944365263092</v>
      </c>
      <c r="Q120">
        <v>0.25858661506920783</v>
      </c>
      <c r="R120">
        <v>0.83367175029793417</v>
      </c>
      <c r="S120">
        <v>2.1179443509480582</v>
      </c>
      <c r="T120">
        <v>0.25742855073449877</v>
      </c>
      <c r="U120">
        <v>0.31133595781937062</v>
      </c>
      <c r="V120">
        <v>0.80891537407270908</v>
      </c>
      <c r="W120">
        <v>0.23502317189656419</v>
      </c>
      <c r="X120">
        <v>0</v>
      </c>
      <c r="Y120" s="65"/>
      <c r="Z120" s="65"/>
      <c r="AA120" s="12"/>
      <c r="AB120" s="348"/>
      <c r="AC120" s="156"/>
      <c r="AD120" s="156"/>
      <c r="AE120" s="156"/>
      <c r="AF120" s="156"/>
      <c r="AG120" s="156"/>
      <c r="AH120" s="156"/>
      <c r="AI120" s="156"/>
      <c r="AJ120" s="156"/>
      <c r="AK120" s="156"/>
      <c r="AL120" s="156"/>
      <c r="AM120" s="156"/>
      <c r="AN120" s="156"/>
      <c r="AO120" s="156"/>
    </row>
    <row r="121" spans="1:49" ht="15.75" customHeight="1">
      <c r="A121" s="63"/>
      <c r="B121" s="524"/>
      <c r="C121" s="197" t="s">
        <v>63</v>
      </c>
      <c r="D121">
        <v>0.54133787966765601</v>
      </c>
      <c r="E121">
        <v>2.736583998444599</v>
      </c>
      <c r="F121">
        <v>0.128673194626544</v>
      </c>
      <c r="G121">
        <v>0.43057767138260472</v>
      </c>
      <c r="H121">
        <v>0.32930195037522381</v>
      </c>
      <c r="I121">
        <v>5.6413172067891919</v>
      </c>
      <c r="J121">
        <v>5.6413172067891919</v>
      </c>
      <c r="K121">
        <v>5.6413172067891919</v>
      </c>
      <c r="L121">
        <v>0.59961782391139484</v>
      </c>
      <c r="M121">
        <v>0.1097652888147836</v>
      </c>
      <c r="N121">
        <v>0.14465956791274109</v>
      </c>
      <c r="O121">
        <v>0.44697712044310262</v>
      </c>
      <c r="P121">
        <v>0.35601882732645579</v>
      </c>
      <c r="Q121">
        <v>0.1787482557547391</v>
      </c>
      <c r="R121">
        <v>0.44548243330360487</v>
      </c>
      <c r="S121">
        <v>1.3706958660621791</v>
      </c>
      <c r="T121">
        <v>0.36737505174976492</v>
      </c>
      <c r="U121">
        <v>0.70482236688489885</v>
      </c>
      <c r="V121">
        <v>0.34292597891834697</v>
      </c>
      <c r="W121">
        <v>0.27146815599265778</v>
      </c>
      <c r="X121">
        <v>0</v>
      </c>
      <c r="Y121" s="65"/>
      <c r="Z121" s="65"/>
      <c r="AA121" s="12"/>
      <c r="AB121" s="348"/>
      <c r="AC121" s="156"/>
      <c r="AD121" s="156"/>
      <c r="AE121" s="156"/>
      <c r="AF121" s="156"/>
      <c r="AG121" s="156"/>
      <c r="AH121" s="156"/>
      <c r="AI121" s="156"/>
      <c r="AJ121" s="156"/>
      <c r="AK121" s="156"/>
      <c r="AL121" s="156"/>
      <c r="AM121" s="156"/>
      <c r="AN121" s="156"/>
      <c r="AO121" s="156"/>
    </row>
    <row r="122" spans="1:49" ht="15.75" customHeight="1">
      <c r="A122" s="63"/>
      <c r="B122" s="524"/>
      <c r="C122" s="197" t="s">
        <v>65</v>
      </c>
      <c r="D122">
        <v>0.31420086109092599</v>
      </c>
      <c r="E122">
        <v>2.0839564632026918E-2</v>
      </c>
      <c r="F122">
        <v>0.1219359747424139</v>
      </c>
      <c r="G122">
        <v>0.8355966926013757</v>
      </c>
      <c r="H122">
        <v>0.33351170452570872</v>
      </c>
      <c r="I122">
        <v>0.55061003460047797</v>
      </c>
      <c r="J122">
        <v>0.55061003460047797</v>
      </c>
      <c r="K122">
        <v>0.55061003460047797</v>
      </c>
      <c r="L122">
        <v>0.24423458530359099</v>
      </c>
      <c r="M122">
        <v>7.8932543850283449E-2</v>
      </c>
      <c r="N122">
        <v>8.7916640447758973E-2</v>
      </c>
      <c r="O122">
        <v>0.17160792420067919</v>
      </c>
      <c r="P122">
        <v>0.26605900884873968</v>
      </c>
      <c r="Q122">
        <v>0.13890177895066461</v>
      </c>
      <c r="R122">
        <v>0.66644886517926338</v>
      </c>
      <c r="S122">
        <v>1.383040291794867</v>
      </c>
      <c r="T122">
        <v>0.18334278159944151</v>
      </c>
      <c r="U122">
        <v>0.57330700308645188</v>
      </c>
      <c r="V122">
        <v>0.5998653782478014</v>
      </c>
      <c r="W122">
        <v>0.19978707367782819</v>
      </c>
      <c r="X122">
        <v>0</v>
      </c>
      <c r="Y122" s="65"/>
      <c r="Z122" s="65"/>
      <c r="AA122" s="12"/>
      <c r="AB122" s="348"/>
      <c r="AC122" s="156"/>
      <c r="AD122" s="156"/>
      <c r="AE122" s="156"/>
      <c r="AF122" s="156"/>
      <c r="AG122" s="156"/>
      <c r="AH122" s="156"/>
      <c r="AI122" s="156"/>
      <c r="AJ122" s="156"/>
      <c r="AK122" s="156"/>
      <c r="AL122" s="156"/>
      <c r="AM122" s="156"/>
      <c r="AN122" s="156"/>
      <c r="AO122" s="156"/>
    </row>
    <row r="123" spans="1:49" ht="15.75" customHeight="1">
      <c r="A123" s="63"/>
      <c r="B123" s="524"/>
      <c r="C123" s="197" t="s">
        <v>67</v>
      </c>
      <c r="D123">
        <v>0.40376976350597132</v>
      </c>
      <c r="E123">
        <v>5.0111390113816393E-2</v>
      </c>
      <c r="F123">
        <v>0.15279612097095691</v>
      </c>
      <c r="G123">
        <v>1.5520358715031339</v>
      </c>
      <c r="H123">
        <v>0.30987125938216797</v>
      </c>
      <c r="I123">
        <v>0.33164816228934763</v>
      </c>
      <c r="J123">
        <v>0.33164816228934763</v>
      </c>
      <c r="K123">
        <v>0.33164816228934763</v>
      </c>
      <c r="L123">
        <v>0.44343195738820013</v>
      </c>
      <c r="M123">
        <v>0.20707823226503891</v>
      </c>
      <c r="N123">
        <v>0.13561417625012329</v>
      </c>
      <c r="O123">
        <v>0.28743667116169652</v>
      </c>
      <c r="P123">
        <v>0.26371369890706409</v>
      </c>
      <c r="Q123">
        <v>0.25709711954785058</v>
      </c>
      <c r="R123">
        <v>1.1675944880178091</v>
      </c>
      <c r="S123">
        <v>1.0811045040236389</v>
      </c>
      <c r="T123">
        <v>0.34559071445759137</v>
      </c>
      <c r="U123">
        <v>0.76811905971980143</v>
      </c>
      <c r="V123">
        <v>0.71194041292101629</v>
      </c>
      <c r="W123">
        <v>0.42005045037341188</v>
      </c>
      <c r="X123">
        <v>0</v>
      </c>
      <c r="Y123" s="65"/>
      <c r="Z123" s="65"/>
      <c r="AA123" s="12"/>
      <c r="AB123" s="348"/>
      <c r="AC123" s="156"/>
      <c r="AD123" s="156"/>
      <c r="AE123" s="156"/>
      <c r="AF123" s="156"/>
      <c r="AG123" s="156"/>
      <c r="AH123" s="156"/>
      <c r="AI123" s="156"/>
      <c r="AJ123" s="156"/>
      <c r="AK123" s="156"/>
      <c r="AL123" s="156"/>
      <c r="AM123" s="156"/>
      <c r="AN123" s="156"/>
      <c r="AO123" s="156"/>
    </row>
    <row r="124" spans="1:49" ht="15.75" customHeight="1">
      <c r="A124" s="63"/>
      <c r="B124" s="524"/>
      <c r="C124" s="197" t="s">
        <v>69</v>
      </c>
      <c r="D124">
        <v>0.38498314979984588</v>
      </c>
      <c r="E124">
        <v>0.37787363405699992</v>
      </c>
      <c r="F124">
        <v>0.21568967780850251</v>
      </c>
      <c r="G124">
        <v>0.36914930859292949</v>
      </c>
      <c r="H124">
        <v>0.37928807390291958</v>
      </c>
      <c r="I124">
        <v>0.2294386413332421</v>
      </c>
      <c r="J124">
        <v>0.2294386413332421</v>
      </c>
      <c r="K124">
        <v>0.2294386413332421</v>
      </c>
      <c r="L124">
        <v>0.76288008076415292</v>
      </c>
      <c r="M124">
        <v>6.134447104705202E-2</v>
      </c>
      <c r="N124">
        <v>0.15657594637788841</v>
      </c>
      <c r="O124">
        <v>0.1032836452402435</v>
      </c>
      <c r="P124">
        <v>0.29175473160192261</v>
      </c>
      <c r="Q124">
        <v>0.1389256820629016</v>
      </c>
      <c r="R124">
        <v>0.79547362032698865</v>
      </c>
      <c r="S124">
        <v>1.2552780519983691</v>
      </c>
      <c r="T124">
        <v>0.22381364741131959</v>
      </c>
      <c r="U124">
        <v>0.57692913643588994</v>
      </c>
      <c r="V124">
        <v>0.67364994497137631</v>
      </c>
      <c r="W124">
        <v>0.26721176816932318</v>
      </c>
      <c r="X124">
        <v>0</v>
      </c>
      <c r="Y124" s="65"/>
      <c r="Z124" s="65"/>
      <c r="AA124" s="65"/>
      <c r="AB124" s="348"/>
      <c r="AC124" s="156"/>
      <c r="AD124" s="156"/>
      <c r="AE124" s="156"/>
      <c r="AF124" s="156"/>
      <c r="AG124" s="156"/>
      <c r="AH124" s="156"/>
      <c r="AI124" s="156"/>
      <c r="AJ124" s="156"/>
      <c r="AK124" s="156"/>
      <c r="AL124" s="156"/>
      <c r="AM124" s="156"/>
      <c r="AN124" s="156"/>
      <c r="AO124" s="156"/>
    </row>
    <row r="125" spans="1:49" ht="15.75" customHeight="1">
      <c r="A125" s="63"/>
      <c r="B125" s="524"/>
      <c r="C125" s="197" t="s">
        <v>145</v>
      </c>
      <c r="D125">
        <v>0.59386920151026013</v>
      </c>
      <c r="E125">
        <v>0.2550211376465053</v>
      </c>
      <c r="F125">
        <v>0.26090859374155217</v>
      </c>
      <c r="G125">
        <v>0.47581987093914019</v>
      </c>
      <c r="H125">
        <v>0.30541632553511039</v>
      </c>
      <c r="I125">
        <v>0.55363554529254122</v>
      </c>
      <c r="J125">
        <v>0.55363554529254122</v>
      </c>
      <c r="K125">
        <v>0.55363554529254122</v>
      </c>
      <c r="L125">
        <v>0.7941770252401944</v>
      </c>
      <c r="M125">
        <v>0.22894552495308029</v>
      </c>
      <c r="N125">
        <v>0.2977264185188403</v>
      </c>
      <c r="O125">
        <v>0.62214089411176721</v>
      </c>
      <c r="P125">
        <v>0.34070375331476999</v>
      </c>
      <c r="Q125">
        <v>0.25947747715542208</v>
      </c>
      <c r="R125">
        <v>0.39021113490042503</v>
      </c>
      <c r="S125">
        <v>2.0890555741275678</v>
      </c>
      <c r="T125">
        <v>0.47204605375225439</v>
      </c>
      <c r="U125">
        <v>1.513885121039994</v>
      </c>
      <c r="V125">
        <v>0.5470486339739703</v>
      </c>
      <c r="W125">
        <v>0.34415099400174398</v>
      </c>
      <c r="X125">
        <v>0</v>
      </c>
      <c r="Y125" s="65"/>
      <c r="Z125" s="65"/>
      <c r="AA125" s="12"/>
      <c r="AB125" s="348"/>
      <c r="AC125" s="156"/>
      <c r="AD125" s="156"/>
      <c r="AE125" s="156"/>
      <c r="AF125" s="156"/>
      <c r="AG125" s="156"/>
      <c r="AH125" s="156"/>
      <c r="AI125" s="156"/>
      <c r="AJ125" s="156"/>
      <c r="AK125" s="156"/>
      <c r="AL125" s="156"/>
      <c r="AM125" s="156"/>
      <c r="AN125" s="156"/>
      <c r="AO125" s="156"/>
    </row>
    <row r="126" spans="1:49" ht="15.75" customHeight="1">
      <c r="A126" s="63"/>
      <c r="B126" s="524"/>
      <c r="C126" s="197" t="s">
        <v>73</v>
      </c>
      <c r="D126">
        <v>0.86479755976152639</v>
      </c>
      <c r="E126">
        <v>0.2127732667544987</v>
      </c>
      <c r="F126">
        <v>0.32566276620876111</v>
      </c>
      <c r="G126">
        <v>0.63029187910330164</v>
      </c>
      <c r="H126">
        <v>0.50003415018077879</v>
      </c>
      <c r="I126">
        <v>0.77558977138531504</v>
      </c>
      <c r="J126">
        <v>0.77558977138531504</v>
      </c>
      <c r="K126">
        <v>0.77558977138531504</v>
      </c>
      <c r="L126">
        <v>0.21416745169701079</v>
      </c>
      <c r="M126">
        <v>0.22300243296676711</v>
      </c>
      <c r="N126">
        <v>0.29604837446639748</v>
      </c>
      <c r="O126">
        <v>0.36539378435872322</v>
      </c>
      <c r="P126">
        <v>0.37993025835114791</v>
      </c>
      <c r="Q126">
        <v>0.16391684827738939</v>
      </c>
      <c r="R126">
        <v>0.56572546252347677</v>
      </c>
      <c r="S126">
        <v>1.189940838422316</v>
      </c>
      <c r="T126">
        <v>0.38620711038917838</v>
      </c>
      <c r="U126">
        <v>0.135854318095186</v>
      </c>
      <c r="V126">
        <v>0.7487731712970559</v>
      </c>
      <c r="W126">
        <v>0.36282074559199867</v>
      </c>
      <c r="X126">
        <v>0</v>
      </c>
      <c r="AB126" s="348"/>
      <c r="AC126" s="156"/>
      <c r="AD126" s="156"/>
      <c r="AE126" s="156"/>
      <c r="AF126" s="156"/>
      <c r="AG126" s="156"/>
      <c r="AH126" s="156"/>
      <c r="AI126" s="156"/>
      <c r="AJ126" s="156"/>
      <c r="AK126" s="156"/>
      <c r="AL126" s="156"/>
      <c r="AM126" s="156"/>
      <c r="AN126" s="156"/>
      <c r="AO126" s="156"/>
    </row>
    <row r="127" spans="1:49" ht="15.75" customHeight="1">
      <c r="A127" s="63"/>
      <c r="B127" s="524"/>
      <c r="C127" s="197" t="s">
        <v>75</v>
      </c>
      <c r="D127">
        <v>1.795916479768459</v>
      </c>
      <c r="E127">
        <v>0.4143551634555509</v>
      </c>
      <c r="F127">
        <v>9.6313546242611014E-2</v>
      </c>
      <c r="G127">
        <v>0.31953768363372631</v>
      </c>
      <c r="H127">
        <v>0.27773256956265507</v>
      </c>
      <c r="I127">
        <v>0.8135818620354508</v>
      </c>
      <c r="J127">
        <v>0.8135818620354508</v>
      </c>
      <c r="K127">
        <v>0.8135818620354508</v>
      </c>
      <c r="L127">
        <v>0.64334010327831725</v>
      </c>
      <c r="M127">
        <v>0.1282277608360059</v>
      </c>
      <c r="N127">
        <v>0.2105024069373688</v>
      </c>
      <c r="O127">
        <v>0.27194421124284063</v>
      </c>
      <c r="P127">
        <v>0.27240380419435201</v>
      </c>
      <c r="Q127">
        <v>0.2057692031858569</v>
      </c>
      <c r="R127">
        <v>0.46772565126398552</v>
      </c>
      <c r="S127">
        <v>1.724720140969088</v>
      </c>
      <c r="T127">
        <v>0.29332268564840452</v>
      </c>
      <c r="U127">
        <v>0.80596421646116767</v>
      </c>
      <c r="V127">
        <v>0.41635547349858382</v>
      </c>
      <c r="W127">
        <v>0.18735409586666391</v>
      </c>
      <c r="X127">
        <v>0</v>
      </c>
      <c r="AB127" s="348"/>
      <c r="AC127" s="156"/>
      <c r="AD127" s="156"/>
      <c r="AE127" s="156"/>
      <c r="AF127" s="156"/>
      <c r="AG127" s="156"/>
      <c r="AH127" s="156"/>
      <c r="AI127" s="156"/>
      <c r="AJ127" s="156"/>
      <c r="AK127" s="156"/>
      <c r="AL127" s="156"/>
      <c r="AM127" s="156"/>
      <c r="AN127" s="156"/>
      <c r="AO127" s="156"/>
    </row>
    <row r="128" spans="1:49" ht="15.75" customHeight="1">
      <c r="A128" s="63"/>
      <c r="B128" s="524"/>
      <c r="C128" s="197" t="s">
        <v>146</v>
      </c>
      <c r="D128">
        <v>0.67620025157620434</v>
      </c>
      <c r="E128">
        <v>0.76573675448609779</v>
      </c>
      <c r="F128">
        <v>0.17676519252058631</v>
      </c>
      <c r="G128">
        <v>0.40816802353244069</v>
      </c>
      <c r="H128">
        <v>0.30549624359228361</v>
      </c>
      <c r="I128">
        <v>2.000888645772406</v>
      </c>
      <c r="J128">
        <v>2.000888645772406</v>
      </c>
      <c r="K128">
        <v>2.000888645772406</v>
      </c>
      <c r="L128">
        <v>0.60489731010078396</v>
      </c>
      <c r="M128">
        <v>0.11624969894528241</v>
      </c>
      <c r="N128">
        <v>0.14636544659036091</v>
      </c>
      <c r="O128">
        <v>0.36898949357401972</v>
      </c>
      <c r="P128">
        <v>0.23504533617423359</v>
      </c>
      <c r="Q128">
        <v>0.23607962870071419</v>
      </c>
      <c r="R128">
        <v>0.42516794277505238</v>
      </c>
      <c r="S128">
        <v>1.6238536995624919</v>
      </c>
      <c r="T128">
        <v>0.31719816915601079</v>
      </c>
      <c r="U128">
        <v>1.007282432774985</v>
      </c>
      <c r="V128">
        <v>0.40446021413035571</v>
      </c>
      <c r="W128">
        <v>0.25264414640590921</v>
      </c>
      <c r="X128">
        <v>0</v>
      </c>
      <c r="AB128" s="348"/>
      <c r="AC128" s="156"/>
      <c r="AD128" s="156"/>
      <c r="AE128" s="156"/>
      <c r="AF128" s="156"/>
      <c r="AG128" s="156"/>
      <c r="AH128" s="156"/>
      <c r="AI128" s="156"/>
      <c r="AJ128" s="156"/>
      <c r="AK128" s="156"/>
      <c r="AL128" s="156"/>
      <c r="AM128" s="156"/>
      <c r="AN128" s="156"/>
      <c r="AO128" s="156"/>
    </row>
    <row r="129" spans="1:41" ht="15.75" customHeight="1">
      <c r="A129" s="63"/>
      <c r="B129" s="524"/>
      <c r="C129" s="197" t="s">
        <v>83</v>
      </c>
      <c r="D129">
        <v>0.8459265381768577</v>
      </c>
      <c r="E129">
        <v>11.107895611198691</v>
      </c>
      <c r="F129">
        <v>0.42473809563526371</v>
      </c>
      <c r="G129">
        <v>0.55724267346559786</v>
      </c>
      <c r="H129">
        <v>0.1772148493417075</v>
      </c>
      <c r="I129">
        <v>17.571081779508631</v>
      </c>
      <c r="J129">
        <v>17.571081779508631</v>
      </c>
      <c r="K129">
        <v>17.571081779508631</v>
      </c>
      <c r="L129">
        <v>0.99493331552223063</v>
      </c>
      <c r="M129">
        <v>0.63008836289315096</v>
      </c>
      <c r="N129">
        <v>0.37864246934053308</v>
      </c>
      <c r="O129">
        <v>0.82706758373562883</v>
      </c>
      <c r="P129">
        <v>0.99300096063513699</v>
      </c>
      <c r="Q129">
        <v>0.19812677854473101</v>
      </c>
      <c r="R129">
        <v>0.5387499118531236</v>
      </c>
      <c r="S129">
        <v>1.788647267031346</v>
      </c>
      <c r="T129">
        <v>0.27299594447789699</v>
      </c>
      <c r="U129">
        <v>1.552235061999508</v>
      </c>
      <c r="V129">
        <v>1.5516183058634909</v>
      </c>
      <c r="W129">
        <v>0.22526436178434109</v>
      </c>
      <c r="X129">
        <v>0</v>
      </c>
      <c r="AB129" s="348"/>
      <c r="AC129" s="156"/>
      <c r="AD129" s="156"/>
      <c r="AE129" s="156"/>
      <c r="AF129" s="156"/>
      <c r="AG129" s="156"/>
      <c r="AH129" s="156"/>
      <c r="AI129" s="156"/>
      <c r="AJ129" s="156"/>
      <c r="AK129" s="156"/>
      <c r="AL129" s="156"/>
      <c r="AM129" s="156"/>
      <c r="AN129" s="156"/>
      <c r="AO129" s="156"/>
    </row>
    <row r="130" spans="1:41" ht="15.75" customHeight="1">
      <c r="A130" s="63"/>
      <c r="B130" s="524"/>
      <c r="C130" s="197" t="s">
        <v>85</v>
      </c>
      <c r="D130">
        <v>5.3394726408262896</v>
      </c>
      <c r="E130">
        <v>0.40464343755622773</v>
      </c>
      <c r="F130">
        <v>0.21244678880519499</v>
      </c>
      <c r="G130">
        <v>0.25973536719099938</v>
      </c>
      <c r="H130">
        <v>0.31054733508105092</v>
      </c>
      <c r="I130">
        <v>0.46197944204510832</v>
      </c>
      <c r="J130">
        <v>0.46197944204510832</v>
      </c>
      <c r="K130">
        <v>0.46197944204510832</v>
      </c>
      <c r="L130">
        <v>0.94317401228392128</v>
      </c>
      <c r="M130">
        <v>0.14835007916130619</v>
      </c>
      <c r="N130">
        <v>0.17952879417696579</v>
      </c>
      <c r="O130">
        <v>0.48167289485679238</v>
      </c>
      <c r="P130">
        <v>0.47149681432850132</v>
      </c>
      <c r="Q130">
        <v>0.22286108232293381</v>
      </c>
      <c r="R130">
        <v>0.6188226692985167</v>
      </c>
      <c r="S130">
        <v>1.8586143105042039</v>
      </c>
      <c r="T130">
        <v>0.34799857917922322</v>
      </c>
      <c r="U130">
        <v>0.73726770521460017</v>
      </c>
      <c r="V130">
        <v>0.76406374086650042</v>
      </c>
      <c r="W130">
        <v>0.17147541505222949</v>
      </c>
      <c r="X130">
        <v>0</v>
      </c>
      <c r="AB130" s="348"/>
      <c r="AC130" s="156"/>
      <c r="AD130" s="156"/>
      <c r="AE130" s="156"/>
      <c r="AF130" s="156"/>
      <c r="AG130" s="156"/>
      <c r="AH130" s="156"/>
      <c r="AI130" s="156"/>
      <c r="AJ130" s="156"/>
      <c r="AK130" s="156"/>
      <c r="AL130" s="156"/>
      <c r="AM130" s="156"/>
      <c r="AN130" s="156"/>
      <c r="AO130" s="156"/>
    </row>
    <row r="131" spans="1:41" ht="15.75" customHeight="1">
      <c r="A131" s="63"/>
      <c r="B131" s="524"/>
      <c r="C131" s="197" t="s">
        <v>88</v>
      </c>
      <c r="D131">
        <v>0.71600099872218559</v>
      </c>
      <c r="E131">
        <v>0.2087295504670765</v>
      </c>
      <c r="F131">
        <v>0.1452457208946345</v>
      </c>
      <c r="G131">
        <v>0.46749067096062991</v>
      </c>
      <c r="H131">
        <v>0.2376346775425382</v>
      </c>
      <c r="I131">
        <v>0.18347503400743331</v>
      </c>
      <c r="J131">
        <v>0.18347503400743331</v>
      </c>
      <c r="K131">
        <v>0.18347503400743331</v>
      </c>
      <c r="L131">
        <v>0.9347956568862904</v>
      </c>
      <c r="M131">
        <v>0.11691419329972561</v>
      </c>
      <c r="N131">
        <v>0.10297403262128881</v>
      </c>
      <c r="O131">
        <v>0.32197767458052262</v>
      </c>
      <c r="P131">
        <v>0.41713058406451869</v>
      </c>
      <c r="Q131">
        <v>0.1371783394896661</v>
      </c>
      <c r="R131">
        <v>0.71011117821511816</v>
      </c>
      <c r="S131">
        <v>1.9686350798594809</v>
      </c>
      <c r="T131">
        <v>0.18652830129880471</v>
      </c>
      <c r="U131">
        <v>0.47912481852670452</v>
      </c>
      <c r="V131">
        <v>0.7030754695696807</v>
      </c>
      <c r="W131">
        <v>0.1715939176486907</v>
      </c>
      <c r="X131">
        <v>0</v>
      </c>
      <c r="AB131" s="348"/>
      <c r="AC131" s="156"/>
      <c r="AD131" s="156"/>
      <c r="AE131" s="156"/>
      <c r="AF131" s="156"/>
      <c r="AG131" s="156"/>
      <c r="AH131" s="156"/>
      <c r="AI131" s="156"/>
      <c r="AJ131" s="156"/>
      <c r="AK131" s="156"/>
      <c r="AL131" s="156"/>
      <c r="AM131" s="156"/>
      <c r="AN131" s="156"/>
      <c r="AO131" s="156"/>
    </row>
    <row r="132" spans="1:41" ht="15.75" customHeight="1">
      <c r="A132" s="63"/>
      <c r="B132" s="524"/>
      <c r="C132" s="197" t="s">
        <v>147</v>
      </c>
      <c r="D132">
        <v>3.5720018407769678</v>
      </c>
      <c r="E132">
        <v>8.542997413761805</v>
      </c>
      <c r="F132">
        <v>0.85308600322622863</v>
      </c>
      <c r="G132">
        <v>1.130844725501555</v>
      </c>
      <c r="H132">
        <v>4.7528184712547068</v>
      </c>
      <c r="I132">
        <v>42.417283334163358</v>
      </c>
      <c r="J132">
        <v>42.417283334163358</v>
      </c>
      <c r="K132">
        <v>42.417283334163358</v>
      </c>
      <c r="L132">
        <v>2.3705174305495329</v>
      </c>
      <c r="M132">
        <v>0.69907103293948614</v>
      </c>
      <c r="N132">
        <v>0.73092519539502787</v>
      </c>
      <c r="O132">
        <v>5.6242307352488137</v>
      </c>
      <c r="P132">
        <v>5.7971363638478426</v>
      </c>
      <c r="Q132">
        <v>1.462317770561957</v>
      </c>
      <c r="R132">
        <v>6.3832435561092966</v>
      </c>
      <c r="S132">
        <v>2.9752001719096071</v>
      </c>
      <c r="T132">
        <v>0.68219137506432104</v>
      </c>
      <c r="U132">
        <v>1.376003841220985</v>
      </c>
      <c r="V132">
        <v>2.7247557717009321</v>
      </c>
      <c r="W132">
        <v>3.9071929536069998</v>
      </c>
      <c r="X132">
        <v>0</v>
      </c>
      <c r="Y132" s="24"/>
      <c r="Z132" s="24"/>
      <c r="AA132" s="24"/>
      <c r="AB132" s="348"/>
      <c r="AC132" s="156"/>
      <c r="AD132" s="156"/>
      <c r="AE132" s="156"/>
      <c r="AF132" s="156"/>
      <c r="AG132" s="156"/>
      <c r="AH132" s="156"/>
      <c r="AI132" s="156"/>
      <c r="AJ132" s="156"/>
      <c r="AK132" s="156"/>
      <c r="AL132" s="156"/>
      <c r="AM132" s="156"/>
      <c r="AN132" s="156"/>
      <c r="AO132" s="156"/>
    </row>
    <row r="133" spans="1:41" ht="15.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AB133" s="348"/>
      <c r="AC133" s="156"/>
      <c r="AD133" s="156"/>
      <c r="AE133" s="156"/>
      <c r="AF133" s="156"/>
      <c r="AG133" s="156"/>
      <c r="AH133" s="156"/>
      <c r="AI133" s="156"/>
      <c r="AJ133" s="156"/>
      <c r="AK133" s="156"/>
      <c r="AL133" s="156"/>
      <c r="AM133" s="156"/>
      <c r="AN133" s="156"/>
      <c r="AO133" s="156"/>
    </row>
    <row r="134" spans="1:41" ht="15.75" customHeight="1">
      <c r="A134" s="63"/>
      <c r="B134" s="527" t="s">
        <v>756</v>
      </c>
      <c r="C134" s="527"/>
      <c r="D134" s="527"/>
      <c r="E134" s="527"/>
      <c r="F134" s="527"/>
      <c r="G134" s="527"/>
      <c r="H134" s="527"/>
      <c r="I134" s="527"/>
      <c r="J134" s="527"/>
      <c r="K134" s="527"/>
      <c r="L134" s="527"/>
      <c r="M134" s="527"/>
      <c r="N134" s="527"/>
      <c r="O134" s="527"/>
      <c r="P134" s="527"/>
      <c r="Q134" s="527"/>
      <c r="R134" s="527"/>
      <c r="S134" s="527"/>
      <c r="T134" s="527"/>
      <c r="U134" s="527"/>
      <c r="V134" s="527"/>
      <c r="W134" s="527"/>
      <c r="X134" s="527"/>
      <c r="AB134" s="348"/>
      <c r="AC134" s="156"/>
      <c r="AD134" s="156"/>
      <c r="AE134" s="156"/>
      <c r="AF134" s="156"/>
      <c r="AG134" s="156"/>
      <c r="AH134" s="156"/>
      <c r="AI134" s="156"/>
      <c r="AJ134" s="156"/>
      <c r="AK134" s="156"/>
      <c r="AL134" s="156"/>
      <c r="AM134" s="156"/>
      <c r="AN134" s="156"/>
      <c r="AO134" s="156"/>
    </row>
    <row r="135" spans="1:41" ht="15.75" customHeight="1">
      <c r="A135" s="63"/>
      <c r="B135" s="63"/>
      <c r="D135" s="197" t="s">
        <v>139</v>
      </c>
      <c r="E135" s="197" t="s">
        <v>37</v>
      </c>
      <c r="F135" s="197" t="s">
        <v>140</v>
      </c>
      <c r="G135" s="197" t="s">
        <v>48</v>
      </c>
      <c r="H135" s="197" t="s">
        <v>141</v>
      </c>
      <c r="I135" s="197" t="s">
        <v>58</v>
      </c>
      <c r="J135" s="197" t="s">
        <v>58</v>
      </c>
      <c r="K135" s="197" t="s">
        <v>58</v>
      </c>
      <c r="L135" s="197" t="s">
        <v>61</v>
      </c>
      <c r="M135" s="197" t="s">
        <v>63</v>
      </c>
      <c r="N135" s="197" t="s">
        <v>65</v>
      </c>
      <c r="O135" s="197" t="s">
        <v>67</v>
      </c>
      <c r="P135" s="197" t="s">
        <v>69</v>
      </c>
      <c r="Q135" s="197" t="s">
        <v>145</v>
      </c>
      <c r="R135" s="197" t="s">
        <v>73</v>
      </c>
      <c r="S135" s="197" t="s">
        <v>75</v>
      </c>
      <c r="T135" s="197" t="s">
        <v>146</v>
      </c>
      <c r="U135" s="197" t="s">
        <v>83</v>
      </c>
      <c r="V135" s="197" t="s">
        <v>85</v>
      </c>
      <c r="W135" s="197" t="s">
        <v>88</v>
      </c>
      <c r="X135" s="197" t="s">
        <v>147</v>
      </c>
      <c r="AB135" s="348"/>
      <c r="AC135" s="156"/>
      <c r="AD135" s="156"/>
      <c r="AE135" s="156"/>
      <c r="AF135" s="156"/>
      <c r="AG135" s="156"/>
      <c r="AH135" s="156"/>
      <c r="AI135" s="156"/>
      <c r="AJ135" s="156"/>
      <c r="AK135" s="156"/>
      <c r="AL135" s="156"/>
      <c r="AM135" s="156"/>
      <c r="AN135" s="156"/>
      <c r="AO135" s="156"/>
    </row>
    <row r="136" spans="1:41" ht="15.75" customHeight="1">
      <c r="A136" s="63"/>
      <c r="B136" s="63"/>
      <c r="C136" s="197" t="s">
        <v>742</v>
      </c>
      <c r="D136">
        <v>-0.29094915873544991</v>
      </c>
      <c r="E136">
        <v>-0.49839230497038189</v>
      </c>
      <c r="F136">
        <v>-0.11400058200674421</v>
      </c>
      <c r="G136">
        <v>-0.2495074625768974</v>
      </c>
      <c r="H136">
        <v>-0.13537431398176239</v>
      </c>
      <c r="I136">
        <v>-1.0499157270753321</v>
      </c>
      <c r="J136">
        <v>-1.0499157270753321</v>
      </c>
      <c r="K136">
        <v>-1.0499157270753321</v>
      </c>
      <c r="L136">
        <v>-0.3980049105179303</v>
      </c>
      <c r="M136">
        <v>-0.1778501043267568</v>
      </c>
      <c r="N136">
        <v>-0.16008648509481871</v>
      </c>
      <c r="O136">
        <v>-0.21300967846925969</v>
      </c>
      <c r="P136">
        <v>-0.36900819682324432</v>
      </c>
      <c r="Q136">
        <v>-0.1322642534288645</v>
      </c>
      <c r="R136">
        <v>-0.24554032165643641</v>
      </c>
      <c r="S136">
        <v>-0.97256104488440576</v>
      </c>
      <c r="T136">
        <v>-0.26635132662602518</v>
      </c>
      <c r="U136">
        <v>-0.1680898816992161</v>
      </c>
      <c r="V136">
        <v>-8.6610258933185913E-2</v>
      </c>
      <c r="W136">
        <v>-9.3718022302033271E-2</v>
      </c>
      <c r="X136">
        <v>0</v>
      </c>
      <c r="AB136" s="348"/>
      <c r="AC136" s="156"/>
      <c r="AD136" s="156"/>
      <c r="AE136" s="156"/>
      <c r="AF136" s="156"/>
      <c r="AG136" s="156"/>
      <c r="AH136" s="156"/>
      <c r="AI136" s="156"/>
      <c r="AJ136" s="156"/>
      <c r="AK136" s="156"/>
      <c r="AL136" s="156"/>
      <c r="AM136" s="156"/>
      <c r="AN136" s="156"/>
      <c r="AO136" s="156"/>
    </row>
    <row r="137" spans="1:41" ht="15.75" customHeight="1">
      <c r="A137" s="63"/>
      <c r="B137" s="63"/>
      <c r="C137" s="197" t="s">
        <v>743</v>
      </c>
      <c r="D137">
        <v>-0.378746164870015</v>
      </c>
      <c r="E137">
        <v>-0.35967154560037851</v>
      </c>
      <c r="F137">
        <v>-7.8314241594278619E-2</v>
      </c>
      <c r="G137">
        <v>-0.26467710282964962</v>
      </c>
      <c r="H137">
        <v>-4.7656584422863642E-2</v>
      </c>
      <c r="I137">
        <v>-0.89931119937001125</v>
      </c>
      <c r="J137">
        <v>-0.89931119937001125</v>
      </c>
      <c r="K137">
        <v>-0.89931119937001125</v>
      </c>
      <c r="L137">
        <v>-0.33751677153793758</v>
      </c>
      <c r="M137">
        <v>-0.14017617320158191</v>
      </c>
      <c r="N137">
        <v>-0.1548380344365409</v>
      </c>
      <c r="O137">
        <v>-0.19264729931235641</v>
      </c>
      <c r="P137">
        <v>-0.31915605258243079</v>
      </c>
      <c r="Q137">
        <v>-0.1006360977564956</v>
      </c>
      <c r="R137">
        <v>-0.23508023491665569</v>
      </c>
      <c r="S137">
        <v>-1.0899270714506759</v>
      </c>
      <c r="T137">
        <v>-0.2296575950413054</v>
      </c>
      <c r="U137">
        <v>-0.17511222984475119</v>
      </c>
      <c r="V137">
        <v>-2.676655903713061E-2</v>
      </c>
      <c r="W137">
        <v>-2.2951573681421769E-2</v>
      </c>
      <c r="X137">
        <v>0</v>
      </c>
      <c r="AB137" s="348"/>
      <c r="AC137" s="156"/>
      <c r="AD137" s="156"/>
      <c r="AE137" s="156"/>
      <c r="AF137" s="156"/>
      <c r="AG137" s="156"/>
      <c r="AH137" s="156"/>
      <c r="AI137" s="156"/>
      <c r="AJ137" s="156"/>
      <c r="AK137" s="156"/>
      <c r="AL137" s="156"/>
      <c r="AM137" s="156"/>
      <c r="AN137" s="156"/>
      <c r="AO137" s="156"/>
    </row>
    <row r="138" spans="1:41" ht="15.75" customHeight="1">
      <c r="A138" s="63"/>
      <c r="B138" s="63"/>
      <c r="C138" s="197" t="s">
        <v>744</v>
      </c>
      <c r="D138">
        <v>0.18309177509521329</v>
      </c>
      <c r="E138">
        <v>0.47875652657119461</v>
      </c>
      <c r="F138">
        <v>0.12404888946627771</v>
      </c>
      <c r="G138">
        <v>0.15561234369222621</v>
      </c>
      <c r="H138">
        <v>0.16767179912828439</v>
      </c>
      <c r="I138">
        <v>0.90757590752917505</v>
      </c>
      <c r="J138">
        <v>0.90757590752917505</v>
      </c>
      <c r="K138">
        <v>0.90757590752917505</v>
      </c>
      <c r="L138">
        <v>0.35099343330038829</v>
      </c>
      <c r="M138">
        <v>0.16750685916251479</v>
      </c>
      <c r="N138">
        <v>0.10019100608529941</v>
      </c>
      <c r="O138">
        <v>0.18733015882791751</v>
      </c>
      <c r="P138">
        <v>0.25299479113579032</v>
      </c>
      <c r="Q138">
        <v>0.13460221551173229</v>
      </c>
      <c r="R138">
        <v>0.22984570753901221</v>
      </c>
      <c r="S138">
        <v>0.53219890250697954</v>
      </c>
      <c r="T138">
        <v>0.13760568067238979</v>
      </c>
      <c r="U138">
        <v>8.7187389338304888E-2</v>
      </c>
      <c r="V138">
        <v>0.107105038942631</v>
      </c>
      <c r="W138">
        <v>0.10644133558274251</v>
      </c>
      <c r="X138">
        <v>0</v>
      </c>
      <c r="AB138" s="348"/>
      <c r="AC138" s="156"/>
      <c r="AD138" s="156"/>
      <c r="AE138" s="156"/>
      <c r="AF138" s="156"/>
      <c r="AG138" s="156"/>
      <c r="AH138" s="156"/>
      <c r="AI138" s="156"/>
      <c r="AJ138" s="156"/>
      <c r="AK138" s="156"/>
      <c r="AL138" s="156"/>
      <c r="AM138" s="156"/>
      <c r="AN138" s="156"/>
      <c r="AO138" s="156"/>
    </row>
    <row r="139" spans="1:41" ht="15.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AB139" s="348"/>
      <c r="AC139" s="156"/>
      <c r="AD139" s="156"/>
      <c r="AE139" s="156"/>
      <c r="AF139" s="156"/>
      <c r="AG139" s="156"/>
      <c r="AH139" s="156"/>
      <c r="AI139" s="156"/>
      <c r="AJ139" s="156"/>
      <c r="AK139" s="156"/>
      <c r="AL139" s="156"/>
      <c r="AM139" s="156"/>
      <c r="AN139" s="156"/>
      <c r="AO139" s="156"/>
    </row>
    <row r="140" spans="1:41" ht="15.75" customHeight="1">
      <c r="A140" s="63"/>
      <c r="B140" s="527" t="s">
        <v>757</v>
      </c>
      <c r="C140" s="527"/>
      <c r="D140" s="527"/>
      <c r="E140" s="527"/>
      <c r="F140" s="527"/>
      <c r="G140" s="527"/>
      <c r="H140" s="527"/>
      <c r="I140" s="527"/>
      <c r="J140" s="527"/>
      <c r="K140" s="527"/>
      <c r="L140" s="527"/>
      <c r="M140" s="527"/>
      <c r="N140" s="527"/>
      <c r="O140" s="527"/>
      <c r="P140" s="527"/>
      <c r="Q140" s="527"/>
      <c r="R140" s="527"/>
      <c r="S140" s="527"/>
      <c r="T140" s="527"/>
      <c r="U140" s="527"/>
      <c r="V140" s="527"/>
      <c r="W140" s="527"/>
      <c r="X140" s="527"/>
      <c r="AB140" s="348"/>
      <c r="AC140" s="156"/>
      <c r="AD140" s="156"/>
      <c r="AE140" s="156"/>
      <c r="AF140" s="156"/>
      <c r="AG140" s="156"/>
      <c r="AH140" s="156"/>
      <c r="AI140" s="156"/>
      <c r="AJ140" s="156"/>
      <c r="AK140" s="156"/>
      <c r="AL140" s="156"/>
      <c r="AM140" s="156"/>
      <c r="AN140" s="156"/>
      <c r="AO140" s="156"/>
    </row>
    <row r="141" spans="1:41" ht="15.75" customHeight="1">
      <c r="A141" s="63"/>
      <c r="B141" s="63"/>
      <c r="D141" s="197" t="s">
        <v>139</v>
      </c>
      <c r="E141" s="197" t="s">
        <v>37</v>
      </c>
      <c r="F141" s="197" t="s">
        <v>140</v>
      </c>
      <c r="G141" s="197" t="s">
        <v>48</v>
      </c>
      <c r="H141" s="197" t="s">
        <v>141</v>
      </c>
      <c r="I141" s="197" t="s">
        <v>58</v>
      </c>
      <c r="J141" s="197" t="s">
        <v>58</v>
      </c>
      <c r="K141" s="197" t="s">
        <v>58</v>
      </c>
      <c r="L141" s="197" t="s">
        <v>61</v>
      </c>
      <c r="M141" s="197" t="s">
        <v>63</v>
      </c>
      <c r="N141" s="197" t="s">
        <v>65</v>
      </c>
      <c r="O141" s="197" t="s">
        <v>67</v>
      </c>
      <c r="P141" s="197" t="s">
        <v>69</v>
      </c>
      <c r="Q141" s="197" t="s">
        <v>145</v>
      </c>
      <c r="R141" s="197" t="s">
        <v>73</v>
      </c>
      <c r="S141" s="197" t="s">
        <v>75</v>
      </c>
      <c r="T141" s="197" t="s">
        <v>146</v>
      </c>
      <c r="U141" s="197" t="s">
        <v>83</v>
      </c>
      <c r="V141" s="197" t="s">
        <v>85</v>
      </c>
      <c r="W141" s="197" t="s">
        <v>88</v>
      </c>
      <c r="X141" s="197" t="s">
        <v>147</v>
      </c>
      <c r="AB141" s="156"/>
      <c r="AC141" s="156"/>
      <c r="AD141" s="156"/>
      <c r="AE141" s="156"/>
      <c r="AF141" s="156"/>
      <c r="AG141" s="156"/>
      <c r="AH141" s="156"/>
      <c r="AI141" s="156"/>
      <c r="AJ141" s="156"/>
      <c r="AK141" s="156"/>
      <c r="AL141" s="156"/>
      <c r="AM141" s="156"/>
      <c r="AN141" s="156"/>
      <c r="AO141" s="156"/>
    </row>
    <row r="142" spans="1:41" ht="15.75" customHeight="1">
      <c r="A142" s="63"/>
      <c r="B142" s="63"/>
      <c r="C142" s="197" t="s">
        <v>742</v>
      </c>
      <c r="D142">
        <v>0.70888018651223395</v>
      </c>
      <c r="E142">
        <v>0.76490315365375672</v>
      </c>
      <c r="F142">
        <v>0.1713105263194426</v>
      </c>
      <c r="G142">
        <v>0.30991322763643592</v>
      </c>
      <c r="H142">
        <v>0.24156359468124769</v>
      </c>
      <c r="I142">
        <v>0.46943849727466608</v>
      </c>
      <c r="J142">
        <v>0.46943849727466608</v>
      </c>
      <c r="K142">
        <v>0.46943849727466608</v>
      </c>
      <c r="L142">
        <v>0.16391335285938841</v>
      </c>
      <c r="M142">
        <v>2.559514234006597E-2</v>
      </c>
      <c r="N142">
        <v>9.630885055736893E-2</v>
      </c>
      <c r="O142">
        <v>0.40965845203644241</v>
      </c>
      <c r="P142">
        <v>0</v>
      </c>
      <c r="Q142">
        <v>0.1253441105206502</v>
      </c>
      <c r="R142">
        <v>0.40258743867600461</v>
      </c>
      <c r="S142">
        <v>0.68115542525195372</v>
      </c>
      <c r="T142">
        <v>0.19085531562004709</v>
      </c>
      <c r="U142">
        <v>0.24718569157471301</v>
      </c>
      <c r="V142">
        <v>0.14405313119107049</v>
      </c>
      <c r="W142">
        <v>9.1801895764431887E-2</v>
      </c>
      <c r="X142">
        <v>0</v>
      </c>
      <c r="AB142" s="349"/>
      <c r="AC142" s="156"/>
      <c r="AD142" s="156"/>
      <c r="AE142" s="156"/>
      <c r="AF142" s="156"/>
      <c r="AG142" s="156"/>
      <c r="AH142" s="156"/>
      <c r="AI142" s="156"/>
      <c r="AJ142" s="156"/>
      <c r="AK142" s="156"/>
      <c r="AL142" s="156"/>
      <c r="AM142" s="156"/>
      <c r="AN142" s="156"/>
      <c r="AO142" s="156"/>
    </row>
    <row r="143" spans="1:41" ht="15.75" customHeight="1">
      <c r="A143" s="63"/>
      <c r="B143" s="63"/>
      <c r="C143" s="197" t="s">
        <v>743</v>
      </c>
      <c r="D143">
        <v>0.63019120237377002</v>
      </c>
      <c r="E143">
        <v>0.77859036971068374</v>
      </c>
      <c r="F143">
        <v>0.17506955993949991</v>
      </c>
      <c r="G143">
        <v>5.2215396684097817E-2</v>
      </c>
      <c r="H143">
        <v>0.1572034889993717</v>
      </c>
      <c r="I143">
        <v>0.42683564427438792</v>
      </c>
      <c r="J143">
        <v>0.42683564427438792</v>
      </c>
      <c r="K143">
        <v>0.42683564427438792</v>
      </c>
      <c r="L143">
        <v>0.16391335285938841</v>
      </c>
      <c r="M143">
        <v>2.6973874803519229E-2</v>
      </c>
      <c r="N143">
        <v>7.9599573817832919E-2</v>
      </c>
      <c r="O143">
        <v>0.44759710248399431</v>
      </c>
      <c r="P143">
        <v>0</v>
      </c>
      <c r="Q143">
        <v>0.12953642878943941</v>
      </c>
      <c r="R143">
        <v>0.33588578785842038</v>
      </c>
      <c r="S143">
        <v>0.77182321951710176</v>
      </c>
      <c r="T143">
        <v>0.19085531562004709</v>
      </c>
      <c r="U143">
        <v>0.17129624658003409</v>
      </c>
      <c r="V143">
        <v>0.16623975632589311</v>
      </c>
      <c r="W143">
        <v>8.385945142630255E-2</v>
      </c>
      <c r="X143">
        <v>0</v>
      </c>
      <c r="AB143" s="156"/>
      <c r="AC143" s="156"/>
      <c r="AD143" s="156"/>
      <c r="AE143" s="156"/>
      <c r="AF143" s="156"/>
      <c r="AG143" s="156"/>
      <c r="AH143" s="156"/>
      <c r="AI143" s="156"/>
      <c r="AJ143" s="156"/>
      <c r="AK143" s="156"/>
      <c r="AL143" s="156"/>
      <c r="AM143" s="156"/>
      <c r="AN143" s="156"/>
      <c r="AO143" s="156"/>
    </row>
    <row r="144" spans="1:41" ht="15.75" customHeight="1">
      <c r="A144" s="63"/>
      <c r="B144" s="63"/>
      <c r="C144" s="197" t="s">
        <v>744</v>
      </c>
      <c r="D144">
        <v>0.51307818159547292</v>
      </c>
      <c r="E144">
        <v>0.62202191238894677</v>
      </c>
      <c r="F144">
        <v>7.8990540386118829E-2</v>
      </c>
      <c r="G144">
        <v>0.50656438691003935</v>
      </c>
      <c r="H144">
        <v>0.24758469346705819</v>
      </c>
      <c r="I144">
        <v>0.31226069482447472</v>
      </c>
      <c r="J144">
        <v>0.31226069482447472</v>
      </c>
      <c r="K144">
        <v>0.31226069482447472</v>
      </c>
      <c r="L144">
        <v>1.427734867362454E-2</v>
      </c>
      <c r="M144">
        <v>3.874645997049668E-3</v>
      </c>
      <c r="N144">
        <v>7.466306836149196E-2</v>
      </c>
      <c r="O144">
        <v>0.23307956608156141</v>
      </c>
      <c r="P144">
        <v>0</v>
      </c>
      <c r="Q144">
        <v>9.5505400290509149E-2</v>
      </c>
      <c r="R144">
        <v>0.2409462371364007</v>
      </c>
      <c r="S144">
        <v>0.52085942541580432</v>
      </c>
      <c r="T144">
        <v>0</v>
      </c>
      <c r="U144">
        <v>0.24617532872721479</v>
      </c>
      <c r="V144">
        <v>7.3651232512849787E-2</v>
      </c>
      <c r="W144">
        <v>3.8125827455676532E-2</v>
      </c>
      <c r="X144">
        <v>0</v>
      </c>
      <c r="AB144" s="348"/>
      <c r="AC144" s="156"/>
      <c r="AD144" s="156"/>
      <c r="AE144" s="156"/>
      <c r="AF144" s="156"/>
      <c r="AG144" s="156"/>
      <c r="AH144" s="156"/>
      <c r="AI144" s="156"/>
      <c r="AJ144" s="156"/>
      <c r="AK144" s="156"/>
      <c r="AL144" s="156"/>
      <c r="AM144" s="156"/>
      <c r="AN144" s="156"/>
      <c r="AO144" s="156"/>
    </row>
    <row r="145" spans="1:41" ht="15.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AB145" s="348"/>
      <c r="AC145" s="156"/>
      <c r="AD145" s="156"/>
      <c r="AE145" s="156"/>
      <c r="AF145" s="156"/>
      <c r="AG145" s="156"/>
      <c r="AH145" s="156"/>
      <c r="AI145" s="156"/>
      <c r="AJ145" s="156"/>
      <c r="AK145" s="156"/>
      <c r="AL145" s="156"/>
      <c r="AM145" s="156"/>
      <c r="AN145" s="156"/>
      <c r="AO145" s="156"/>
    </row>
    <row r="146" spans="1:41" ht="15.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AB146" s="348"/>
      <c r="AC146" s="156"/>
      <c r="AD146" s="156"/>
      <c r="AE146" s="156"/>
      <c r="AF146" s="156"/>
      <c r="AG146" s="156"/>
      <c r="AH146" s="156"/>
      <c r="AI146" s="156"/>
      <c r="AJ146" s="156"/>
      <c r="AK146" s="156"/>
      <c r="AL146" s="156"/>
      <c r="AM146" s="156"/>
      <c r="AN146" s="156"/>
      <c r="AO146" s="156"/>
    </row>
    <row r="147" spans="1:41" ht="15.75" customHeight="1">
      <c r="A147" s="63"/>
      <c r="B147" s="527" t="s">
        <v>758</v>
      </c>
      <c r="C147" s="527"/>
      <c r="D147" s="527"/>
      <c r="E147" s="527"/>
      <c r="F147" s="527"/>
      <c r="G147" s="527"/>
      <c r="H147" s="527"/>
      <c r="I147" s="527"/>
      <c r="J147" s="527"/>
      <c r="K147" s="527"/>
      <c r="L147" s="527"/>
      <c r="M147" s="527"/>
      <c r="N147" s="527"/>
      <c r="O147" s="527"/>
      <c r="P147" s="527"/>
      <c r="Q147" s="527"/>
      <c r="R147" s="527"/>
      <c r="S147" s="527"/>
      <c r="T147" s="527"/>
      <c r="U147" s="527"/>
      <c r="V147" s="527"/>
      <c r="W147" s="527"/>
      <c r="X147" s="527"/>
      <c r="AB147" s="348"/>
      <c r="AC147" s="156"/>
      <c r="AD147" s="156"/>
      <c r="AE147" s="156"/>
      <c r="AF147" s="156"/>
      <c r="AG147" s="156"/>
      <c r="AH147" s="156"/>
      <c r="AI147" s="156"/>
      <c r="AJ147" s="156"/>
      <c r="AK147" s="156"/>
      <c r="AL147" s="156"/>
      <c r="AM147" s="156"/>
      <c r="AN147" s="156"/>
      <c r="AO147" s="156"/>
    </row>
    <row r="148" spans="1:41" ht="15.75" customHeight="1">
      <c r="A148" s="63"/>
      <c r="D148" s="197" t="s">
        <v>139</v>
      </c>
      <c r="E148" s="197" t="s">
        <v>37</v>
      </c>
      <c r="F148" s="197" t="s">
        <v>140</v>
      </c>
      <c r="G148" s="197" t="s">
        <v>48</v>
      </c>
      <c r="H148" s="197" t="s">
        <v>141</v>
      </c>
      <c r="I148" s="197" t="s">
        <v>58</v>
      </c>
      <c r="J148" s="197" t="s">
        <v>61</v>
      </c>
      <c r="K148" s="197" t="s">
        <v>63</v>
      </c>
      <c r="L148" s="197" t="s">
        <v>65</v>
      </c>
      <c r="M148" s="197" t="s">
        <v>67</v>
      </c>
      <c r="N148" s="197" t="s">
        <v>69</v>
      </c>
      <c r="O148" s="197" t="s">
        <v>145</v>
      </c>
      <c r="P148" s="197" t="s">
        <v>73</v>
      </c>
      <c r="Q148" s="197" t="s">
        <v>75</v>
      </c>
      <c r="R148" s="197" t="s">
        <v>146</v>
      </c>
      <c r="S148" s="197" t="s">
        <v>83</v>
      </c>
      <c r="T148" s="197" t="s">
        <v>85</v>
      </c>
      <c r="U148" s="197" t="s">
        <v>88</v>
      </c>
      <c r="V148" s="197" t="s">
        <v>147</v>
      </c>
      <c r="W148" s="63"/>
      <c r="AB148" s="348"/>
      <c r="AC148" s="156"/>
      <c r="AD148" s="156"/>
      <c r="AE148" s="156"/>
      <c r="AF148" s="156"/>
      <c r="AG148" s="156"/>
      <c r="AH148" s="156"/>
      <c r="AI148" s="156"/>
      <c r="AJ148" s="156"/>
      <c r="AK148" s="156"/>
      <c r="AL148" s="156"/>
      <c r="AM148" s="156"/>
      <c r="AN148" s="156"/>
      <c r="AO148" s="156"/>
    </row>
    <row r="149" spans="1:41" ht="15.75" customHeight="1">
      <c r="A149" s="63"/>
      <c r="B149" s="524" t="s">
        <v>742</v>
      </c>
      <c r="C149" s="197" t="s">
        <v>139</v>
      </c>
      <c r="D149">
        <v>-2.4994872318838679E-2</v>
      </c>
      <c r="E149">
        <v>-6.058114061671116E-4</v>
      </c>
      <c r="F149">
        <v>-4.194429956420424E-4</v>
      </c>
      <c r="G149">
        <v>0.12039418711837339</v>
      </c>
      <c r="H149">
        <v>-9.1552411360963329E-2</v>
      </c>
      <c r="I149">
        <v>9.1736939009727458E-2</v>
      </c>
      <c r="J149">
        <v>4.1047588673609227E-2</v>
      </c>
      <c r="K149">
        <v>-4.8607434348843237E-3</v>
      </c>
      <c r="L149">
        <v>-1.387731595624846E-2</v>
      </c>
      <c r="M149">
        <v>3.755441441347232E-2</v>
      </c>
      <c r="N149">
        <v>1.6222930893632179E-2</v>
      </c>
      <c r="O149">
        <v>0.1195737632520167</v>
      </c>
      <c r="P149">
        <v>3.7279494386163202E-2</v>
      </c>
      <c r="Q149">
        <v>4.4658707079255053E-2</v>
      </c>
      <c r="R149">
        <v>1.297307716783222E-2</v>
      </c>
      <c r="S149">
        <v>2.8687245788494461E-2</v>
      </c>
      <c r="T149">
        <v>5.9089833102263623E-2</v>
      </c>
      <c r="U149">
        <v>3.4353873682377412E-2</v>
      </c>
      <c r="W149" s="63"/>
      <c r="AB149" s="348"/>
      <c r="AC149" s="156"/>
      <c r="AD149" s="156"/>
      <c r="AE149" s="156"/>
      <c r="AF149" s="156"/>
      <c r="AG149" s="156"/>
      <c r="AH149" s="156"/>
      <c r="AI149" s="156"/>
      <c r="AJ149" s="156"/>
      <c r="AK149" s="156"/>
      <c r="AL149" s="156"/>
      <c r="AM149" s="156"/>
      <c r="AN149" s="156"/>
      <c r="AO149" s="156"/>
    </row>
    <row r="150" spans="1:41" ht="15.75" customHeight="1">
      <c r="A150" s="63"/>
      <c r="B150" s="524"/>
      <c r="C150" s="197" t="s">
        <v>37</v>
      </c>
      <c r="D150">
        <v>-6.1722441725678978E-2</v>
      </c>
      <c r="E150">
        <v>-7.7587917022711478E-2</v>
      </c>
      <c r="F150">
        <v>-0.14568795590107769</v>
      </c>
      <c r="G150">
        <v>-8.5303021738453139E-2</v>
      </c>
      <c r="H150">
        <v>9.1011298570428223E-2</v>
      </c>
      <c r="I150">
        <v>-6.231993829030931E-2</v>
      </c>
      <c r="J150">
        <v>7.0306112024854997E-2</v>
      </c>
      <c r="K150">
        <v>-0.11967562640199821</v>
      </c>
      <c r="L150">
        <v>-9.8769906543002439E-2</v>
      </c>
      <c r="M150">
        <v>1.285339374564054E-2</v>
      </c>
      <c r="N150">
        <v>6.3819749010376375E-2</v>
      </c>
      <c r="O150">
        <v>9.685939832366558E-2</v>
      </c>
      <c r="P150">
        <v>1.635291724910631E-2</v>
      </c>
      <c r="Q150">
        <v>4.7058885236840431E-2</v>
      </c>
      <c r="R150">
        <v>-8.144710416603268E-2</v>
      </c>
      <c r="S150">
        <v>-9.8979533263774955E-2</v>
      </c>
      <c r="T150">
        <v>7.623751173964767E-2</v>
      </c>
      <c r="U150">
        <v>0.1834834218613505</v>
      </c>
      <c r="W150" s="63"/>
      <c r="AB150" s="348"/>
      <c r="AC150" s="156"/>
      <c r="AD150" s="156"/>
      <c r="AE150" s="156"/>
      <c r="AF150" s="156"/>
      <c r="AG150" s="156"/>
      <c r="AH150" s="156"/>
      <c r="AI150" s="156"/>
      <c r="AJ150" s="156"/>
      <c r="AK150" s="156"/>
      <c r="AL150" s="156"/>
      <c r="AM150" s="156"/>
      <c r="AN150" s="156"/>
      <c r="AO150" s="156"/>
    </row>
    <row r="151" spans="1:41" ht="15.75" customHeight="1">
      <c r="A151" s="63"/>
      <c r="B151" s="524"/>
      <c r="C151" s="197" t="s">
        <v>140</v>
      </c>
      <c r="D151">
        <v>-1.6403538293679371E-2</v>
      </c>
      <c r="E151">
        <v>-8.5869288548513528E-2</v>
      </c>
      <c r="F151">
        <v>-3.0849007145609789E-2</v>
      </c>
      <c r="G151">
        <v>-1.4710858596650601E-2</v>
      </c>
      <c r="H151">
        <v>-4.2405036565291009E-2</v>
      </c>
      <c r="I151">
        <v>-7.8414818980858558E-2</v>
      </c>
      <c r="J151">
        <v>-3.3018810348413648E-2</v>
      </c>
      <c r="K151">
        <v>-6.436787849138928E-2</v>
      </c>
      <c r="L151">
        <v>1.521477245927025E-2</v>
      </c>
      <c r="M151">
        <v>-6.7124867315152464E-2</v>
      </c>
      <c r="N151">
        <v>-3.3567042707713581E-2</v>
      </c>
      <c r="O151">
        <v>-2.1429934622615221E-2</v>
      </c>
      <c r="P151">
        <v>-2.0587043135721909E-2</v>
      </c>
      <c r="Q151">
        <v>-5.6052414007008777E-2</v>
      </c>
      <c r="R151">
        <v>5.3349737125960028E-4</v>
      </c>
      <c r="S151">
        <v>-4.2712788363668847E-2</v>
      </c>
      <c r="T151">
        <v>-5.5472333034162727E-2</v>
      </c>
      <c r="U151">
        <v>-2.204020705317827E-2</v>
      </c>
      <c r="W151" s="63"/>
      <c r="AB151" s="348"/>
      <c r="AC151" s="156"/>
      <c r="AD151" s="156"/>
      <c r="AE151" s="156"/>
      <c r="AF151" s="156"/>
      <c r="AG151" s="156"/>
      <c r="AH151" s="156"/>
      <c r="AI151" s="156"/>
      <c r="AJ151" s="156"/>
      <c r="AK151" s="156"/>
      <c r="AL151" s="156"/>
      <c r="AM151" s="156"/>
      <c r="AN151" s="156"/>
      <c r="AO151" s="156"/>
    </row>
    <row r="152" spans="1:41" ht="15.75" customHeight="1">
      <c r="A152" s="63"/>
      <c r="B152" s="524"/>
      <c r="C152" s="197" t="s">
        <v>48</v>
      </c>
      <c r="D152">
        <v>-2.4224748875039909E-2</v>
      </c>
      <c r="E152">
        <v>-2.3042384907371469E-2</v>
      </c>
      <c r="F152">
        <v>-2.4888327390641059E-2</v>
      </c>
      <c r="G152">
        <v>-6.574978513952115E-2</v>
      </c>
      <c r="H152">
        <v>-6.9003198394419665E-2</v>
      </c>
      <c r="I152">
        <v>-1.9075193355617071E-2</v>
      </c>
      <c r="J152">
        <v>-4.0360252413486307E-2</v>
      </c>
      <c r="K152">
        <v>-2.8316711126602528E-2</v>
      </c>
      <c r="L152">
        <v>-3.165211004204125E-2</v>
      </c>
      <c r="M152">
        <v>-1.0995410891823491E-2</v>
      </c>
      <c r="N152">
        <v>-2.645355900995567E-2</v>
      </c>
      <c r="O152">
        <v>-0.1056295627262184</v>
      </c>
      <c r="P152">
        <v>-2.657160989064206E-2</v>
      </c>
      <c r="Q152">
        <v>-5.5943375581865677E-2</v>
      </c>
      <c r="R152">
        <v>-6.0090620826686203E-2</v>
      </c>
      <c r="S152">
        <v>-6.6178248539980625E-2</v>
      </c>
      <c r="T152">
        <v>-5.5279648691190557E-2</v>
      </c>
      <c r="U152">
        <v>-7.0115409306071297E-3</v>
      </c>
      <c r="W152" s="63"/>
      <c r="AB152" s="348"/>
      <c r="AC152" s="156"/>
      <c r="AD152" s="156"/>
      <c r="AE152" s="156"/>
      <c r="AF152" s="156"/>
      <c r="AG152" s="156"/>
      <c r="AH152" s="156"/>
      <c r="AI152" s="156"/>
      <c r="AJ152" s="156"/>
      <c r="AK152" s="156"/>
      <c r="AL152" s="156"/>
      <c r="AM152" s="156"/>
      <c r="AN152" s="156"/>
      <c r="AO152" s="156"/>
    </row>
    <row r="153" spans="1:41" ht="15.75" customHeight="1">
      <c r="A153" s="63"/>
      <c r="B153" s="524"/>
      <c r="C153" s="197" t="s">
        <v>141</v>
      </c>
      <c r="D153">
        <v>0.13053102673147629</v>
      </c>
      <c r="E153">
        <v>-7.0584286541359134E-2</v>
      </c>
      <c r="F153">
        <v>-1.2335697318230849E-2</v>
      </c>
      <c r="G153">
        <v>-1.223395108320607E-2</v>
      </c>
      <c r="H153">
        <v>-7.6622086755978036E-2</v>
      </c>
      <c r="I153">
        <v>-2.2435377635378371E-2</v>
      </c>
      <c r="J153">
        <v>3.2419546364002242E-3</v>
      </c>
      <c r="K153">
        <v>8.2033264405881684E-2</v>
      </c>
      <c r="L153">
        <v>-1.7130258635724819E-2</v>
      </c>
      <c r="M153">
        <v>-0.15761831886870789</v>
      </c>
      <c r="N153">
        <v>-3.7962904058853143E-2</v>
      </c>
      <c r="O153">
        <v>-8.0313710684314199E-2</v>
      </c>
      <c r="P153">
        <v>8.563259738924597E-3</v>
      </c>
      <c r="Q153">
        <v>-7.2684548977524965E-2</v>
      </c>
      <c r="R153">
        <v>3.2960222217022987E-2</v>
      </c>
      <c r="S153">
        <v>-6.2539442898518913E-2</v>
      </c>
      <c r="T153">
        <v>-9.5563655091861488E-3</v>
      </c>
      <c r="U153">
        <v>-8.8310388531773754E-3</v>
      </c>
      <c r="W153" s="63"/>
      <c r="AB153" s="348"/>
      <c r="AC153" s="156"/>
      <c r="AD153" s="156"/>
      <c r="AE153" s="156"/>
      <c r="AF153" s="156"/>
      <c r="AG153" s="156"/>
      <c r="AH153" s="156"/>
      <c r="AI153" s="156"/>
      <c r="AJ153" s="156"/>
      <c r="AK153" s="156"/>
      <c r="AL153" s="156"/>
      <c r="AM153" s="156"/>
      <c r="AN153" s="156"/>
      <c r="AO153" s="156"/>
    </row>
    <row r="154" spans="1:41" ht="15.75" customHeight="1">
      <c r="A154" s="63"/>
      <c r="B154" s="524"/>
      <c r="C154" s="197" t="s">
        <v>58</v>
      </c>
      <c r="D154">
        <v>-5.342068095563794E-3</v>
      </c>
      <c r="E154">
        <v>-7.5199570941543947E-2</v>
      </c>
      <c r="F154">
        <v>-5.8602785536793177E-2</v>
      </c>
      <c r="G154">
        <v>-4.6750241478203822E-2</v>
      </c>
      <c r="H154">
        <v>-5.119104562217832E-2</v>
      </c>
      <c r="I154">
        <v>-6.4356691041402292E-2</v>
      </c>
      <c r="J154">
        <v>-8.0638492437298034E-3</v>
      </c>
      <c r="K154">
        <v>-7.6594612504461812E-2</v>
      </c>
      <c r="L154">
        <v>-4.0228676267675532E-2</v>
      </c>
      <c r="M154">
        <v>-2.1891632274396059E-2</v>
      </c>
      <c r="N154">
        <v>-3.3969751051276378E-2</v>
      </c>
      <c r="O154">
        <v>-3.7985588379294548E-2</v>
      </c>
      <c r="P154">
        <v>1.9841380350776431E-2</v>
      </c>
      <c r="Q154">
        <v>-2.440176244614067E-2</v>
      </c>
      <c r="R154">
        <v>-3.7932206478682479E-2</v>
      </c>
      <c r="S154">
        <v>-3.8750484225837677E-2</v>
      </c>
      <c r="T154">
        <v>-1.8573617787192059E-2</v>
      </c>
      <c r="U154">
        <v>-8.2052029038371388E-3</v>
      </c>
      <c r="W154" s="63"/>
      <c r="AB154" s="348"/>
      <c r="AC154" s="156"/>
      <c r="AD154" s="156"/>
      <c r="AE154" s="156"/>
      <c r="AF154" s="156"/>
      <c r="AG154" s="156"/>
      <c r="AH154" s="156"/>
      <c r="AI154" s="156"/>
      <c r="AJ154" s="156"/>
      <c r="AK154" s="156"/>
      <c r="AL154" s="156"/>
      <c r="AM154" s="156"/>
      <c r="AN154" s="156"/>
      <c r="AO154" s="156"/>
    </row>
    <row r="155" spans="1:41" ht="15.75" customHeight="1">
      <c r="A155" s="63"/>
      <c r="B155" s="524"/>
      <c r="C155" s="197" t="s">
        <v>61</v>
      </c>
      <c r="D155">
        <v>-2.838999242184868E-2</v>
      </c>
      <c r="E155">
        <v>-8.5963902217802118E-2</v>
      </c>
      <c r="F155">
        <v>-2.3095898247144531E-2</v>
      </c>
      <c r="G155">
        <v>0.1848908921897896</v>
      </c>
      <c r="H155">
        <v>-0.24962484411417091</v>
      </c>
      <c r="I155">
        <v>-2.7728222071334852E-2</v>
      </c>
      <c r="J155">
        <v>-5.6319261301768467E-2</v>
      </c>
      <c r="K155">
        <v>8.5434175218972452E-3</v>
      </c>
      <c r="L155">
        <v>-2.5601742423223599E-2</v>
      </c>
      <c r="M155">
        <v>6.686846398795826E-3</v>
      </c>
      <c r="N155">
        <v>-1.4222297863263631E-2</v>
      </c>
      <c r="O155">
        <v>5.3595480308927017E-2</v>
      </c>
      <c r="P155">
        <v>-1.9837015817288049E-2</v>
      </c>
      <c r="Q155">
        <v>-5.8415887233793949E-2</v>
      </c>
      <c r="R155">
        <v>9.7027073069860803E-4</v>
      </c>
      <c r="S155">
        <v>-3.6954874013593778E-2</v>
      </c>
      <c r="T155">
        <v>4.5197962831848147E-2</v>
      </c>
      <c r="U155">
        <v>4.743288874832996E-3</v>
      </c>
      <c r="W155" s="63"/>
      <c r="AB155" s="348"/>
      <c r="AC155" s="156"/>
      <c r="AD155" s="156"/>
      <c r="AE155" s="156"/>
      <c r="AF155" s="156"/>
      <c r="AG155" s="156"/>
      <c r="AH155" s="156"/>
      <c r="AI155" s="156"/>
      <c r="AJ155" s="156"/>
      <c r="AK155" s="156"/>
      <c r="AL155" s="156"/>
      <c r="AM155" s="156"/>
      <c r="AN155" s="156"/>
      <c r="AO155" s="156"/>
    </row>
    <row r="156" spans="1:41" ht="15.75" customHeight="1">
      <c r="A156" s="63"/>
      <c r="B156" s="524"/>
      <c r="C156" s="197" t="s">
        <v>63</v>
      </c>
      <c r="D156">
        <v>-1.7033159701713471E-2</v>
      </c>
      <c r="E156">
        <v>-7.0519195493012013E-2</v>
      </c>
      <c r="F156">
        <v>-1.4067164337516759E-2</v>
      </c>
      <c r="G156">
        <v>0.62268998423379274</v>
      </c>
      <c r="H156">
        <v>0.16663590108779061</v>
      </c>
      <c r="I156">
        <v>-9.5359267226071173E-2</v>
      </c>
      <c r="J156">
        <v>-1.5366227498967371E-2</v>
      </c>
      <c r="K156">
        <v>-0.1107967908669603</v>
      </c>
      <c r="L156">
        <v>-3.993828415437399E-2</v>
      </c>
      <c r="M156">
        <v>-6.3689981455764183E-2</v>
      </c>
      <c r="N156">
        <v>-4.6888278459800148E-3</v>
      </c>
      <c r="O156">
        <v>-1.823111721869658E-2</v>
      </c>
      <c r="P156">
        <v>-3.5138442374820021E-2</v>
      </c>
      <c r="Q156">
        <v>-3.2455506414778117E-2</v>
      </c>
      <c r="R156">
        <v>-9.4339192806132094E-2</v>
      </c>
      <c r="S156">
        <v>-4.6589309235409437E-2</v>
      </c>
      <c r="T156">
        <v>-3.9961568593035707E-2</v>
      </c>
      <c r="U156">
        <v>3.337183161793289E-2</v>
      </c>
      <c r="W156" s="63"/>
      <c r="AB156" s="348"/>
      <c r="AC156" s="156"/>
      <c r="AD156" s="156"/>
      <c r="AE156" s="156"/>
      <c r="AF156" s="156"/>
      <c r="AG156" s="156"/>
      <c r="AH156" s="156"/>
      <c r="AI156" s="156"/>
      <c r="AJ156" s="156"/>
      <c r="AK156" s="156"/>
      <c r="AL156" s="156"/>
      <c r="AM156" s="156"/>
      <c r="AN156" s="156"/>
      <c r="AO156" s="156"/>
    </row>
    <row r="157" spans="1:41" ht="15.75" customHeight="1">
      <c r="A157" s="63"/>
      <c r="B157" s="524"/>
      <c r="C157" s="197" t="s">
        <v>65</v>
      </c>
      <c r="D157">
        <v>-1.947211863923826E-2</v>
      </c>
      <c r="E157">
        <v>-6.2498814107372999E-2</v>
      </c>
      <c r="F157">
        <v>-3.0481499759544509E-2</v>
      </c>
      <c r="G157">
        <v>-3.3938669625113313E-2</v>
      </c>
      <c r="H157">
        <v>-8.3697641634169553E-2</v>
      </c>
      <c r="I157">
        <v>-4.4698900937559877E-2</v>
      </c>
      <c r="J157">
        <v>-1.51087450394612E-2</v>
      </c>
      <c r="K157">
        <v>-3.5740225241597152E-2</v>
      </c>
      <c r="L157">
        <v>-2.851954244586772E-2</v>
      </c>
      <c r="M157">
        <v>-2.7706298150990179E-2</v>
      </c>
      <c r="N157">
        <v>-1.343271886312305E-2</v>
      </c>
      <c r="O157">
        <v>4.6565814430503116E-3</v>
      </c>
      <c r="P157">
        <v>-1.932558713074721E-2</v>
      </c>
      <c r="Q157">
        <v>9.1483973768828844E-2</v>
      </c>
      <c r="R157">
        <v>4.7250788489756827E-2</v>
      </c>
      <c r="S157">
        <v>-3.9232485188102781E-2</v>
      </c>
      <c r="T157">
        <v>-4.340642584571127E-2</v>
      </c>
      <c r="U157">
        <v>-3.2251422951295523E-2</v>
      </c>
      <c r="W157" s="63"/>
      <c r="AB157" s="348"/>
      <c r="AC157" s="156"/>
      <c r="AD157" s="156"/>
      <c r="AE157" s="156"/>
      <c r="AF157" s="156"/>
      <c r="AG157" s="156"/>
      <c r="AH157" s="156"/>
      <c r="AI157" s="156"/>
      <c r="AJ157" s="156"/>
      <c r="AK157" s="156"/>
      <c r="AL157" s="156"/>
      <c r="AM157" s="156"/>
      <c r="AN157" s="156"/>
      <c r="AO157" s="156"/>
    </row>
    <row r="158" spans="1:41" ht="15.75" customHeight="1">
      <c r="A158" s="63"/>
      <c r="B158" s="524"/>
      <c r="C158" s="197" t="s">
        <v>67</v>
      </c>
      <c r="D158">
        <v>-5.387746571941872E-3</v>
      </c>
      <c r="E158">
        <v>-1.542469102219509E-2</v>
      </c>
      <c r="F158">
        <v>-1.1541422170732431E-2</v>
      </c>
      <c r="G158">
        <v>-4.3742830700093063E-2</v>
      </c>
      <c r="H158">
        <v>6.8802697400187116E-2</v>
      </c>
      <c r="I158">
        <v>-3.3084977695390781E-2</v>
      </c>
      <c r="J158">
        <v>1.67445505628856E-3</v>
      </c>
      <c r="K158">
        <v>-5.7902222147538103E-2</v>
      </c>
      <c r="L158">
        <v>-4.2845069367827018E-2</v>
      </c>
      <c r="M158">
        <v>-8.2893648487161659E-2</v>
      </c>
      <c r="N158">
        <v>-1.1495903428160819E-2</v>
      </c>
      <c r="O158">
        <v>-7.866114056146023E-2</v>
      </c>
      <c r="P158">
        <v>-7.3305556237644827E-3</v>
      </c>
      <c r="Q158">
        <v>-2.1577116158057911E-2</v>
      </c>
      <c r="R158">
        <v>-4.8014619989310343E-2</v>
      </c>
      <c r="S158">
        <v>-8.4406551666589003E-2</v>
      </c>
      <c r="T158">
        <v>-4.7577018717466543E-2</v>
      </c>
      <c r="U158">
        <v>3.120734706626993E-3</v>
      </c>
      <c r="W158" s="63"/>
      <c r="AB158" s="348"/>
      <c r="AC158" s="156"/>
      <c r="AD158" s="156"/>
      <c r="AE158" s="156"/>
      <c r="AF158" s="156"/>
      <c r="AG158" s="156"/>
      <c r="AH158" s="156"/>
      <c r="AI158" s="156"/>
      <c r="AJ158" s="156"/>
      <c r="AK158" s="156"/>
      <c r="AL158" s="156"/>
      <c r="AM158" s="156"/>
      <c r="AN158" s="156"/>
      <c r="AO158" s="156"/>
    </row>
    <row r="159" spans="1:41" ht="15.75" customHeight="1">
      <c r="A159" s="63"/>
      <c r="B159" s="524"/>
      <c r="C159" s="197" t="s">
        <v>69</v>
      </c>
      <c r="D159">
        <v>2.7942007429396418E-3</v>
      </c>
      <c r="E159">
        <v>-3.7826375640181938E-2</v>
      </c>
      <c r="F159">
        <v>8.5135718093412392E-3</v>
      </c>
      <c r="G159">
        <v>0.1498818406690976</v>
      </c>
      <c r="H159">
        <v>-0.22603273492116599</v>
      </c>
      <c r="I159">
        <v>5.2492301673330341E-2</v>
      </c>
      <c r="J159">
        <v>0.1170261167044044</v>
      </c>
      <c r="K159">
        <v>1.408058433760118E-2</v>
      </c>
      <c r="L159">
        <v>-4.5546781028349879E-2</v>
      </c>
      <c r="M159">
        <v>-7.6806740429960357E-2</v>
      </c>
      <c r="N159">
        <v>-4.9676301462101849E-2</v>
      </c>
      <c r="O159">
        <v>-3.467557037888841E-2</v>
      </c>
      <c r="P159">
        <v>-2.856382376392556E-2</v>
      </c>
      <c r="Q159">
        <v>-0.12368635592120721</v>
      </c>
      <c r="R159">
        <v>-2.6281107625483861E-2</v>
      </c>
      <c r="S159">
        <v>-5.6499731677062529E-2</v>
      </c>
      <c r="T159">
        <v>6.2425092343263752E-2</v>
      </c>
      <c r="U159">
        <v>-0.11144463176352511</v>
      </c>
      <c r="W159" s="63"/>
      <c r="AB159" s="348"/>
      <c r="AC159" s="156"/>
      <c r="AD159" s="156"/>
      <c r="AE159" s="156"/>
      <c r="AF159" s="156"/>
      <c r="AG159" s="156"/>
      <c r="AH159" s="156"/>
      <c r="AI159" s="156"/>
      <c r="AJ159" s="156"/>
      <c r="AK159" s="156"/>
      <c r="AL159" s="156"/>
      <c r="AM159" s="156"/>
      <c r="AN159" s="156"/>
      <c r="AO159" s="156"/>
    </row>
    <row r="160" spans="1:41" ht="15.75" customHeight="1">
      <c r="A160" s="63"/>
      <c r="B160" s="524"/>
      <c r="C160" s="197" t="s">
        <v>145</v>
      </c>
      <c r="D160">
        <v>-2.405867592306473E-2</v>
      </c>
      <c r="E160">
        <v>-2.8036464667281359E-2</v>
      </c>
      <c r="F160">
        <v>-8.817864766066422E-3</v>
      </c>
      <c r="G160">
        <v>9.6172429210390667E-2</v>
      </c>
      <c r="H160">
        <v>-0.1188562967764603</v>
      </c>
      <c r="I160">
        <v>4.5879948278632073E-2</v>
      </c>
      <c r="J160">
        <v>6.1113264690357827E-2</v>
      </c>
      <c r="K160">
        <v>-2.572944467921803E-2</v>
      </c>
      <c r="L160">
        <v>-5.0485223846784819E-2</v>
      </c>
      <c r="M160">
        <v>-5.8675836417535682E-2</v>
      </c>
      <c r="N160">
        <v>-9.7246284513240605E-2</v>
      </c>
      <c r="O160">
        <v>7.2870207882685334E-2</v>
      </c>
      <c r="P160">
        <v>1.056485944706252E-2</v>
      </c>
      <c r="Q160">
        <v>-0.12602269292242571</v>
      </c>
      <c r="R160">
        <v>2.654645841928072E-2</v>
      </c>
      <c r="S160">
        <v>-3.9662700059902981E-2</v>
      </c>
      <c r="T160">
        <v>5.0500049329667097E-2</v>
      </c>
      <c r="U160">
        <v>-5.7796989228579287E-2</v>
      </c>
      <c r="W160" s="63"/>
      <c r="AB160" s="348"/>
      <c r="AC160" s="156"/>
      <c r="AD160" s="156"/>
      <c r="AE160" s="156"/>
      <c r="AF160" s="156"/>
      <c r="AG160" s="156"/>
      <c r="AH160" s="156"/>
      <c r="AI160" s="156"/>
      <c r="AJ160" s="156"/>
      <c r="AK160" s="156"/>
      <c r="AL160" s="156"/>
      <c r="AM160" s="156"/>
      <c r="AN160" s="156"/>
      <c r="AO160" s="156"/>
    </row>
    <row r="161" spans="1:41" ht="15.75" customHeight="1">
      <c r="A161" s="63"/>
      <c r="B161" s="524"/>
      <c r="C161" s="197" t="s">
        <v>73</v>
      </c>
      <c r="D161">
        <v>2.1045931000702379E-2</v>
      </c>
      <c r="E161">
        <v>-6.937248318957207E-3</v>
      </c>
      <c r="F161">
        <v>1.2682062796977769E-3</v>
      </c>
      <c r="G161">
        <v>-1.6434299834044128E-2</v>
      </c>
      <c r="H161">
        <v>-1.085335859032114E-2</v>
      </c>
      <c r="I161">
        <v>5.4576377176810409E-3</v>
      </c>
      <c r="J161">
        <v>-1.4072855915412191E-3</v>
      </c>
      <c r="K161">
        <v>-4.3134697407744282E-2</v>
      </c>
      <c r="L161">
        <v>3.9801804238585439E-2</v>
      </c>
      <c r="M161">
        <v>1.7563122307361179E-2</v>
      </c>
      <c r="N161">
        <v>6.380894033473106E-3</v>
      </c>
      <c r="O161">
        <v>-4.4396301660280517E-2</v>
      </c>
      <c r="P161">
        <v>-2.005474116947379E-2</v>
      </c>
      <c r="Q161">
        <v>-1.9688065178127968E-2</v>
      </c>
      <c r="R161">
        <v>-3.5412625689487637E-2</v>
      </c>
      <c r="S161">
        <v>-2.6354396656705751E-2</v>
      </c>
      <c r="T161">
        <v>7.6728034669247269E-3</v>
      </c>
      <c r="U161">
        <v>2.267351652423422E-2</v>
      </c>
      <c r="W161" s="63"/>
      <c r="AB161" s="348"/>
      <c r="AC161" s="156"/>
      <c r="AD161" s="156"/>
      <c r="AE161" s="156"/>
      <c r="AF161" s="156"/>
      <c r="AG161" s="156"/>
      <c r="AH161" s="156"/>
      <c r="AI161" s="156"/>
      <c r="AJ161" s="156"/>
      <c r="AK161" s="156"/>
      <c r="AL161" s="156"/>
      <c r="AM161" s="156"/>
      <c r="AN161" s="156"/>
      <c r="AO161" s="156"/>
    </row>
    <row r="162" spans="1:41" ht="15.75" customHeight="1">
      <c r="A162" s="63"/>
      <c r="B162" s="524"/>
      <c r="C162" s="197" t="s">
        <v>75</v>
      </c>
      <c r="D162">
        <v>-3.1813097690853161E-3</v>
      </c>
      <c r="E162">
        <v>5.536015847344368E-2</v>
      </c>
      <c r="F162">
        <v>1.6569069066278121E-2</v>
      </c>
      <c r="G162">
        <v>-3.5799375457676447E-2</v>
      </c>
      <c r="H162">
        <v>-4.5342567315400838E-2</v>
      </c>
      <c r="I162">
        <v>-8.433859854919093E-2</v>
      </c>
      <c r="J162">
        <v>-4.1799600586763533E-2</v>
      </c>
      <c r="K162">
        <v>1.3987760686947849E-2</v>
      </c>
      <c r="L162">
        <v>-8.298335690731639E-3</v>
      </c>
      <c r="M162">
        <v>-9.3652280145644862E-2</v>
      </c>
      <c r="N162">
        <v>-2.279886527770341E-2</v>
      </c>
      <c r="O162">
        <v>2.4852348462013781E-2</v>
      </c>
      <c r="P162">
        <v>-1.332413123606121E-3</v>
      </c>
      <c r="Q162">
        <v>-2.2842902712985759E-2</v>
      </c>
      <c r="R162">
        <v>3.1816757498144138E-2</v>
      </c>
      <c r="S162">
        <v>-3.6328612436856172E-2</v>
      </c>
      <c r="T162">
        <v>1.3012653579447831E-2</v>
      </c>
      <c r="U162">
        <v>0.1060448886673474</v>
      </c>
      <c r="W162" s="63"/>
      <c r="AB162" s="348"/>
      <c r="AC162" s="156"/>
      <c r="AD162" s="156"/>
      <c r="AE162" s="156"/>
      <c r="AF162" s="156"/>
      <c r="AG162" s="156"/>
      <c r="AH162" s="156"/>
      <c r="AI162" s="156"/>
      <c r="AJ162" s="156"/>
      <c r="AK162" s="156"/>
      <c r="AL162" s="156"/>
      <c r="AM162" s="156"/>
      <c r="AN162" s="156"/>
      <c r="AO162" s="156"/>
    </row>
    <row r="163" spans="1:41" ht="15.75" customHeight="1">
      <c r="A163" s="63"/>
      <c r="B163" s="524"/>
      <c r="C163" s="197" t="s">
        <v>146</v>
      </c>
      <c r="D163">
        <v>-1.509382993067147E-2</v>
      </c>
      <c r="E163">
        <v>-6.1975499665323418E-2</v>
      </c>
      <c r="F163">
        <v>-1.7421821939138219E-2</v>
      </c>
      <c r="G163">
        <v>0.13196367972359349</v>
      </c>
      <c r="H163">
        <v>0.1213329749042048</v>
      </c>
      <c r="I163">
        <v>-4.3903121096194868E-2</v>
      </c>
      <c r="J163">
        <v>-2.6478310447669352E-3</v>
      </c>
      <c r="K163">
        <v>-4.0064055215088407E-2</v>
      </c>
      <c r="L163">
        <v>-4.3925839812246868E-2</v>
      </c>
      <c r="M163">
        <v>-5.2116677132927357E-2</v>
      </c>
      <c r="N163">
        <v>-1.9335967174119541E-2</v>
      </c>
      <c r="O163">
        <v>-8.0251363483371085E-2</v>
      </c>
      <c r="P163">
        <v>-4.9657355017036699E-2</v>
      </c>
      <c r="Q163">
        <v>-7.0348106408867503E-2</v>
      </c>
      <c r="R163">
        <v>-0.1072962204904159</v>
      </c>
      <c r="S163">
        <v>-7.228735553462351E-2</v>
      </c>
      <c r="T163">
        <v>-3.8040279856460892E-2</v>
      </c>
      <c r="U163">
        <v>-2.2558916956542658E-3</v>
      </c>
      <c r="W163" s="63"/>
      <c r="AB163" s="348"/>
      <c r="AC163" s="156"/>
      <c r="AD163" s="156"/>
      <c r="AE163" s="156"/>
      <c r="AF163" s="156"/>
      <c r="AG163" s="156"/>
      <c r="AH163" s="156"/>
      <c r="AI163" s="156"/>
      <c r="AJ163" s="156"/>
      <c r="AK163" s="156"/>
      <c r="AL163" s="156"/>
      <c r="AM163" s="156"/>
      <c r="AN163" s="156"/>
      <c r="AO163" s="156"/>
    </row>
    <row r="164" spans="1:41" ht="15.75" customHeight="1">
      <c r="A164" s="63"/>
      <c r="B164" s="524"/>
      <c r="C164" s="197" t="s">
        <v>83</v>
      </c>
      <c r="D164">
        <v>-2.7810008284971668E-2</v>
      </c>
      <c r="E164">
        <v>-0.1601437607767795</v>
      </c>
      <c r="F164">
        <v>-2.683534235160771E-2</v>
      </c>
      <c r="G164">
        <v>0.60549353510910764</v>
      </c>
      <c r="H164">
        <v>-0.19579360731962869</v>
      </c>
      <c r="I164">
        <v>-0.13548446429367761</v>
      </c>
      <c r="J164">
        <v>-8.0838564529893728E-2</v>
      </c>
      <c r="K164">
        <v>1.070516376033942E-2</v>
      </c>
      <c r="L164">
        <v>3.6151832270009003E-2</v>
      </c>
      <c r="M164">
        <v>-0.1077693663802516</v>
      </c>
      <c r="N164">
        <v>-1.127157186424004E-2</v>
      </c>
      <c r="O164">
        <v>-2.5568880267148819E-2</v>
      </c>
      <c r="P164">
        <v>-1.2502358847433731E-2</v>
      </c>
      <c r="Q164">
        <v>-9.4205063275437137E-2</v>
      </c>
      <c r="R164">
        <v>9.6497457577559093E-2</v>
      </c>
      <c r="S164">
        <v>-6.7421524471627872E-2</v>
      </c>
      <c r="T164">
        <v>5.4402802661373588E-2</v>
      </c>
      <c r="U164">
        <v>-2.9961081014830859E-2</v>
      </c>
      <c r="W164" s="63"/>
      <c r="AB164" s="348"/>
      <c r="AC164" s="156"/>
      <c r="AD164" s="156"/>
      <c r="AE164" s="156"/>
      <c r="AF164" s="156"/>
      <c r="AG164" s="156"/>
      <c r="AH164" s="156"/>
      <c r="AI164" s="156"/>
      <c r="AJ164" s="156"/>
      <c r="AK164" s="156"/>
      <c r="AL164" s="156"/>
      <c r="AM164" s="156"/>
      <c r="AN164" s="156"/>
      <c r="AO164" s="156"/>
    </row>
    <row r="165" spans="1:41" ht="15.75" customHeight="1">
      <c r="A165" s="63"/>
      <c r="B165" s="524"/>
      <c r="C165" s="197" t="s">
        <v>85</v>
      </c>
      <c r="D165">
        <v>0.112145819327263</v>
      </c>
      <c r="E165">
        <v>-0.1104698209671624</v>
      </c>
      <c r="F165">
        <v>1.8114673859184569E-2</v>
      </c>
      <c r="G165">
        <v>-6.6852921467904017E-2</v>
      </c>
      <c r="H165">
        <v>-6.2158583643658156E-3</v>
      </c>
      <c r="I165">
        <v>3.3580636784704729E-2</v>
      </c>
      <c r="J165">
        <v>-1.96160238470585E-2</v>
      </c>
      <c r="K165">
        <v>-4.8188304110991759E-2</v>
      </c>
      <c r="L165">
        <v>-8.7814224290079609E-2</v>
      </c>
      <c r="M165">
        <v>-7.9330687438247671E-3</v>
      </c>
      <c r="N165">
        <v>5.6440434363988913E-2</v>
      </c>
      <c r="O165">
        <v>5.2651981085438337E-2</v>
      </c>
      <c r="P165">
        <v>-2.7907361662963041E-2</v>
      </c>
      <c r="Q165">
        <v>-4.5699401678739683E-2</v>
      </c>
      <c r="R165">
        <v>2.9459864000097199E-2</v>
      </c>
      <c r="S165">
        <v>-5.4649768773758593E-2</v>
      </c>
      <c r="T165">
        <v>-0.102472370777742</v>
      </c>
      <c r="U165">
        <v>0.1168529828677972</v>
      </c>
      <c r="W165" s="63"/>
    </row>
    <row r="166" spans="1:41" ht="15.75" customHeight="1">
      <c r="A166" s="63"/>
      <c r="B166" s="524"/>
      <c r="C166" s="197" t="s">
        <v>88</v>
      </c>
      <c r="D166">
        <v>3.7324433463162533E-2</v>
      </c>
      <c r="E166">
        <v>-6.6344431871417656E-2</v>
      </c>
      <c r="F166">
        <v>3.836818186278379E-2</v>
      </c>
      <c r="G166">
        <v>-7.7619741714630833E-2</v>
      </c>
      <c r="H166">
        <v>3.3408244378354657E-2</v>
      </c>
      <c r="I166">
        <v>-4.0053008228154427E-2</v>
      </c>
      <c r="J166">
        <v>7.1347553425986004E-2</v>
      </c>
      <c r="K166">
        <v>2.5382606323523519E-2</v>
      </c>
      <c r="L166">
        <v>-2.5479597785389662E-3</v>
      </c>
      <c r="M166">
        <v>-0.1046726573721842</v>
      </c>
      <c r="N166">
        <v>1.969280821312314E-5</v>
      </c>
      <c r="O166">
        <v>0.1243869261787242</v>
      </c>
      <c r="P166">
        <v>-1.0541962981025719E-2</v>
      </c>
      <c r="Q166">
        <v>-8.1475805857465347E-2</v>
      </c>
      <c r="R166">
        <v>4.8720400713792328E-2</v>
      </c>
      <c r="S166">
        <v>-1.259416707817845E-2</v>
      </c>
      <c r="T166">
        <v>7.188259237633822E-2</v>
      </c>
      <c r="U166">
        <v>-4.0392142663401853E-3</v>
      </c>
      <c r="W166" s="63"/>
    </row>
    <row r="167" spans="1:41" ht="15.75" customHeight="1">
      <c r="A167" s="63"/>
      <c r="B167" s="524"/>
      <c r="C167" s="197" t="s">
        <v>147</v>
      </c>
      <c r="D167">
        <v>0.27870928237558878</v>
      </c>
      <c r="E167">
        <v>-0.11731172875672061</v>
      </c>
      <c r="F167">
        <v>0.2201481115018836</v>
      </c>
      <c r="G167">
        <v>0.1317689560627309</v>
      </c>
      <c r="H167">
        <v>-0.203970036607242</v>
      </c>
      <c r="I167">
        <v>-9.5260575934564898E-2</v>
      </c>
      <c r="J167">
        <v>-4.069728920395186E-2</v>
      </c>
      <c r="K167">
        <v>0.24653981384644719</v>
      </c>
      <c r="L167">
        <v>5.9840192871084087E-2</v>
      </c>
      <c r="M167">
        <v>-9.6248317889652824E-2</v>
      </c>
      <c r="N167">
        <v>8.0184234232415358E-2</v>
      </c>
      <c r="O167">
        <v>-9.7979257007736409E-2</v>
      </c>
      <c r="P167">
        <v>0.32679274210396247</v>
      </c>
      <c r="Q167">
        <v>-6.9755218702923116E-2</v>
      </c>
      <c r="R167">
        <v>0.15023161537039131</v>
      </c>
      <c r="S167">
        <v>-4.2513452713406064E-3</v>
      </c>
      <c r="T167">
        <v>3.5132188633702682E-2</v>
      </c>
      <c r="U167">
        <v>2.1485449681597899</v>
      </c>
      <c r="W167" s="63"/>
    </row>
    <row r="168" spans="1:41" ht="15.75" customHeight="1">
      <c r="A168" s="63"/>
      <c r="B168" s="524" t="s">
        <v>743</v>
      </c>
      <c r="C168" s="197" t="s">
        <v>139</v>
      </c>
      <c r="D168">
        <v>-2.0322225161617798E-2</v>
      </c>
      <c r="E168">
        <v>-8.1837204995148238E-2</v>
      </c>
      <c r="F168">
        <v>-3.460492592463837E-3</v>
      </c>
      <c r="G168">
        <v>5.2520737335231882E-2</v>
      </c>
      <c r="H168">
        <v>-4.9255980048901422E-2</v>
      </c>
      <c r="I168">
        <v>-2.0213931548796801E-2</v>
      </c>
      <c r="J168">
        <v>-2.4937851881966729E-2</v>
      </c>
      <c r="K168">
        <v>-1.136491961082803E-2</v>
      </c>
      <c r="L168">
        <v>-2.0140032696338021E-2</v>
      </c>
      <c r="M168">
        <v>-5.7816003419979833E-3</v>
      </c>
      <c r="N168">
        <v>-2.6088319316308621E-3</v>
      </c>
      <c r="O168">
        <v>0.1195737632520167</v>
      </c>
      <c r="P168">
        <v>3.2961153575628337E-2</v>
      </c>
      <c r="Q168">
        <v>1.062441873671038E-2</v>
      </c>
      <c r="R168">
        <v>-2.7081176996194389E-2</v>
      </c>
      <c r="S168">
        <v>-2.132616302730311E-2</v>
      </c>
      <c r="T168">
        <v>2.0850332390793921E-2</v>
      </c>
      <c r="U168">
        <v>3.4353873682377412E-2</v>
      </c>
      <c r="W168" s="63"/>
    </row>
    <row r="169" spans="1:41" ht="15.75" customHeight="1">
      <c r="A169" s="63"/>
      <c r="B169" s="524"/>
      <c r="C169" s="197" t="s">
        <v>37</v>
      </c>
      <c r="D169">
        <v>-4.500835727059932E-2</v>
      </c>
      <c r="E169">
        <v>-7.7351178233165396E-2</v>
      </c>
      <c r="F169">
        <v>-0.1020471623916961</v>
      </c>
      <c r="G169">
        <v>-5.6758092423187967E-2</v>
      </c>
      <c r="H169">
        <v>-0.12516735016944289</v>
      </c>
      <c r="I169">
        <v>-5.9316620132905729E-2</v>
      </c>
      <c r="J169">
        <v>-7.3737563416567564E-2</v>
      </c>
      <c r="K169">
        <v>-0.14047764025862941</v>
      </c>
      <c r="L169">
        <v>-0.1070900979025852</v>
      </c>
      <c r="M169">
        <v>8.5949249184324672E-2</v>
      </c>
      <c r="N169">
        <v>-7.4315063591471331E-3</v>
      </c>
      <c r="O169">
        <v>9.685939832366558E-2</v>
      </c>
      <c r="P169">
        <v>-1.1368188199434529E-2</v>
      </c>
      <c r="Q169">
        <v>-3.6679697679936729E-2</v>
      </c>
      <c r="R169">
        <v>-0.10089359767746341</v>
      </c>
      <c r="S169">
        <v>-0.10910077063725861</v>
      </c>
      <c r="T169">
        <v>6.1893983295143729E-3</v>
      </c>
      <c r="U169">
        <v>0.1834834218613505</v>
      </c>
      <c r="W169" s="63"/>
    </row>
    <row r="170" spans="1:41" ht="15.75" customHeight="1">
      <c r="A170" s="63"/>
      <c r="B170" s="524"/>
      <c r="C170" s="197" t="s">
        <v>140</v>
      </c>
      <c r="D170">
        <v>-1.469372515180861E-2</v>
      </c>
      <c r="E170">
        <v>-6.3027684983213539E-2</v>
      </c>
      <c r="F170">
        <v>-1.76105836901056E-2</v>
      </c>
      <c r="G170">
        <v>-1.5941613636693001E-2</v>
      </c>
      <c r="H170">
        <v>-2.8982834865884492E-2</v>
      </c>
      <c r="I170">
        <v>-1.7245952066636819E-2</v>
      </c>
      <c r="J170">
        <v>-2.1533725820961799E-2</v>
      </c>
      <c r="K170">
        <v>-5.9088563769473912E-2</v>
      </c>
      <c r="L170">
        <v>-9.0132234787253518E-3</v>
      </c>
      <c r="M170">
        <v>-6.5719894745418672E-2</v>
      </c>
      <c r="N170">
        <v>-1.8385405779052011E-2</v>
      </c>
      <c r="O170">
        <v>-2.1429934622615221E-2</v>
      </c>
      <c r="P170">
        <v>-1.901265003925795E-2</v>
      </c>
      <c r="Q170">
        <v>-5.5072539021433393E-2</v>
      </c>
      <c r="R170">
        <v>7.5811973395211174E-3</v>
      </c>
      <c r="S170">
        <v>-3.685467276087212E-2</v>
      </c>
      <c r="T170">
        <v>-1.495948543079823E-2</v>
      </c>
      <c r="U170">
        <v>-2.204020705317827E-2</v>
      </c>
      <c r="W170" s="63"/>
    </row>
    <row r="171" spans="1:41" ht="15.75" customHeight="1">
      <c r="A171" s="63"/>
      <c r="B171" s="524"/>
      <c r="C171" s="197" t="s">
        <v>48</v>
      </c>
      <c r="D171">
        <v>-2.9448891433665029E-2</v>
      </c>
      <c r="E171">
        <v>-7.4882745550117868E-2</v>
      </c>
      <c r="F171">
        <v>-2.5543416674979499E-2</v>
      </c>
      <c r="G171">
        <v>-5.916228443321403E-2</v>
      </c>
      <c r="H171">
        <v>-7.4038223942905934E-2</v>
      </c>
      <c r="I171">
        <v>-4.4029636306004427E-3</v>
      </c>
      <c r="J171">
        <v>-5.3898061379909601E-2</v>
      </c>
      <c r="K171">
        <v>-7.7649335065362035E-2</v>
      </c>
      <c r="L171">
        <v>-3.418624765049183E-2</v>
      </c>
      <c r="M171">
        <v>-2.3540353841152269E-2</v>
      </c>
      <c r="N171">
        <v>-4.1755496300310169E-2</v>
      </c>
      <c r="O171">
        <v>-0.1056295627262184</v>
      </c>
      <c r="P171">
        <v>-2.0317186365747919E-2</v>
      </c>
      <c r="Q171">
        <v>-2.6430906222922101E-2</v>
      </c>
      <c r="R171">
        <v>-5.5788718299934259E-2</v>
      </c>
      <c r="S171">
        <v>-4.7009208355358323E-2</v>
      </c>
      <c r="T171">
        <v>-4.6393050356501209E-2</v>
      </c>
      <c r="U171">
        <v>-7.0115409306071297E-3</v>
      </c>
      <c r="W171" s="63"/>
    </row>
    <row r="172" spans="1:41" ht="15.75" customHeight="1">
      <c r="A172" s="63"/>
      <c r="B172" s="524"/>
      <c r="C172" s="197" t="s">
        <v>141</v>
      </c>
      <c r="D172">
        <v>1.70057142982778E-2</v>
      </c>
      <c r="E172">
        <v>-9.605220826888794E-2</v>
      </c>
      <c r="F172">
        <v>-1.3742829953880761E-2</v>
      </c>
      <c r="G172">
        <v>-2.8923330910502702E-2</v>
      </c>
      <c r="H172">
        <v>-3.5914545828678812E-2</v>
      </c>
      <c r="I172">
        <v>-2.9144360421114231E-2</v>
      </c>
      <c r="J172">
        <v>7.5367633148746283E-3</v>
      </c>
      <c r="K172">
        <v>-4.2528253589045828E-2</v>
      </c>
      <c r="L172">
        <v>-9.3718358924725909E-3</v>
      </c>
      <c r="M172">
        <v>-0.1545734887883615</v>
      </c>
      <c r="N172">
        <v>-3.4721064955179022E-2</v>
      </c>
      <c r="O172">
        <v>-8.0313710684314199E-2</v>
      </c>
      <c r="P172">
        <v>-1.24403387458325E-2</v>
      </c>
      <c r="Q172">
        <v>-6.7543511976049353E-2</v>
      </c>
      <c r="R172">
        <v>3.0707440427193089E-2</v>
      </c>
      <c r="S172">
        <v>-6.2415393963871191E-2</v>
      </c>
      <c r="T172">
        <v>-1.711874309254369E-2</v>
      </c>
      <c r="U172">
        <v>-8.8310388531773754E-3</v>
      </c>
      <c r="W172" s="63"/>
    </row>
    <row r="173" spans="1:41" ht="15.75" customHeight="1">
      <c r="A173" s="63"/>
      <c r="B173" s="524"/>
      <c r="C173" s="197" t="s">
        <v>58</v>
      </c>
      <c r="D173">
        <v>8.0924189030482374E-3</v>
      </c>
      <c r="E173">
        <v>-6.198195643752813E-2</v>
      </c>
      <c r="F173">
        <v>-7.354284051752924E-2</v>
      </c>
      <c r="G173">
        <v>-6.9664826577473526E-2</v>
      </c>
      <c r="H173">
        <v>-1.090657643156023E-2</v>
      </c>
      <c r="I173">
        <v>-6.032105457489878E-2</v>
      </c>
      <c r="J173">
        <v>-2.6447343369120802E-2</v>
      </c>
      <c r="K173">
        <v>-6.175306907326289E-2</v>
      </c>
      <c r="L173">
        <v>-4.7944171948063441E-2</v>
      </c>
      <c r="M173">
        <v>-1.7945284433016458E-2</v>
      </c>
      <c r="N173">
        <v>-1.3930923025803571E-2</v>
      </c>
      <c r="O173">
        <v>-3.7985588379294548E-2</v>
      </c>
      <c r="P173">
        <v>2.7154560140739688E-2</v>
      </c>
      <c r="Q173">
        <v>-2.590244051712098E-2</v>
      </c>
      <c r="R173">
        <v>-5.2887475510260462E-2</v>
      </c>
      <c r="S173">
        <v>-4.2685801108083177E-2</v>
      </c>
      <c r="T173">
        <v>-1.9322599127462429E-2</v>
      </c>
      <c r="U173">
        <v>-8.2052029038371388E-3</v>
      </c>
      <c r="W173" s="63"/>
    </row>
    <row r="174" spans="1:41" ht="15.75" customHeight="1">
      <c r="A174" s="63"/>
      <c r="B174" s="524"/>
      <c r="C174" s="197" t="s">
        <v>61</v>
      </c>
      <c r="D174">
        <v>-2.294443666546836E-2</v>
      </c>
      <c r="E174">
        <v>-8.6780480671042159E-2</v>
      </c>
      <c r="F174">
        <v>-1.7912954692146491E-2</v>
      </c>
      <c r="G174">
        <v>-5.4159022659672429E-2</v>
      </c>
      <c r="H174">
        <v>-7.2132424815993135E-2</v>
      </c>
      <c r="I174">
        <v>-4.8745107487893069E-3</v>
      </c>
      <c r="J174">
        <v>-4.1157748116932291E-2</v>
      </c>
      <c r="K174">
        <v>8.2582308426772388E-3</v>
      </c>
      <c r="L174">
        <v>-1.9041983878440472E-2</v>
      </c>
      <c r="M174">
        <v>9.9484492942858438E-3</v>
      </c>
      <c r="N174">
        <v>6.8425993932752505E-5</v>
      </c>
      <c r="O174">
        <v>5.3595480308927017E-2</v>
      </c>
      <c r="P174">
        <v>-1.489885350797532E-2</v>
      </c>
      <c r="Q174">
        <v>-4.1122078326702893E-2</v>
      </c>
      <c r="R174">
        <v>-9.1528146617841366E-3</v>
      </c>
      <c r="S174">
        <v>-2.694008782790408E-2</v>
      </c>
      <c r="T174">
        <v>4.8827624758749364E-3</v>
      </c>
      <c r="U174">
        <v>4.743288874832996E-3</v>
      </c>
      <c r="W174" s="63"/>
    </row>
    <row r="175" spans="1:41" ht="15.75" customHeight="1">
      <c r="A175" s="63"/>
      <c r="B175" s="524"/>
      <c r="C175" s="197" t="s">
        <v>63</v>
      </c>
      <c r="D175">
        <v>-1.666788000601516E-2</v>
      </c>
      <c r="E175">
        <v>-6.5742087738245192E-2</v>
      </c>
      <c r="F175">
        <v>1.6325401026135999E-3</v>
      </c>
      <c r="G175">
        <v>-9.9201385465533476E-2</v>
      </c>
      <c r="H175">
        <v>2.4658803395791962E-2</v>
      </c>
      <c r="I175">
        <v>-5.2660955848144231E-2</v>
      </c>
      <c r="J175">
        <v>-9.6874075024998563E-3</v>
      </c>
      <c r="K175">
        <v>-7.4332235232084598E-2</v>
      </c>
      <c r="L175">
        <v>-2.9075985709107851E-2</v>
      </c>
      <c r="M175">
        <v>-3.7703746168618317E-2</v>
      </c>
      <c r="N175">
        <v>1.014861924185451E-2</v>
      </c>
      <c r="O175">
        <v>-1.823111721869658E-2</v>
      </c>
      <c r="P175">
        <v>-2.545374449575E-2</v>
      </c>
      <c r="Q175">
        <v>-3.702532214946741E-2</v>
      </c>
      <c r="R175">
        <v>-6.4464573293589067E-2</v>
      </c>
      <c r="S175">
        <v>-4.5374256772320487E-2</v>
      </c>
      <c r="T175">
        <v>-2.3521382905888621E-2</v>
      </c>
      <c r="U175">
        <v>3.337183161793289E-2</v>
      </c>
      <c r="W175" s="63"/>
    </row>
    <row r="176" spans="1:41" ht="15.75" customHeight="1">
      <c r="A176" s="63"/>
      <c r="B176" s="524"/>
      <c r="C176" s="197" t="s">
        <v>65</v>
      </c>
      <c r="D176">
        <v>-1.4601208264205251E-2</v>
      </c>
      <c r="E176">
        <v>-6.665021596444709E-2</v>
      </c>
      <c r="F176">
        <v>-2.8734311849844211E-2</v>
      </c>
      <c r="G176">
        <v>-7.1716064175726624E-2</v>
      </c>
      <c r="H176">
        <v>-2.9476504004349761E-2</v>
      </c>
      <c r="I176">
        <v>-5.1478802661146912E-2</v>
      </c>
      <c r="J176">
        <v>-2.0671410848497111E-2</v>
      </c>
      <c r="K176">
        <v>-2.7376345035438732E-2</v>
      </c>
      <c r="L176">
        <v>-5.7771478547639088E-3</v>
      </c>
      <c r="M176">
        <v>-3.1793292397437889E-2</v>
      </c>
      <c r="N176">
        <v>-4.4285317733099294E-3</v>
      </c>
      <c r="O176">
        <v>4.6565814430503116E-3</v>
      </c>
      <c r="P176">
        <v>-7.9288487526384954E-3</v>
      </c>
      <c r="Q176">
        <v>3.8485431394899021E-3</v>
      </c>
      <c r="R176">
        <v>-2.699425363592578E-3</v>
      </c>
      <c r="S176">
        <v>-3.4653011176061337E-2</v>
      </c>
      <c r="T176">
        <v>-1.3380856407712921E-2</v>
      </c>
      <c r="U176">
        <v>-3.2251422951295523E-2</v>
      </c>
      <c r="W176" s="63"/>
    </row>
    <row r="177" spans="1:23" ht="15.75" customHeight="1">
      <c r="A177" s="63"/>
      <c r="B177" s="524"/>
      <c r="C177" s="197" t="s">
        <v>67</v>
      </c>
      <c r="D177">
        <v>-6.6216758026688693E-3</v>
      </c>
      <c r="E177">
        <v>-4.3204783372911448E-2</v>
      </c>
      <c r="F177">
        <v>-1.466148302221504E-2</v>
      </c>
      <c r="G177">
        <v>-3.257534194421674E-2</v>
      </c>
      <c r="H177">
        <v>-2.3983034937966612E-3</v>
      </c>
      <c r="I177">
        <v>-6.9697176387537807E-2</v>
      </c>
      <c r="J177">
        <v>-6.7126867253578526E-3</v>
      </c>
      <c r="K177">
        <v>-4.9493575143620017E-2</v>
      </c>
      <c r="L177">
        <v>-1.840241957298594E-3</v>
      </c>
      <c r="M177">
        <v>-4.7026986946755167E-2</v>
      </c>
      <c r="N177">
        <v>-9.1880975346535498E-3</v>
      </c>
      <c r="O177">
        <v>-7.866114056146023E-2</v>
      </c>
      <c r="P177">
        <v>-7.7144447362692548E-4</v>
      </c>
      <c r="Q177">
        <v>-2.0863909854314629E-2</v>
      </c>
      <c r="R177">
        <v>-3.427102061338827E-2</v>
      </c>
      <c r="S177">
        <v>-0.1031272653540274</v>
      </c>
      <c r="T177">
        <v>-2.6408069144984229E-2</v>
      </c>
      <c r="U177">
        <v>3.120734706626993E-3</v>
      </c>
      <c r="W177" s="63"/>
    </row>
    <row r="178" spans="1:23" ht="15.75" customHeight="1">
      <c r="A178" s="63"/>
      <c r="B178" s="524"/>
      <c r="C178" s="197" t="s">
        <v>69</v>
      </c>
      <c r="D178">
        <v>2.615131912727775E-3</v>
      </c>
      <c r="E178">
        <v>-5.1759392099263057E-2</v>
      </c>
      <c r="F178">
        <v>6.7539578675863687E-3</v>
      </c>
      <c r="G178">
        <v>-1.2736295263978009E-2</v>
      </c>
      <c r="H178">
        <v>-2.5802904274197621E-2</v>
      </c>
      <c r="I178">
        <v>-1.3786137695464E-3</v>
      </c>
      <c r="J178">
        <v>9.9039797855726697E-3</v>
      </c>
      <c r="K178">
        <v>-3.1216147154880029E-2</v>
      </c>
      <c r="L178">
        <v>-5.1946619108490522E-2</v>
      </c>
      <c r="M178">
        <v>-5.7848436886765657E-2</v>
      </c>
      <c r="N178">
        <v>-1.522243879248486E-2</v>
      </c>
      <c r="O178">
        <v>-3.467557037888841E-2</v>
      </c>
      <c r="P178">
        <v>-1.1836621066156679E-2</v>
      </c>
      <c r="Q178">
        <v>-3.9191882629171837E-2</v>
      </c>
      <c r="R178">
        <v>-2.468266324444612E-2</v>
      </c>
      <c r="S178">
        <v>-4.6190664937671773E-2</v>
      </c>
      <c r="T178">
        <v>-6.8237016692167529E-3</v>
      </c>
      <c r="U178">
        <v>-0.11144463176352511</v>
      </c>
      <c r="W178" s="63"/>
    </row>
    <row r="179" spans="1:23" ht="15.75" customHeight="1">
      <c r="A179" s="63"/>
      <c r="B179" s="524"/>
      <c r="C179" s="197" t="s">
        <v>145</v>
      </c>
      <c r="D179">
        <v>-2.974185198677021E-2</v>
      </c>
      <c r="E179">
        <v>-3.4695040447044523E-2</v>
      </c>
      <c r="F179">
        <v>-6.6080254793708937E-3</v>
      </c>
      <c r="G179">
        <v>2.946425814391684E-2</v>
      </c>
      <c r="H179">
        <v>-4.6792921260773279E-2</v>
      </c>
      <c r="I179">
        <v>3.065422819845387E-2</v>
      </c>
      <c r="J179">
        <v>-6.646507702341431E-3</v>
      </c>
      <c r="K179">
        <v>-2.6995112010138211E-2</v>
      </c>
      <c r="L179">
        <v>-4.0337633979033997E-2</v>
      </c>
      <c r="M179">
        <v>-1.5628700565980261E-2</v>
      </c>
      <c r="N179">
        <v>-2.4232644528035311E-2</v>
      </c>
      <c r="O179">
        <v>7.2870207882685334E-2</v>
      </c>
      <c r="P179">
        <v>-9.9449773190122825E-3</v>
      </c>
      <c r="Q179">
        <v>-5.1028275180580403E-2</v>
      </c>
      <c r="R179">
        <v>2.6201565510493019E-3</v>
      </c>
      <c r="S179">
        <v>-4.1649587072685179E-2</v>
      </c>
      <c r="T179">
        <v>-5.9512039435275499E-3</v>
      </c>
      <c r="U179">
        <v>-5.7796989228579287E-2</v>
      </c>
      <c r="W179" s="63"/>
    </row>
    <row r="180" spans="1:23" ht="15.75" customHeight="1">
      <c r="A180" s="63"/>
      <c r="B180" s="524"/>
      <c r="C180" s="197" t="s">
        <v>73</v>
      </c>
      <c r="D180">
        <v>1.952865876562104E-2</v>
      </c>
      <c r="E180">
        <v>-3.4224098375499223E-2</v>
      </c>
      <c r="F180">
        <v>7.373164286875733E-3</v>
      </c>
      <c r="G180">
        <v>-1.5844990616944551E-2</v>
      </c>
      <c r="H180">
        <v>-1.494938747242669E-2</v>
      </c>
      <c r="I180">
        <v>1.4523018942592451E-2</v>
      </c>
      <c r="J180">
        <v>9.0102730413956778E-3</v>
      </c>
      <c r="K180">
        <v>-4.3327799575102473E-2</v>
      </c>
      <c r="L180">
        <v>2.938912801018212E-4</v>
      </c>
      <c r="M180">
        <v>-4.6235584818490161E-2</v>
      </c>
      <c r="N180">
        <v>5.4714634923953556E-3</v>
      </c>
      <c r="O180">
        <v>-4.4396301660280517E-2</v>
      </c>
      <c r="P180">
        <v>-1.5014398073760539E-2</v>
      </c>
      <c r="Q180">
        <v>-2.6857928231840189E-2</v>
      </c>
      <c r="R180">
        <v>-2.56158287993094E-2</v>
      </c>
      <c r="S180">
        <v>-3.2885676458772939E-2</v>
      </c>
      <c r="T180">
        <v>1.501486937631114E-2</v>
      </c>
      <c r="U180">
        <v>2.267351652423422E-2</v>
      </c>
      <c r="W180" s="63"/>
    </row>
    <row r="181" spans="1:23" ht="15.75" customHeight="1">
      <c r="A181" s="63"/>
      <c r="B181" s="524"/>
      <c r="C181" s="197" t="s">
        <v>75</v>
      </c>
      <c r="D181">
        <v>-3.1498750217301419E-4</v>
      </c>
      <c r="E181">
        <v>-3.2478461619617871E-2</v>
      </c>
      <c r="F181">
        <v>3.5432609002745701E-3</v>
      </c>
      <c r="G181">
        <v>1.7533444070115811E-2</v>
      </c>
      <c r="H181">
        <v>-5.4410045652429906E-3</v>
      </c>
      <c r="I181">
        <v>-1.771997828538685E-2</v>
      </c>
      <c r="J181">
        <v>4.7511725673154981E-3</v>
      </c>
      <c r="K181">
        <v>9.6748742726576742E-3</v>
      </c>
      <c r="L181">
        <v>-2.6439209835856792E-3</v>
      </c>
      <c r="M181">
        <v>-6.5778892124957467E-3</v>
      </c>
      <c r="N181">
        <v>-9.0116491104283991E-3</v>
      </c>
      <c r="O181">
        <v>2.4852348462013781E-2</v>
      </c>
      <c r="P181">
        <v>6.4111469836783952E-3</v>
      </c>
      <c r="Q181">
        <v>-6.5838962937445622E-3</v>
      </c>
      <c r="R181">
        <v>-1.3293222016804111E-2</v>
      </c>
      <c r="S181">
        <v>-3.2013076596401728E-2</v>
      </c>
      <c r="T181">
        <v>3.7080249898560069E-3</v>
      </c>
      <c r="U181">
        <v>0.1060448886673474</v>
      </c>
      <c r="W181" s="63"/>
    </row>
    <row r="182" spans="1:23" ht="15.75" customHeight="1">
      <c r="A182" s="63"/>
      <c r="B182" s="524"/>
      <c r="C182" s="197" t="s">
        <v>146</v>
      </c>
      <c r="D182">
        <v>-1.2046187498316541E-2</v>
      </c>
      <c r="E182">
        <v>-5.5437996105442873E-2</v>
      </c>
      <c r="F182">
        <v>-1.252301657550947E-2</v>
      </c>
      <c r="G182">
        <v>-3.1650140900254753E-2</v>
      </c>
      <c r="H182">
        <v>5.7441887316007634E-3</v>
      </c>
      <c r="I182">
        <v>-3.320370423430552E-2</v>
      </c>
      <c r="J182">
        <v>-7.809508081950689E-3</v>
      </c>
      <c r="K182">
        <v>-3.6459433423204513E-2</v>
      </c>
      <c r="L182">
        <v>-3.5810605266565099E-2</v>
      </c>
      <c r="M182">
        <v>-4.2738506313248333E-2</v>
      </c>
      <c r="N182">
        <v>-2.371605234868213E-2</v>
      </c>
      <c r="O182">
        <v>-8.0251363483371085E-2</v>
      </c>
      <c r="P182">
        <v>-2.2862618825870599E-2</v>
      </c>
      <c r="Q182">
        <v>-9.2694930612851723E-2</v>
      </c>
      <c r="R182">
        <v>-5.1805347698931803E-2</v>
      </c>
      <c r="S182">
        <v>-7.4641359448244848E-2</v>
      </c>
      <c r="T182">
        <v>-4.089572269116587E-2</v>
      </c>
      <c r="U182">
        <v>-2.2558916956542658E-3</v>
      </c>
      <c r="W182" s="63"/>
    </row>
    <row r="183" spans="1:23" ht="15.75" customHeight="1">
      <c r="A183" s="63"/>
      <c r="B183" s="524"/>
      <c r="C183" s="197" t="s">
        <v>83</v>
      </c>
      <c r="D183">
        <v>-3.0169678713472089E-2</v>
      </c>
      <c r="E183">
        <v>-8.4729443671783033E-2</v>
      </c>
      <c r="F183">
        <v>-9.8801531840887136E-2</v>
      </c>
      <c r="G183">
        <v>-4.149068161192393E-2</v>
      </c>
      <c r="H183">
        <v>-4.9662061906276533E-2</v>
      </c>
      <c r="I183">
        <v>-0.1336122921895965</v>
      </c>
      <c r="J183">
        <v>-8.4175748326572708E-2</v>
      </c>
      <c r="K183">
        <v>3.9191446964646832E-2</v>
      </c>
      <c r="L183">
        <v>-2.054875142764823E-2</v>
      </c>
      <c r="M183">
        <v>-5.9567669985164939E-2</v>
      </c>
      <c r="N183">
        <v>-4.8039359001493143E-2</v>
      </c>
      <c r="O183">
        <v>-2.5568880267148819E-2</v>
      </c>
      <c r="P183">
        <v>-7.7311267497389702E-3</v>
      </c>
      <c r="Q183">
        <v>-8.0294965978112698E-2</v>
      </c>
      <c r="R183">
        <v>2.0307935665645871E-2</v>
      </c>
      <c r="S183">
        <v>-7.1488478843545367E-2</v>
      </c>
      <c r="T183">
        <v>-1.7569607475905361E-2</v>
      </c>
      <c r="U183">
        <v>-2.9961081014830859E-2</v>
      </c>
      <c r="W183" s="63"/>
    </row>
    <row r="184" spans="1:23" ht="15.75" customHeight="1">
      <c r="A184" s="63"/>
      <c r="B184" s="524"/>
      <c r="C184" s="197" t="s">
        <v>85</v>
      </c>
      <c r="D184">
        <v>1.188583510239449E-2</v>
      </c>
      <c r="E184">
        <v>-6.9647373525979828E-2</v>
      </c>
      <c r="F184">
        <v>1.1242783875793579E-2</v>
      </c>
      <c r="G184">
        <v>-4.7244183406633722E-2</v>
      </c>
      <c r="H184">
        <v>-2.8116026272445801E-2</v>
      </c>
      <c r="I184">
        <v>-3.115693451878776E-2</v>
      </c>
      <c r="J184">
        <v>-2.8621301724157559E-2</v>
      </c>
      <c r="K184">
        <v>-5.1931630366770953E-2</v>
      </c>
      <c r="L184">
        <v>-3.7327779469471863E-2</v>
      </c>
      <c r="M184">
        <v>-1.7999726144218579E-2</v>
      </c>
      <c r="N184">
        <v>1.7750780362774329E-2</v>
      </c>
      <c r="O184">
        <v>5.2651981085438337E-2</v>
      </c>
      <c r="P184">
        <v>-1.2856560071463409E-2</v>
      </c>
      <c r="Q184">
        <v>-2.4288687597204039E-2</v>
      </c>
      <c r="R184">
        <v>-3.9526248175140166E-3</v>
      </c>
      <c r="S184">
        <v>-3.5381404418458218E-2</v>
      </c>
      <c r="T184">
        <v>-3.9116135367035787E-2</v>
      </c>
      <c r="U184">
        <v>0.1168529828677972</v>
      </c>
      <c r="W184" s="63"/>
    </row>
    <row r="185" spans="1:23" ht="15.75" customHeight="1">
      <c r="A185" s="63"/>
      <c r="B185" s="524"/>
      <c r="C185" s="197" t="s">
        <v>88</v>
      </c>
      <c r="D185">
        <v>2.39942555903363E-2</v>
      </c>
      <c r="E185">
        <v>-7.815887734848137E-2</v>
      </c>
      <c r="F185">
        <v>2.98583258507743E-2</v>
      </c>
      <c r="G185">
        <v>-4.4986872453633309E-2</v>
      </c>
      <c r="H185">
        <v>-1.7834379045452819E-2</v>
      </c>
      <c r="I185">
        <v>-3.1810392336333981E-2</v>
      </c>
      <c r="J185">
        <v>-2.4148632411403752E-3</v>
      </c>
      <c r="K185">
        <v>-1.5678573464153581E-2</v>
      </c>
      <c r="L185">
        <v>1.2944388156916229E-2</v>
      </c>
      <c r="M185">
        <v>-3.0996986066866291E-2</v>
      </c>
      <c r="N185">
        <v>8.027740861891397E-3</v>
      </c>
      <c r="O185">
        <v>0.1243869261787242</v>
      </c>
      <c r="P185">
        <v>-2.7958323388820321E-3</v>
      </c>
      <c r="Q185">
        <v>-6.4617512125477283E-2</v>
      </c>
      <c r="R185">
        <v>5.0205440186052996E-3</v>
      </c>
      <c r="S185">
        <v>-2.5617172678598091E-2</v>
      </c>
      <c r="T185">
        <v>-1.0901638601697071E-2</v>
      </c>
      <c r="U185">
        <v>-4.0392142663401853E-3</v>
      </c>
      <c r="W185" s="63"/>
    </row>
    <row r="186" spans="1:23" ht="15.75" customHeight="1">
      <c r="A186" s="63"/>
      <c r="B186" s="524"/>
      <c r="C186" s="197" t="s">
        <v>147</v>
      </c>
      <c r="D186">
        <v>-7.1717910973756238E-2</v>
      </c>
      <c r="E186">
        <v>-7.90958891121325E-2</v>
      </c>
      <c r="F186">
        <v>1.7752005756428879E-2</v>
      </c>
      <c r="G186">
        <v>-7.3958507580043187E-2</v>
      </c>
      <c r="H186">
        <v>-0.17352388834625199</v>
      </c>
      <c r="I186">
        <v>-1.7702389679389311E-2</v>
      </c>
      <c r="J186">
        <v>-3.1459638238685812E-2</v>
      </c>
      <c r="K186">
        <v>-6.7138486107751139E-2</v>
      </c>
      <c r="L186">
        <v>-0.13480111487737789</v>
      </c>
      <c r="M186">
        <v>-7.9817949225417462E-2</v>
      </c>
      <c r="N186">
        <v>-0.15630309961268651</v>
      </c>
      <c r="O186">
        <v>-9.7979257007736409E-2</v>
      </c>
      <c r="P186">
        <v>-0.18726371650987439</v>
      </c>
      <c r="Q186">
        <v>-0.11331173922058151</v>
      </c>
      <c r="R186">
        <v>4.4519406885260897E-2</v>
      </c>
      <c r="S186">
        <v>-7.2824776696783611E-2</v>
      </c>
      <c r="T186">
        <v>1.3517921412043001E-2</v>
      </c>
      <c r="U186">
        <v>2.1485449681597899</v>
      </c>
      <c r="W186" s="63"/>
    </row>
    <row r="187" spans="1:23" ht="15.75" customHeight="1">
      <c r="A187" s="63"/>
      <c r="B187" s="524" t="s">
        <v>744</v>
      </c>
      <c r="C187" s="197" t="s">
        <v>139</v>
      </c>
      <c r="D187">
        <v>2.7797824385455559E-2</v>
      </c>
      <c r="E187">
        <v>0.15307881794178879</v>
      </c>
      <c r="F187">
        <v>1.7216939910559122E-2</v>
      </c>
      <c r="G187">
        <v>0.2392981059750704</v>
      </c>
      <c r="H187">
        <v>8.3392475158819618E-2</v>
      </c>
      <c r="I187">
        <v>0.2374359607322071</v>
      </c>
      <c r="J187">
        <v>0.16865278207008441</v>
      </c>
      <c r="K187">
        <v>5.9005885338896377E-2</v>
      </c>
      <c r="L187">
        <v>3.6155722203071117E-2</v>
      </c>
      <c r="M187">
        <v>0.17477138085399441</v>
      </c>
      <c r="N187">
        <v>4.3966981510274519E-2</v>
      </c>
      <c r="O187">
        <v>0.13660786690778581</v>
      </c>
      <c r="P187">
        <v>8.2187515715790693E-2</v>
      </c>
      <c r="Q187">
        <v>9.8988024211625059E-2</v>
      </c>
      <c r="R187">
        <v>9.0712542301189969E-2</v>
      </c>
      <c r="S187">
        <v>0.1249875864828645</v>
      </c>
      <c r="T187">
        <v>0.14881264996712321</v>
      </c>
      <c r="U187">
        <v>2.0246151691946129E-2</v>
      </c>
      <c r="W187" s="63"/>
    </row>
    <row r="188" spans="1:23" ht="15.75" customHeight="1">
      <c r="A188" s="63"/>
      <c r="B188" s="524"/>
      <c r="C188" s="197" t="s">
        <v>37</v>
      </c>
      <c r="D188">
        <v>8.0456461217528891E-2</v>
      </c>
      <c r="E188">
        <v>8.9250449345195715E-2</v>
      </c>
      <c r="F188">
        <v>0.1174182937648101</v>
      </c>
      <c r="G188">
        <v>9.5639362576513468E-2</v>
      </c>
      <c r="H188">
        <v>0.46096170283917193</v>
      </c>
      <c r="I188">
        <v>6.9132358556508636E-2</v>
      </c>
      <c r="J188">
        <v>0.33287064896347113</v>
      </c>
      <c r="K188">
        <v>0.15140092999002061</v>
      </c>
      <c r="L188">
        <v>0.13534990040656189</v>
      </c>
      <c r="M188">
        <v>0.17934945275942199</v>
      </c>
      <c r="N188">
        <v>0.28244042467107489</v>
      </c>
      <c r="O188">
        <v>0.20360599293114889</v>
      </c>
      <c r="P188">
        <v>0.18882813056823541</v>
      </c>
      <c r="Q188">
        <v>0.20639083472596431</v>
      </c>
      <c r="R188">
        <v>0.14955599818657561</v>
      </c>
      <c r="S188">
        <v>0.1067952292138231</v>
      </c>
      <c r="T188">
        <v>0.20586038589364969</v>
      </c>
      <c r="U188">
        <v>0.51218807361457475</v>
      </c>
      <c r="W188" s="63"/>
    </row>
    <row r="189" spans="1:23" ht="15.75" customHeight="1">
      <c r="A189" s="63"/>
      <c r="B189" s="524"/>
      <c r="C189" s="197" t="s">
        <v>140</v>
      </c>
      <c r="D189">
        <v>1.175035660721805E-2</v>
      </c>
      <c r="E189">
        <v>6.7057628792576277E-2</v>
      </c>
      <c r="F189">
        <v>4.2191107431449923E-2</v>
      </c>
      <c r="G189">
        <v>7.6239428720431213E-2</v>
      </c>
      <c r="H189">
        <v>3.2008687900830203E-2</v>
      </c>
      <c r="I189">
        <v>0.1129313774970524</v>
      </c>
      <c r="J189">
        <v>3.878975299819639E-2</v>
      </c>
      <c r="K189">
        <v>4.9534225605673228E-2</v>
      </c>
      <c r="L189">
        <v>8.7847380988873569E-2</v>
      </c>
      <c r="M189">
        <v>5.2490578300761537E-2</v>
      </c>
      <c r="N189">
        <v>3.8368666229517047E-2</v>
      </c>
      <c r="O189">
        <v>1.818175702103654E-2</v>
      </c>
      <c r="P189">
        <v>2.1872809373686498E-2</v>
      </c>
      <c r="Q189">
        <v>4.7436570714536871E-2</v>
      </c>
      <c r="R189">
        <v>6.411627491469285E-2</v>
      </c>
      <c r="S189">
        <v>2.7672498829402911E-2</v>
      </c>
      <c r="T189">
        <v>9.9792839213818041E-2</v>
      </c>
      <c r="U189">
        <v>2.107236446910337E-2</v>
      </c>
      <c r="W189" s="63"/>
    </row>
    <row r="190" spans="1:23" ht="15.75" customHeight="1">
      <c r="A190" s="63"/>
      <c r="B190" s="524"/>
      <c r="C190" s="197" t="s">
        <v>48</v>
      </c>
      <c r="D190">
        <v>2.611113161965024E-2</v>
      </c>
      <c r="E190">
        <v>0.1826441116425597</v>
      </c>
      <c r="F190">
        <v>6.7289816097304087E-3</v>
      </c>
      <c r="G190">
        <v>7.5001496089350278E-2</v>
      </c>
      <c r="H190">
        <v>9.1491941026976813E-3</v>
      </c>
      <c r="I190">
        <v>5.1648004366785273E-2</v>
      </c>
      <c r="J190">
        <v>4.9964589166530973E-2</v>
      </c>
      <c r="K190">
        <v>0.18014047406327349</v>
      </c>
      <c r="L190">
        <v>7.0152914342471423E-2</v>
      </c>
      <c r="M190">
        <v>6.5105584301961436E-2</v>
      </c>
      <c r="N190">
        <v>5.5402067627352232E-2</v>
      </c>
      <c r="O190">
        <v>0.22744445105773409</v>
      </c>
      <c r="P190">
        <v>4.8435672449336491E-2</v>
      </c>
      <c r="Q190">
        <v>5.1516876932132492E-2</v>
      </c>
      <c r="R190">
        <v>3.6276849689680028E-2</v>
      </c>
      <c r="S190">
        <v>5.5923445086727648E-2</v>
      </c>
      <c r="T190">
        <v>4.0499021157155098E-2</v>
      </c>
      <c r="U190">
        <v>0.1240403554334177</v>
      </c>
      <c r="W190" s="63"/>
    </row>
    <row r="191" spans="1:23" ht="15.75" customHeight="1">
      <c r="A191" s="63"/>
      <c r="B191" s="524"/>
      <c r="C191" s="197" t="s">
        <v>141</v>
      </c>
      <c r="D191">
        <v>0.33898656100880409</v>
      </c>
      <c r="E191">
        <v>5.4698071935089333E-2</v>
      </c>
      <c r="F191">
        <v>1.77539179311745E-2</v>
      </c>
      <c r="G191">
        <v>0.1075014953235722</v>
      </c>
      <c r="H191">
        <v>0.1250569627212218</v>
      </c>
      <c r="I191">
        <v>6.0968863297242278E-2</v>
      </c>
      <c r="J191">
        <v>4.5381827524979983E-2</v>
      </c>
      <c r="K191">
        <v>0.28406790298595469</v>
      </c>
      <c r="L191">
        <v>8.8533306522962443E-2</v>
      </c>
      <c r="M191">
        <v>0.11523782615514901</v>
      </c>
      <c r="N191">
        <v>5.9810512749250928E-2</v>
      </c>
      <c r="O191">
        <v>2.5989124045870692E-2</v>
      </c>
      <c r="P191">
        <v>8.8486237022569594E-2</v>
      </c>
      <c r="Q191">
        <v>2.9701108910493788E-2</v>
      </c>
      <c r="R191">
        <v>9.1423183373938871E-2</v>
      </c>
      <c r="S191">
        <v>5.8589428991907659E-2</v>
      </c>
      <c r="T191">
        <v>2.1062290686491309E-2</v>
      </c>
      <c r="U191">
        <v>3.8428168020002759E-3</v>
      </c>
      <c r="W191" s="63"/>
    </row>
    <row r="192" spans="1:23" ht="15.75" customHeight="1">
      <c r="A192" s="63"/>
      <c r="B192" s="524"/>
      <c r="C192" s="197" t="s">
        <v>58</v>
      </c>
      <c r="D192">
        <v>4.5211179173286042E-2</v>
      </c>
      <c r="E192">
        <v>5.5306941456307407E-2</v>
      </c>
      <c r="F192">
        <v>3.5979983945794367E-2</v>
      </c>
      <c r="G192">
        <v>7.3501721213569557E-2</v>
      </c>
      <c r="H192">
        <v>9.1342237109364344E-2</v>
      </c>
      <c r="I192">
        <v>5.3869560354411178E-2</v>
      </c>
      <c r="J192">
        <v>4.5446929293129358E-2</v>
      </c>
      <c r="K192">
        <v>5.9215049315652767E-2</v>
      </c>
      <c r="L192">
        <v>4.6254721128137097E-2</v>
      </c>
      <c r="M192">
        <v>2.3334693780363139E-2</v>
      </c>
      <c r="N192">
        <v>4.466002151551296E-2</v>
      </c>
      <c r="O192">
        <v>3.734059433847334E-3</v>
      </c>
      <c r="P192">
        <v>3.7918169339295808E-2</v>
      </c>
      <c r="Q192">
        <v>4.1139587542286409E-2</v>
      </c>
      <c r="R192">
        <v>7.1521172461364219E-2</v>
      </c>
      <c r="S192">
        <v>4.7203493131340292E-2</v>
      </c>
      <c r="T192">
        <v>1.9529154513771851E-2</v>
      </c>
      <c r="U192">
        <v>1.7753592436245219E-2</v>
      </c>
      <c r="W192" s="63"/>
    </row>
    <row r="193" spans="1:24" ht="15.75" customHeight="1">
      <c r="A193" s="63"/>
      <c r="B193" s="524"/>
      <c r="C193" s="197" t="s">
        <v>61</v>
      </c>
      <c r="D193">
        <v>2.1449377134127621E-2</v>
      </c>
      <c r="E193">
        <v>5.6059896542911089E-2</v>
      </c>
      <c r="F193">
        <v>2.6718343554951389E-2</v>
      </c>
      <c r="G193">
        <v>0.881216786259851</v>
      </c>
      <c r="H193">
        <v>0.33684134434422591</v>
      </c>
      <c r="I193">
        <v>3.8980244192769513E-2</v>
      </c>
      <c r="J193">
        <v>4.8417114614008931E-2</v>
      </c>
      <c r="K193">
        <v>5.14502721509481E-2</v>
      </c>
      <c r="L193">
        <v>3.5199501115269829E-2</v>
      </c>
      <c r="M193">
        <v>5.6018049008831262E-2</v>
      </c>
      <c r="N193">
        <v>2.3605127994704829E-2</v>
      </c>
      <c r="O193">
        <v>2.2822209944699239E-2</v>
      </c>
      <c r="P193">
        <v>4.6081476844866173E-2</v>
      </c>
      <c r="Q193">
        <v>4.4403406238626479E-2</v>
      </c>
      <c r="R193">
        <v>4.7765083221074207E-2</v>
      </c>
      <c r="S193">
        <v>6.0629338924224702E-2</v>
      </c>
      <c r="T193">
        <v>0.12582982109025251</v>
      </c>
      <c r="U193">
        <v>2.0901348362409339E-2</v>
      </c>
      <c r="W193" s="63"/>
    </row>
    <row r="194" spans="1:24" ht="15.75" customHeight="1">
      <c r="A194" s="63"/>
      <c r="B194" s="524"/>
      <c r="C194" s="197" t="s">
        <v>63</v>
      </c>
      <c r="D194">
        <v>2.7283432724065131E-2</v>
      </c>
      <c r="E194">
        <v>7.3313221323103819E-2</v>
      </c>
      <c r="F194">
        <v>2.8594150121417351E-2</v>
      </c>
      <c r="G194">
        <v>2.3419986778861941</v>
      </c>
      <c r="H194">
        <v>0.26787947983183852</v>
      </c>
      <c r="I194">
        <v>0.116399341342789</v>
      </c>
      <c r="J194">
        <v>4.6200323478515548E-2</v>
      </c>
      <c r="K194">
        <v>9.1894745258794971E-2</v>
      </c>
      <c r="L194">
        <v>5.0179624555040457E-2</v>
      </c>
      <c r="M194">
        <v>8.7149974402045277E-2</v>
      </c>
      <c r="N194">
        <v>6.2678739987816576E-2</v>
      </c>
      <c r="O194">
        <v>1.3505724280800369E-2</v>
      </c>
      <c r="P194">
        <v>4.8936220825089603E-2</v>
      </c>
      <c r="Q194">
        <v>4.3169678304948382E-2</v>
      </c>
      <c r="R194">
        <v>0.101924174343999</v>
      </c>
      <c r="S194">
        <v>2.395026933275304E-2</v>
      </c>
      <c r="T194">
        <v>4.7965461859163817E-2</v>
      </c>
      <c r="U194">
        <v>9.9389108545773611E-2</v>
      </c>
      <c r="W194" s="63"/>
    </row>
    <row r="195" spans="1:24" ht="15.75" customHeight="1">
      <c r="A195" s="63"/>
      <c r="B195" s="524"/>
      <c r="C195" s="197" t="s">
        <v>65</v>
      </c>
      <c r="D195">
        <v>2.2827729403016032E-2</v>
      </c>
      <c r="E195">
        <v>4.7206518300564861E-2</v>
      </c>
      <c r="F195">
        <v>3.5922534158768303E-2</v>
      </c>
      <c r="G195">
        <v>7.3855018503750244E-2</v>
      </c>
      <c r="H195">
        <v>0.11571328053844041</v>
      </c>
      <c r="I195">
        <v>2.9739221714499331E-2</v>
      </c>
      <c r="J195">
        <v>2.641298314484632E-2</v>
      </c>
      <c r="K195">
        <v>4.0505783097303197E-2</v>
      </c>
      <c r="L195">
        <v>4.2485173543190459E-2</v>
      </c>
      <c r="M195">
        <v>5.2787933964982013E-2</v>
      </c>
      <c r="N195">
        <v>4.5194058443594677E-2</v>
      </c>
      <c r="O195">
        <v>1.677225181934465E-2</v>
      </c>
      <c r="P195">
        <v>3.063461832893977E-2</v>
      </c>
      <c r="Q195">
        <v>0.1728687268759416</v>
      </c>
      <c r="R195">
        <v>0.1660568641068248</v>
      </c>
      <c r="S195">
        <v>3.2809362115817538E-2</v>
      </c>
      <c r="T195">
        <v>6.4932857880644942E-2</v>
      </c>
      <c r="U195">
        <v>2.9303991923818749E-2</v>
      </c>
      <c r="W195" s="63"/>
    </row>
    <row r="196" spans="1:24" ht="15.75" customHeight="1">
      <c r="A196" s="63"/>
      <c r="B196" s="524"/>
      <c r="C196" s="197" t="s">
        <v>67</v>
      </c>
      <c r="D196">
        <v>1.9606813816717299E-2</v>
      </c>
      <c r="E196">
        <v>0.13905244427394761</v>
      </c>
      <c r="F196">
        <v>7.3191547784769084E-3</v>
      </c>
      <c r="G196">
        <v>0.14799274046283839</v>
      </c>
      <c r="H196">
        <v>0.1323883983826187</v>
      </c>
      <c r="I196">
        <v>5.6661473316203102E-2</v>
      </c>
      <c r="J196">
        <v>1.295827095599617E-2</v>
      </c>
      <c r="K196">
        <v>8.1598257952382541E-2</v>
      </c>
      <c r="L196">
        <v>0.10885955685631279</v>
      </c>
      <c r="M196">
        <v>0.1124199211556863</v>
      </c>
      <c r="N196">
        <v>2.4573146052753351E-2</v>
      </c>
      <c r="O196">
        <v>0.1324143181203469</v>
      </c>
      <c r="P196">
        <v>5.2626246927419157E-2</v>
      </c>
      <c r="Q196">
        <v>2.9626293755953371E-2</v>
      </c>
      <c r="R196">
        <v>4.8664041307352773E-2</v>
      </c>
      <c r="S196">
        <v>7.3304538406856828E-2</v>
      </c>
      <c r="T196">
        <v>8.614549573348132E-2</v>
      </c>
      <c r="U196">
        <v>4.0439852393866847E-2</v>
      </c>
      <c r="W196" s="63"/>
    </row>
    <row r="197" spans="1:24" ht="15.75" customHeight="1">
      <c r="A197" s="63"/>
      <c r="B197" s="524"/>
      <c r="C197" s="197" t="s">
        <v>69</v>
      </c>
      <c r="D197">
        <v>1.5143521799600469E-2</v>
      </c>
      <c r="E197">
        <v>6.1408609545241723E-2</v>
      </c>
      <c r="F197">
        <v>2.553046595971066E-2</v>
      </c>
      <c r="G197">
        <v>0.42407366733730362</v>
      </c>
      <c r="H197">
        <v>0.34867024780627093</v>
      </c>
      <c r="I197">
        <v>0.1697779439730947</v>
      </c>
      <c r="J197">
        <v>0.26087181288862199</v>
      </c>
      <c r="K197">
        <v>0.1144442950450472</v>
      </c>
      <c r="L197">
        <v>5.6601263212800609E-2</v>
      </c>
      <c r="M197">
        <v>8.2292063264016349E-2</v>
      </c>
      <c r="N197">
        <v>7.4671415258359949E-2</v>
      </c>
      <c r="O197">
        <v>1.0214459609735599E-2</v>
      </c>
      <c r="P197">
        <v>4.4538128365186148E-2</v>
      </c>
      <c r="Q197">
        <v>0.19270389000177221</v>
      </c>
      <c r="R197">
        <v>3.6329086710417471E-2</v>
      </c>
      <c r="S197">
        <v>4.6359689065524727E-2</v>
      </c>
      <c r="T197">
        <v>0.19988510922705599</v>
      </c>
      <c r="U197">
        <v>0.16370065995815969</v>
      </c>
      <c r="W197" s="63"/>
    </row>
    <row r="198" spans="1:24" ht="15.75" customHeight="1">
      <c r="A198" s="63"/>
      <c r="B198" s="524"/>
      <c r="C198" s="197" t="s">
        <v>145</v>
      </c>
      <c r="D198">
        <v>3.6162441106007817E-2</v>
      </c>
      <c r="E198">
        <v>6.1451817960625522E-2</v>
      </c>
      <c r="F198">
        <v>6.4486180139156036E-3</v>
      </c>
      <c r="G198">
        <v>0.23698233259002141</v>
      </c>
      <c r="H198">
        <v>0.2292014010637313</v>
      </c>
      <c r="I198">
        <v>0.10301927007558651</v>
      </c>
      <c r="J198">
        <v>0.1143631785330792</v>
      </c>
      <c r="K198">
        <v>3.7317248700399507E-2</v>
      </c>
      <c r="L198">
        <v>6.8906706042283564E-2</v>
      </c>
      <c r="M198">
        <v>0.1124904069360122</v>
      </c>
      <c r="N198">
        <v>0.16915746116540889</v>
      </c>
      <c r="O198">
        <v>0.12184776442611139</v>
      </c>
      <c r="P198">
        <v>5.5030721979588283E-2</v>
      </c>
      <c r="Q198">
        <v>0.1490047094052365</v>
      </c>
      <c r="R198">
        <v>0.1018584802955341</v>
      </c>
      <c r="S198">
        <v>4.7874749675364363E-2</v>
      </c>
      <c r="T198">
        <v>0.15819035000837531</v>
      </c>
      <c r="U198">
        <v>8.1339517498881797E-2</v>
      </c>
      <c r="W198" s="63"/>
    </row>
    <row r="199" spans="1:24" ht="15.75" customHeight="1">
      <c r="A199" s="63"/>
      <c r="B199" s="524"/>
      <c r="C199" s="197" t="s">
        <v>73</v>
      </c>
      <c r="D199">
        <v>2.212981554634684E-2</v>
      </c>
      <c r="E199">
        <v>0.13475723422946109</v>
      </c>
      <c r="F199">
        <v>1.1925237965399941E-2</v>
      </c>
      <c r="G199">
        <v>7.9116907459757718E-2</v>
      </c>
      <c r="H199">
        <v>3.8297076521163133E-2</v>
      </c>
      <c r="I199">
        <v>7.9081061060496741E-2</v>
      </c>
      <c r="J199">
        <v>2.1653409641002739E-2</v>
      </c>
      <c r="K199">
        <v>3.5181246744040023E-2</v>
      </c>
      <c r="L199">
        <v>8.9387858498791134E-2</v>
      </c>
      <c r="M199">
        <v>0.1499936398949461</v>
      </c>
      <c r="N199">
        <v>4.4456498179366012E-2</v>
      </c>
      <c r="O199">
        <v>4.1499625462799138E-2</v>
      </c>
      <c r="P199">
        <v>5.4416310830026932E-2</v>
      </c>
      <c r="Q199">
        <v>1.5659451251374929E-2</v>
      </c>
      <c r="R199">
        <v>5.3455865562643118E-2</v>
      </c>
      <c r="S199">
        <v>4.8220508936731389E-2</v>
      </c>
      <c r="T199">
        <v>4.4361481034285513E-2</v>
      </c>
      <c r="U199">
        <v>2.2300251405395588E-3</v>
      </c>
      <c r="W199" s="63"/>
    </row>
    <row r="200" spans="1:24" ht="15.75" customHeight="1">
      <c r="A200" s="63"/>
      <c r="B200" s="524"/>
      <c r="C200" s="197" t="s">
        <v>75</v>
      </c>
      <c r="D200">
        <v>2.5084527025702189E-2</v>
      </c>
      <c r="E200">
        <v>0.2862311459029851</v>
      </c>
      <c r="F200">
        <v>3.3627073770792763E-2</v>
      </c>
      <c r="G200">
        <v>0.13753752209866321</v>
      </c>
      <c r="H200">
        <v>7.1190486601272987E-2</v>
      </c>
      <c r="I200">
        <v>0.14066364875622309</v>
      </c>
      <c r="J200">
        <v>9.9245031361403863E-2</v>
      </c>
      <c r="K200">
        <v>6.7812139223926302E-2</v>
      </c>
      <c r="L200">
        <v>2.020853668988333E-2</v>
      </c>
      <c r="M200">
        <v>0.17609505133524331</v>
      </c>
      <c r="N200">
        <v>6.6137128441401405E-2</v>
      </c>
      <c r="O200">
        <v>4.9697075739078816E-3</v>
      </c>
      <c r="P200">
        <v>2.884927118989019E-2</v>
      </c>
      <c r="Q200">
        <v>5.3236586227166087E-2</v>
      </c>
      <c r="R200">
        <v>0.12716607001984651</v>
      </c>
      <c r="S200">
        <v>3.5356520703179753E-2</v>
      </c>
      <c r="T200">
        <v>6.082184445739152E-2</v>
      </c>
      <c r="U200">
        <v>0.13683210633524101</v>
      </c>
      <c r="W200" s="63"/>
    </row>
    <row r="201" spans="1:24" ht="15.75" customHeight="1">
      <c r="A201" s="63"/>
      <c r="B201" s="524"/>
      <c r="C201" s="197" t="s">
        <v>146</v>
      </c>
      <c r="D201">
        <v>2.1585156008801398E-2</v>
      </c>
      <c r="E201">
        <v>4.2317898134330643E-2</v>
      </c>
      <c r="F201">
        <v>1.047397892279844E-2</v>
      </c>
      <c r="G201">
        <v>0.52514375168696503</v>
      </c>
      <c r="H201">
        <v>0.22014410806557261</v>
      </c>
      <c r="I201">
        <v>5.2092882712569281E-2</v>
      </c>
      <c r="J201">
        <v>2.089701002628833E-2</v>
      </c>
      <c r="K201">
        <v>3.0571026670169019E-2</v>
      </c>
      <c r="L201">
        <v>3.5499370751728473E-2</v>
      </c>
      <c r="M201">
        <v>2.921496743767267E-2</v>
      </c>
      <c r="N201">
        <v>2.4505344249090219E-2</v>
      </c>
      <c r="O201">
        <v>6.2605935883370087E-2</v>
      </c>
      <c r="P201">
        <v>7.339679167943787E-2</v>
      </c>
      <c r="Q201">
        <v>7.1387694437320792E-2</v>
      </c>
      <c r="R201">
        <v>0.14046096839036831</v>
      </c>
      <c r="S201">
        <v>6.2600042780349363E-2</v>
      </c>
      <c r="T201">
        <v>2.4727011585030559E-2</v>
      </c>
      <c r="U201">
        <v>5.3646029622378194E-3</v>
      </c>
      <c r="W201" s="63"/>
    </row>
    <row r="202" spans="1:24" ht="15.75" customHeight="1">
      <c r="A202" s="63"/>
      <c r="B202" s="524"/>
      <c r="C202" s="197" t="s">
        <v>83</v>
      </c>
      <c r="D202">
        <v>6.4008551815139383E-2</v>
      </c>
      <c r="E202">
        <v>0.15245061362609849</v>
      </c>
      <c r="F202">
        <v>0.19964106439620891</v>
      </c>
      <c r="G202">
        <v>2.064033447411147</v>
      </c>
      <c r="H202">
        <v>0.25863686448958823</v>
      </c>
      <c r="I202">
        <v>0.17768963618878819</v>
      </c>
      <c r="J202">
        <v>9.4103370373803383E-2</v>
      </c>
      <c r="K202">
        <v>0.1000726903235966</v>
      </c>
      <c r="L202">
        <v>0.1233895094932083</v>
      </c>
      <c r="M202">
        <v>0.10271592553167359</v>
      </c>
      <c r="N202">
        <v>6.2137311845605843E-2</v>
      </c>
      <c r="O202">
        <v>5.0918789037761293E-2</v>
      </c>
      <c r="P202">
        <v>1.439429207768898E-2</v>
      </c>
      <c r="Q202">
        <v>0.12208947858016631</v>
      </c>
      <c r="R202">
        <v>0.22765588795053329</v>
      </c>
      <c r="S202">
        <v>8.1722077354984116E-2</v>
      </c>
      <c r="T202">
        <v>0.20112708133548129</v>
      </c>
      <c r="U202">
        <v>2.460252067994647E-2</v>
      </c>
      <c r="W202" s="63"/>
    </row>
    <row r="203" spans="1:24" ht="15.75" customHeight="1">
      <c r="A203" s="63"/>
      <c r="B203" s="524"/>
      <c r="C203" s="197" t="s">
        <v>85</v>
      </c>
      <c r="D203">
        <v>0.23137301213553671</v>
      </c>
      <c r="E203">
        <v>0.13089610016956241</v>
      </c>
      <c r="F203">
        <v>4.9448471490542753E-2</v>
      </c>
      <c r="G203">
        <v>0.16377333846213141</v>
      </c>
      <c r="H203">
        <v>7.6133723222388872E-2</v>
      </c>
      <c r="I203">
        <v>0.14570793169434629</v>
      </c>
      <c r="J203">
        <v>3.7031843705630563E-2</v>
      </c>
      <c r="K203">
        <v>4.9044838650896302E-2</v>
      </c>
      <c r="L203">
        <v>0.14186405229454899</v>
      </c>
      <c r="M203">
        <v>4.5807706909658158E-2</v>
      </c>
      <c r="N203">
        <v>0.1211700989245638</v>
      </c>
      <c r="O203">
        <v>7.3327768618191749E-2</v>
      </c>
      <c r="P203">
        <v>5.6439998673237263E-2</v>
      </c>
      <c r="Q203">
        <v>5.9037359078358748E-2</v>
      </c>
      <c r="R203">
        <v>0.12571059513874069</v>
      </c>
      <c r="S203">
        <v>4.0547217792570207E-2</v>
      </c>
      <c r="T203">
        <v>0.16636976372284279</v>
      </c>
      <c r="U203">
        <v>0.1859523741793026</v>
      </c>
      <c r="W203" s="63"/>
    </row>
    <row r="204" spans="1:24" ht="15.75" customHeight="1">
      <c r="A204" s="63"/>
      <c r="B204" s="524"/>
      <c r="C204" s="197" t="s">
        <v>88</v>
      </c>
      <c r="D204">
        <v>5.4064073078187842E-2</v>
      </c>
      <c r="E204">
        <v>3.5504077328628689E-2</v>
      </c>
      <c r="F204">
        <v>6.2383192225004928E-2</v>
      </c>
      <c r="G204">
        <v>0.18428746587080569</v>
      </c>
      <c r="H204">
        <v>0.1004255970033435</v>
      </c>
      <c r="I204">
        <v>5.1510208885594509E-2</v>
      </c>
      <c r="J204">
        <v>0.16548175092639519</v>
      </c>
      <c r="K204">
        <v>0.12542005358066979</v>
      </c>
      <c r="L204">
        <v>4.5013998336923898E-2</v>
      </c>
      <c r="M204">
        <v>0.18263633859656539</v>
      </c>
      <c r="N204">
        <v>7.895845425703607E-2</v>
      </c>
      <c r="O204">
        <v>0.2236704828273107</v>
      </c>
      <c r="P204">
        <v>4.6168051978273193E-2</v>
      </c>
      <c r="Q204">
        <v>0.11310860704117449</v>
      </c>
      <c r="R204">
        <v>0.14910431988442441</v>
      </c>
      <c r="S204">
        <v>7.4230514507673678E-2</v>
      </c>
      <c r="T204">
        <v>0.2111729299767019</v>
      </c>
      <c r="U204">
        <v>3.898898899243938E-3</v>
      </c>
      <c r="W204" s="63"/>
    </row>
    <row r="205" spans="1:24" ht="15.75" customHeight="1">
      <c r="A205" s="63"/>
      <c r="B205" s="524"/>
      <c r="C205" s="197" t="s">
        <v>147</v>
      </c>
      <c r="D205">
        <v>1.1587397451623991</v>
      </c>
      <c r="E205">
        <v>0.13024161840019011</v>
      </c>
      <c r="F205">
        <v>0.82532141143733195</v>
      </c>
      <c r="G205">
        <v>0.76054874163166775</v>
      </c>
      <c r="H205">
        <v>0.17727608597876451</v>
      </c>
      <c r="I205">
        <v>0.40240035111049188</v>
      </c>
      <c r="J205">
        <v>5.7538844435411921E-2</v>
      </c>
      <c r="K205">
        <v>0.97849812397609326</v>
      </c>
      <c r="L205">
        <v>0.55480390601196194</v>
      </c>
      <c r="M205">
        <v>7.6094798760005203E-2</v>
      </c>
      <c r="N205">
        <v>0.63665918981342107</v>
      </c>
      <c r="O205">
        <v>0.13593503923176459</v>
      </c>
      <c r="P205">
        <v>1.4237879554186299</v>
      </c>
      <c r="Q205">
        <v>0.1036132597443761</v>
      </c>
      <c r="R205">
        <v>0.49886042683684151</v>
      </c>
      <c r="S205">
        <v>0.43977449350393588</v>
      </c>
      <c r="T205">
        <v>0.16092644746648371</v>
      </c>
      <c r="U205">
        <v>3.2876603870620178</v>
      </c>
      <c r="W205" s="63"/>
    </row>
    <row r="206" spans="1:24" ht="15.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row>
    <row r="207" spans="1:24" ht="15.75" customHeight="1">
      <c r="A207" s="63"/>
      <c r="B207" s="527" t="s">
        <v>759</v>
      </c>
      <c r="C207" s="527"/>
      <c r="D207" s="527"/>
      <c r="E207" s="527"/>
      <c r="F207" s="527"/>
      <c r="G207" s="527"/>
      <c r="H207" s="527"/>
      <c r="I207" s="527"/>
      <c r="J207" s="527"/>
      <c r="K207" s="527"/>
      <c r="L207" s="527"/>
      <c r="M207" s="527"/>
      <c r="N207" s="527"/>
      <c r="O207" s="527"/>
      <c r="P207" s="527"/>
      <c r="Q207" s="527"/>
      <c r="R207" s="527"/>
      <c r="S207" s="527"/>
      <c r="T207" s="527"/>
      <c r="U207" s="527"/>
      <c r="V207" s="527"/>
      <c r="W207" s="527"/>
      <c r="X207" s="527"/>
    </row>
    <row r="208" spans="1:24" ht="15.75" customHeight="1">
      <c r="A208" s="63"/>
      <c r="D208" s="197" t="s">
        <v>139</v>
      </c>
      <c r="E208" s="197" t="s">
        <v>37</v>
      </c>
      <c r="F208" s="197" t="s">
        <v>140</v>
      </c>
      <c r="G208" s="197" t="s">
        <v>48</v>
      </c>
      <c r="H208" s="197" t="s">
        <v>141</v>
      </c>
      <c r="I208" s="197" t="s">
        <v>58</v>
      </c>
      <c r="J208" s="197" t="s">
        <v>61</v>
      </c>
      <c r="K208" s="197" t="s">
        <v>63</v>
      </c>
      <c r="L208" s="197" t="s">
        <v>65</v>
      </c>
      <c r="M208" s="197" t="s">
        <v>67</v>
      </c>
      <c r="N208" s="197" t="s">
        <v>69</v>
      </c>
      <c r="O208" s="197" t="s">
        <v>145</v>
      </c>
      <c r="P208" s="197" t="s">
        <v>73</v>
      </c>
      <c r="Q208" s="197" t="s">
        <v>75</v>
      </c>
      <c r="R208" s="197" t="s">
        <v>146</v>
      </c>
      <c r="S208" s="197" t="s">
        <v>83</v>
      </c>
      <c r="T208" s="197" t="s">
        <v>85</v>
      </c>
      <c r="U208" s="197" t="s">
        <v>88</v>
      </c>
      <c r="V208" s="197" t="s">
        <v>147</v>
      </c>
      <c r="W208" s="63"/>
    </row>
    <row r="209" spans="1:23" ht="15.75" customHeight="1">
      <c r="A209" s="63"/>
      <c r="B209" s="524" t="s">
        <v>742</v>
      </c>
      <c r="C209" s="197" t="s">
        <v>139</v>
      </c>
      <c r="D209">
        <v>1.3184573310604559E-2</v>
      </c>
      <c r="E209">
        <v>3.7937147361503047E-2</v>
      </c>
      <c r="F209">
        <v>5.296085339919876E-3</v>
      </c>
      <c r="G209">
        <v>6.5897463880296769E-2</v>
      </c>
      <c r="H209">
        <v>6.0458655980584933E-2</v>
      </c>
      <c r="I209">
        <v>0.36814183802370998</v>
      </c>
      <c r="J209">
        <v>8.3275834513355754E-2</v>
      </c>
      <c r="K209">
        <v>2.605793660167935E-3</v>
      </c>
      <c r="L209">
        <v>1.2722109304174389E-2</v>
      </c>
      <c r="M209">
        <v>9.9441710438626131E-3</v>
      </c>
      <c r="N209">
        <v>-1.067402623252941E-2</v>
      </c>
      <c r="O209">
        <v>1.09252132458494E-3</v>
      </c>
      <c r="P209">
        <v>1.873422904290949E-2</v>
      </c>
      <c r="Q209">
        <v>1.6110503424027919E-2</v>
      </c>
      <c r="R209">
        <v>3.0089761041148549E-2</v>
      </c>
      <c r="S209">
        <v>-1.311075212259109E-2</v>
      </c>
      <c r="T209">
        <v>1.373300606538925E-2</v>
      </c>
      <c r="U209">
        <v>2.277227544578788E-2</v>
      </c>
      <c r="W209" s="63"/>
    </row>
    <row r="210" spans="1:23" ht="15.75" customHeight="1">
      <c r="A210" s="63"/>
      <c r="B210" s="524"/>
      <c r="C210" s="197" t="s">
        <v>37</v>
      </c>
      <c r="D210">
        <v>-2.864696653731107E-2</v>
      </c>
      <c r="E210">
        <v>-0.1151613853568457</v>
      </c>
      <c r="F210">
        <v>3.8005979250872461E-3</v>
      </c>
      <c r="G210">
        <v>5.1452942111221089E-2</v>
      </c>
      <c r="H210">
        <v>3.0730513297423032E-2</v>
      </c>
      <c r="I210">
        <v>-2.025257688004365E-2</v>
      </c>
      <c r="J210">
        <v>-0.1220170459303614</v>
      </c>
      <c r="K210">
        <v>-1.7120389218525291E-2</v>
      </c>
      <c r="L210">
        <v>-2.5435173655169251E-2</v>
      </c>
      <c r="M210">
        <v>-8.5258713581932891E-2</v>
      </c>
      <c r="N210">
        <v>-4.0447938146924628E-2</v>
      </c>
      <c r="O210">
        <v>-6.4613664281796435E-2</v>
      </c>
      <c r="P210">
        <v>-4.4416792158765948E-2</v>
      </c>
      <c r="Q210">
        <v>-4.02609990116327E-2</v>
      </c>
      <c r="R210">
        <v>2.0815649036616372E-2</v>
      </c>
      <c r="S210">
        <v>-4.0840683381164637E-2</v>
      </c>
      <c r="T210">
        <v>-6.8047942134712769E-2</v>
      </c>
      <c r="U210">
        <v>-2.5063499379075149E-2</v>
      </c>
      <c r="W210" s="63"/>
    </row>
    <row r="211" spans="1:23" ht="15.75" customHeight="1">
      <c r="A211" s="63"/>
      <c r="B211" s="524"/>
      <c r="C211" s="197" t="s">
        <v>140</v>
      </c>
      <c r="D211">
        <v>1.6524677401844511E-2</v>
      </c>
      <c r="E211">
        <v>5.4919650535444793E-2</v>
      </c>
      <c r="F211">
        <v>2.079682309192557E-2</v>
      </c>
      <c r="G211">
        <v>4.5763693204138922E-2</v>
      </c>
      <c r="H211">
        <v>4.1696728368571662E-2</v>
      </c>
      <c r="I211">
        <v>5.502972415317009E-2</v>
      </c>
      <c r="J211">
        <v>3.336009251576446E-2</v>
      </c>
      <c r="K211">
        <v>2.086509582678045E-2</v>
      </c>
      <c r="L211">
        <v>2.1495434878496179E-2</v>
      </c>
      <c r="M211">
        <v>2.3231293205792251E-2</v>
      </c>
      <c r="N211">
        <v>1.6601641117117542E-2</v>
      </c>
      <c r="O211">
        <v>1.192696489438198E-2</v>
      </c>
      <c r="P211">
        <v>2.3308030500436151E-2</v>
      </c>
      <c r="Q211">
        <v>1.6865180864077081E-2</v>
      </c>
      <c r="R211">
        <v>4.9415188088497597E-2</v>
      </c>
      <c r="S211">
        <v>2.6510735825272452E-2</v>
      </c>
      <c r="T211">
        <v>3.8382049525397657E-2</v>
      </c>
      <c r="U211">
        <v>5.0243647617701358E-2</v>
      </c>
      <c r="W211" s="63"/>
    </row>
    <row r="212" spans="1:23" ht="15.75" customHeight="1">
      <c r="A212" s="63"/>
      <c r="B212" s="524"/>
      <c r="C212" s="197" t="s">
        <v>48</v>
      </c>
      <c r="D212">
        <v>-1.882915000051266E-3</v>
      </c>
      <c r="E212">
        <v>7.28276253402661E-2</v>
      </c>
      <c r="F212">
        <v>2.2497162298971969E-3</v>
      </c>
      <c r="G212">
        <v>9.994058256171795E-2</v>
      </c>
      <c r="H212">
        <v>9.3453470043219355E-3</v>
      </c>
      <c r="I212">
        <v>7.1697263131360418E-3</v>
      </c>
      <c r="J212">
        <v>-5.4128061684611407E-2</v>
      </c>
      <c r="K212">
        <v>6.4609805481418937E-3</v>
      </c>
      <c r="L212">
        <v>-3.900470699860326E-3</v>
      </c>
      <c r="M212">
        <v>-1.974294283445342E-3</v>
      </c>
      <c r="N212">
        <v>1.007267648876666E-2</v>
      </c>
      <c r="O212">
        <v>-8.5711322395058964E-3</v>
      </c>
      <c r="P212">
        <v>5.4304352827223793E-3</v>
      </c>
      <c r="Q212">
        <v>1.234138925986987E-2</v>
      </c>
      <c r="R212">
        <v>3.7197884619156768E-2</v>
      </c>
      <c r="S212">
        <v>1.2012343496237371E-2</v>
      </c>
      <c r="T212">
        <v>9.6106950763847898E-3</v>
      </c>
      <c r="U212">
        <v>2.1148694874818189E-2</v>
      </c>
      <c r="W212" s="63"/>
    </row>
    <row r="213" spans="1:23" ht="15.75" customHeight="1">
      <c r="A213" s="63"/>
      <c r="B213" s="524"/>
      <c r="C213" s="197" t="s">
        <v>141</v>
      </c>
      <c r="D213">
        <v>-4.9344022102257877E-2</v>
      </c>
      <c r="E213">
        <v>5.1736213432385769E-2</v>
      </c>
      <c r="F213">
        <v>3.2636774131755711E-2</v>
      </c>
      <c r="G213">
        <v>0.11803946714532509</v>
      </c>
      <c r="H213">
        <v>4.8605802003884771E-2</v>
      </c>
      <c r="I213">
        <v>6.4646983768307201E-2</v>
      </c>
      <c r="J213">
        <v>4.6196763908673631E-2</v>
      </c>
      <c r="K213">
        <v>3.288449302135462E-2</v>
      </c>
      <c r="L213">
        <v>4.7138474656236919E-2</v>
      </c>
      <c r="M213">
        <v>3.2024085244579212E-2</v>
      </c>
      <c r="N213">
        <v>3.8071349219983251E-2</v>
      </c>
      <c r="O213">
        <v>2.4336009126197249E-2</v>
      </c>
      <c r="P213">
        <v>5.0785914413476983E-2</v>
      </c>
      <c r="Q213">
        <v>4.7101438174464522E-2</v>
      </c>
      <c r="R213">
        <v>3.4183255814486023E-2</v>
      </c>
      <c r="S213">
        <v>6.7088369587698704E-2</v>
      </c>
      <c r="T213">
        <v>2.4982870937834759E-2</v>
      </c>
      <c r="U213">
        <v>4.274259225972362E-2</v>
      </c>
      <c r="W213" s="63"/>
    </row>
    <row r="214" spans="1:23" ht="15.75" customHeight="1">
      <c r="A214" s="63"/>
      <c r="B214" s="524"/>
      <c r="C214" s="197" t="s">
        <v>58</v>
      </c>
      <c r="D214">
        <v>9.6465293953777558E-3</v>
      </c>
      <c r="E214">
        <v>7.1262606928956584E-2</v>
      </c>
      <c r="F214">
        <v>2.1766906732409729E-2</v>
      </c>
      <c r="G214">
        <v>0.14168042665010641</v>
      </c>
      <c r="H214">
        <v>2.4538824891150501E-2</v>
      </c>
      <c r="I214">
        <v>7.5170080089947702E-2</v>
      </c>
      <c r="J214">
        <v>-4.7140906262752398E-3</v>
      </c>
      <c r="K214">
        <v>3.1427904706875592E-2</v>
      </c>
      <c r="L214">
        <v>2.3724091901722939E-2</v>
      </c>
      <c r="M214">
        <v>1.775511987635657E-2</v>
      </c>
      <c r="N214">
        <v>2.8672025469547099E-2</v>
      </c>
      <c r="O214">
        <v>8.5177449648654226E-3</v>
      </c>
      <c r="P214">
        <v>1.940733094380211E-2</v>
      </c>
      <c r="Q214">
        <v>-2.0836385219640259E-3</v>
      </c>
      <c r="R214">
        <v>5.8588466237296848E-2</v>
      </c>
      <c r="S214">
        <v>6.1646333414613487E-2</v>
      </c>
      <c r="T214">
        <v>2.032687267342528E-2</v>
      </c>
      <c r="U214">
        <v>2.162260347273795E-2</v>
      </c>
      <c r="W214" s="63"/>
    </row>
    <row r="215" spans="1:23" ht="15.75" customHeight="1">
      <c r="A215" s="63"/>
      <c r="B215" s="524"/>
      <c r="C215" s="197" t="s">
        <v>61</v>
      </c>
      <c r="D215">
        <v>2.1367026513914311E-2</v>
      </c>
      <c r="E215">
        <v>6.0082633863514652E-2</v>
      </c>
      <c r="F215">
        <v>2.7721757245897899E-2</v>
      </c>
      <c r="G215">
        <v>7.9765497458675116E-2</v>
      </c>
      <c r="H215">
        <v>3.5845221403053372E-2</v>
      </c>
      <c r="I215">
        <v>4.701709871381865E-2</v>
      </c>
      <c r="J215">
        <v>2.800288168241398E-2</v>
      </c>
      <c r="K215">
        <v>1.148613185227134E-2</v>
      </c>
      <c r="L215">
        <v>1.2191528707738059E-2</v>
      </c>
      <c r="M215">
        <v>7.5211709256306006E-3</v>
      </c>
      <c r="N215">
        <v>6.633625394747082E-3</v>
      </c>
      <c r="O215">
        <v>9.7993976089122171E-3</v>
      </c>
      <c r="P215">
        <v>2.0885453320890961E-2</v>
      </c>
      <c r="Q215">
        <v>3.2983481615826343E-2</v>
      </c>
      <c r="R215">
        <v>4.94357283015519E-2</v>
      </c>
      <c r="S215">
        <v>-1.315710375535091E-3</v>
      </c>
      <c r="T215">
        <v>3.2694921101699623E-2</v>
      </c>
      <c r="U215">
        <v>2.4967987911658079E-2</v>
      </c>
      <c r="W215" s="63"/>
    </row>
    <row r="216" spans="1:23" ht="15.75" customHeight="1">
      <c r="A216" s="63"/>
      <c r="B216" s="524"/>
      <c r="C216" s="197" t="s">
        <v>63</v>
      </c>
      <c r="D216">
        <v>1.255433878713645E-2</v>
      </c>
      <c r="E216">
        <v>0.19646542868506009</v>
      </c>
      <c r="F216">
        <v>2.4813868462275721E-2</v>
      </c>
      <c r="G216">
        <v>0.1116090915769464</v>
      </c>
      <c r="H216">
        <v>3.4582294704899139E-2</v>
      </c>
      <c r="I216">
        <v>0.1335999499631588</v>
      </c>
      <c r="J216">
        <v>3.0009150932599701E-2</v>
      </c>
      <c r="K216">
        <v>2.996546952898416E-2</v>
      </c>
      <c r="L216">
        <v>2.9082599755823949E-2</v>
      </c>
      <c r="M216">
        <v>2.7784153595843221E-2</v>
      </c>
      <c r="N216">
        <v>3.2619095157369792E-2</v>
      </c>
      <c r="O216">
        <v>1.584337937809013E-2</v>
      </c>
      <c r="P216">
        <v>3.2784183933372048E-2</v>
      </c>
      <c r="Q216">
        <v>1.0963607260665311E-2</v>
      </c>
      <c r="R216">
        <v>6.0319136206344562E-2</v>
      </c>
      <c r="S216">
        <v>5.6128676385171612E-2</v>
      </c>
      <c r="T216">
        <v>4.3304519535803228E-2</v>
      </c>
      <c r="U216">
        <v>3.7753205873902358E-2</v>
      </c>
      <c r="W216" s="63"/>
    </row>
    <row r="217" spans="1:23" ht="15.75" customHeight="1">
      <c r="A217" s="63"/>
      <c r="B217" s="524"/>
      <c r="C217" s="197" t="s">
        <v>65</v>
      </c>
      <c r="D217">
        <v>1.668514451064498E-2</v>
      </c>
      <c r="E217">
        <v>4.1906557929912047E-2</v>
      </c>
      <c r="F217">
        <v>1.5795013842654641E-2</v>
      </c>
      <c r="G217">
        <v>9.9690606721855562E-2</v>
      </c>
      <c r="H217">
        <v>3.4671944129605767E-2</v>
      </c>
      <c r="I217">
        <v>5.4932986782916908E-2</v>
      </c>
      <c r="J217">
        <v>1.899373248109865E-2</v>
      </c>
      <c r="K217">
        <v>2.090848103406993E-2</v>
      </c>
      <c r="L217">
        <v>2.0562905792901251E-2</v>
      </c>
      <c r="M217">
        <v>2.0866233107987062E-2</v>
      </c>
      <c r="N217">
        <v>1.4231606576527779E-2</v>
      </c>
      <c r="O217">
        <v>1.2365774133104921E-2</v>
      </c>
      <c r="P217">
        <v>2.491510940784001E-2</v>
      </c>
      <c r="Q217">
        <v>2.199186744217238E-2</v>
      </c>
      <c r="R217">
        <v>4.5612031622932127E-2</v>
      </c>
      <c r="S217">
        <v>2.8600170325106419E-2</v>
      </c>
      <c r="T217">
        <v>3.8466925948796013E-2</v>
      </c>
      <c r="U217">
        <v>3.3268340429774973E-2</v>
      </c>
      <c r="W217" s="63"/>
    </row>
    <row r="218" spans="1:23" ht="15.75" customHeight="1">
      <c r="A218" s="63"/>
      <c r="B218" s="524"/>
      <c r="C218" s="197" t="s">
        <v>67</v>
      </c>
      <c r="D218">
        <v>1.0855452566228149E-2</v>
      </c>
      <c r="E218">
        <v>7.9529539666056248E-2</v>
      </c>
      <c r="F218">
        <v>2.093829170006788E-2</v>
      </c>
      <c r="G218">
        <v>0.10621543179795211</v>
      </c>
      <c r="H218">
        <v>4.660213073574361E-2</v>
      </c>
      <c r="I218">
        <v>8.7921114992647209E-2</v>
      </c>
      <c r="J218">
        <v>1.9872328901875271E-2</v>
      </c>
      <c r="K218">
        <v>2.3293409857066721E-2</v>
      </c>
      <c r="L218">
        <v>1.7008012483345141E-2</v>
      </c>
      <c r="M218">
        <v>3.2112509900485017E-2</v>
      </c>
      <c r="N218">
        <v>1.73255526746048E-2</v>
      </c>
      <c r="O218">
        <v>1.4350964891224159E-2</v>
      </c>
      <c r="P218">
        <v>6.4899514159111552E-3</v>
      </c>
      <c r="Q218">
        <v>2.9865107597235462E-3</v>
      </c>
      <c r="R218">
        <v>3.9914662513826533E-2</v>
      </c>
      <c r="S218">
        <v>4.5402524065667173E-2</v>
      </c>
      <c r="T218">
        <v>2.6276138958288269E-2</v>
      </c>
      <c r="U218">
        <v>2.3067796993857762E-2</v>
      </c>
      <c r="W218" s="63"/>
    </row>
    <row r="219" spans="1:23" ht="15.75" customHeight="1">
      <c r="A219" s="63"/>
      <c r="B219" s="524"/>
      <c r="C219" s="197" t="s">
        <v>69</v>
      </c>
      <c r="D219">
        <v>6.3392188108206014E-3</v>
      </c>
      <c r="E219">
        <v>5.6181063203860071E-2</v>
      </c>
      <c r="F219">
        <v>1.478939662097808E-2</v>
      </c>
      <c r="G219">
        <v>0.1079653101164499</v>
      </c>
      <c r="H219">
        <v>4.1425282759624628E-2</v>
      </c>
      <c r="I219">
        <v>6.3814172904889221E-2</v>
      </c>
      <c r="J219">
        <v>4.2791590866430661E-2</v>
      </c>
      <c r="K219">
        <v>2.0601840135366829E-2</v>
      </c>
      <c r="L219">
        <v>1.957661134083255E-2</v>
      </c>
      <c r="M219">
        <v>2.5207420261586719E-2</v>
      </c>
      <c r="N219">
        <v>1.8068754821165229E-2</v>
      </c>
      <c r="O219">
        <v>1.531963961413212E-2</v>
      </c>
      <c r="P219">
        <v>2.940349773385673E-2</v>
      </c>
      <c r="Q219">
        <v>4.5167247412394959E-2</v>
      </c>
      <c r="R219">
        <v>4.5115631210046907E-2</v>
      </c>
      <c r="S219">
        <v>2.8826310466500599E-2</v>
      </c>
      <c r="T219">
        <v>3.8873460716709697E-2</v>
      </c>
      <c r="U219">
        <v>3.0086706685206421E-2</v>
      </c>
      <c r="W219" s="63"/>
    </row>
    <row r="220" spans="1:23" ht="15.75" customHeight="1">
      <c r="A220" s="63"/>
      <c r="B220" s="524"/>
      <c r="C220" s="197" t="s">
        <v>145</v>
      </c>
      <c r="D220">
        <v>2.081486440017899E-2</v>
      </c>
      <c r="E220">
        <v>6.3187248597393997E-2</v>
      </c>
      <c r="F220">
        <v>2.771739577080767E-2</v>
      </c>
      <c r="G220">
        <v>0.1129431182256255</v>
      </c>
      <c r="H220">
        <v>4.898638127062277E-2</v>
      </c>
      <c r="I220">
        <v>8.4947661663790239E-2</v>
      </c>
      <c r="J220">
        <v>5.7376399507283272E-2</v>
      </c>
      <c r="K220">
        <v>3.7607253524943131E-2</v>
      </c>
      <c r="L220">
        <v>4.5631222748139882E-2</v>
      </c>
      <c r="M220">
        <v>3.8386669305648713E-2</v>
      </c>
      <c r="N220">
        <v>3.8817627334617168E-2</v>
      </c>
      <c r="O220">
        <v>2.811435059384015E-2</v>
      </c>
      <c r="P220">
        <v>5.4571455163554293E-2</v>
      </c>
      <c r="Q220">
        <v>3.6095153274303099E-2</v>
      </c>
      <c r="R220">
        <v>7.5430402008960631E-2</v>
      </c>
      <c r="S220">
        <v>6.1471612147682229E-2</v>
      </c>
      <c r="T220">
        <v>6.1338167218678463E-2</v>
      </c>
      <c r="U220">
        <v>3.7381999392645811E-2</v>
      </c>
      <c r="W220" s="63"/>
    </row>
    <row r="221" spans="1:23" ht="15.75" customHeight="1">
      <c r="A221" s="63"/>
      <c r="B221" s="524"/>
      <c r="C221" s="197" t="s">
        <v>73</v>
      </c>
      <c r="D221">
        <v>1.5168679806999409E-2</v>
      </c>
      <c r="E221">
        <v>9.1280100617733284E-2</v>
      </c>
      <c r="F221">
        <v>2.4269434259916751E-2</v>
      </c>
      <c r="G221">
        <v>0.1184094604961234</v>
      </c>
      <c r="H221">
        <v>4.9542481293222487E-2</v>
      </c>
      <c r="I221">
        <v>6.7971072057527129E-2</v>
      </c>
      <c r="J221">
        <v>2.778752763258396E-2</v>
      </c>
      <c r="K221">
        <v>3.3372169948124357E-2</v>
      </c>
      <c r="L221">
        <v>2.5472077277205608E-2</v>
      </c>
      <c r="M221">
        <v>4.7440313213273279E-2</v>
      </c>
      <c r="N221">
        <v>3.410297427557598E-2</v>
      </c>
      <c r="O221">
        <v>2.3869082274895391E-2</v>
      </c>
      <c r="P221">
        <v>3.6394986425510131E-2</v>
      </c>
      <c r="Q221">
        <v>3.1399367472112319E-2</v>
      </c>
      <c r="R221">
        <v>3.881396883434006E-2</v>
      </c>
      <c r="S221">
        <v>3.1263137185982469E-2</v>
      </c>
      <c r="T221">
        <v>3.3814424035236948E-2</v>
      </c>
      <c r="U221">
        <v>3.7682577955022938E-2</v>
      </c>
      <c r="W221" s="63"/>
    </row>
    <row r="222" spans="1:23" ht="15.75" customHeight="1">
      <c r="A222" s="63"/>
      <c r="B222" s="524"/>
      <c r="C222" s="197" t="s">
        <v>75</v>
      </c>
      <c r="D222">
        <v>5.7787348969507879E-2</v>
      </c>
      <c r="E222">
        <v>5.9671322518441539E-2</v>
      </c>
      <c r="F222">
        <v>2.1941340840202939E-2</v>
      </c>
      <c r="G222">
        <v>0.100931150450145</v>
      </c>
      <c r="H222">
        <v>5.1020307699373907E-2</v>
      </c>
      <c r="I222">
        <v>8.7082477273294059E-2</v>
      </c>
      <c r="J222">
        <v>3.8721735964177939E-2</v>
      </c>
      <c r="K222">
        <v>2.659628162846937E-2</v>
      </c>
      <c r="L222">
        <v>2.8207634742783649E-2</v>
      </c>
      <c r="M222">
        <v>2.5276365543718281E-2</v>
      </c>
      <c r="N222">
        <v>2.964034245971784E-2</v>
      </c>
      <c r="O222">
        <v>1.9376593350176E-2</v>
      </c>
      <c r="P222">
        <v>3.061450469101696E-2</v>
      </c>
      <c r="Q222">
        <v>2.2968794343673379E-2</v>
      </c>
      <c r="R222">
        <v>6.4559733976514863E-2</v>
      </c>
      <c r="S222">
        <v>4.3253563326825867E-2</v>
      </c>
      <c r="T222">
        <v>4.8306798383188812E-2</v>
      </c>
      <c r="U222">
        <v>4.0036891965759241E-2</v>
      </c>
      <c r="W222" s="63"/>
    </row>
    <row r="223" spans="1:23" ht="15.75" customHeight="1">
      <c r="A223" s="63"/>
      <c r="B223" s="524"/>
      <c r="C223" s="197" t="s">
        <v>146</v>
      </c>
      <c r="D223">
        <v>2.5520270803268859E-2</v>
      </c>
      <c r="E223">
        <v>6.8791159635322785E-2</v>
      </c>
      <c r="F223">
        <v>1.498022030439761E-2</v>
      </c>
      <c r="G223">
        <v>9.0233294400210995E-2</v>
      </c>
      <c r="H223">
        <v>3.104611265212576E-2</v>
      </c>
      <c r="I223">
        <v>9.5448504599647488E-2</v>
      </c>
      <c r="J223">
        <v>3.2774251317090768E-2</v>
      </c>
      <c r="K223">
        <v>1.9081394144379971E-2</v>
      </c>
      <c r="L223">
        <v>2.091348900246243E-2</v>
      </c>
      <c r="M223">
        <v>2.5149501693631261E-2</v>
      </c>
      <c r="N223">
        <v>2.1963374591253339E-2</v>
      </c>
      <c r="O223">
        <v>9.9734548664111647E-3</v>
      </c>
      <c r="P223">
        <v>2.712735162386009E-2</v>
      </c>
      <c r="Q223">
        <v>1.2330625902238121E-2</v>
      </c>
      <c r="R223">
        <v>4.3604889598704337E-2</v>
      </c>
      <c r="S223">
        <v>4.2852686251281143E-2</v>
      </c>
      <c r="T223">
        <v>3.8683951178622417E-2</v>
      </c>
      <c r="U223">
        <v>2.3018790867031031E-2</v>
      </c>
      <c r="W223" s="63"/>
    </row>
    <row r="224" spans="1:23" ht="15.75" customHeight="1">
      <c r="A224" s="63"/>
      <c r="B224" s="524"/>
      <c r="C224" s="197" t="s">
        <v>83</v>
      </c>
      <c r="D224">
        <v>-1.851368853329385E-2</v>
      </c>
      <c r="E224">
        <v>0.57004720657472652</v>
      </c>
      <c r="F224">
        <v>-8.8841503558563795E-3</v>
      </c>
      <c r="G224">
        <v>7.6879055227497217E-2</v>
      </c>
      <c r="H224">
        <v>2.0228018297295831E-2</v>
      </c>
      <c r="I224">
        <v>0.1969901255492969</v>
      </c>
      <c r="J224">
        <v>5.4208560063349898E-2</v>
      </c>
      <c r="K224">
        <v>-3.1161684718201819E-2</v>
      </c>
      <c r="L224">
        <v>-2.09506270366175E-2</v>
      </c>
      <c r="M224">
        <v>3.7089449249920431E-3</v>
      </c>
      <c r="N224">
        <v>-1.010395428250967E-2</v>
      </c>
      <c r="O224">
        <v>-2.890816670271283E-3</v>
      </c>
      <c r="P224">
        <v>-9.7804438968455594E-3</v>
      </c>
      <c r="Q224">
        <v>-2.1107482100564401E-2</v>
      </c>
      <c r="R224">
        <v>1.7173715529622709E-2</v>
      </c>
      <c r="S224">
        <v>-8.0555465619473656E-3</v>
      </c>
      <c r="T224">
        <v>1.7319790371356319E-2</v>
      </c>
      <c r="U224">
        <v>7.9107603102910942E-3</v>
      </c>
      <c r="W224" s="63"/>
    </row>
    <row r="225" spans="1:23" ht="15.75" customHeight="1">
      <c r="A225" s="63"/>
      <c r="B225" s="524"/>
      <c r="C225" s="197" t="s">
        <v>85</v>
      </c>
      <c r="D225">
        <v>0.10711292568867201</v>
      </c>
      <c r="E225">
        <v>3.105030610249726E-2</v>
      </c>
      <c r="F225">
        <v>-3.7737624161150729E-4</v>
      </c>
      <c r="G225">
        <v>7.6791196352572755E-2</v>
      </c>
      <c r="H225">
        <v>3.2823620984230313E-2</v>
      </c>
      <c r="I225">
        <v>4.8507888708356567E-2</v>
      </c>
      <c r="J225">
        <v>3.1602685010314512E-2</v>
      </c>
      <c r="K225">
        <v>-1.145340700177752E-3</v>
      </c>
      <c r="L225">
        <v>6.3919359848152446E-4</v>
      </c>
      <c r="M225">
        <v>9.7135200099140694E-3</v>
      </c>
      <c r="N225">
        <v>2.3456377155019269E-2</v>
      </c>
      <c r="O225">
        <v>-3.7482194181801421E-3</v>
      </c>
      <c r="P225">
        <v>3.497709558467088E-3</v>
      </c>
      <c r="Q225">
        <v>2.2351268333973828E-3</v>
      </c>
      <c r="R225">
        <v>3.0261864229603089E-2</v>
      </c>
      <c r="S225">
        <v>5.3532859253827925E-4</v>
      </c>
      <c r="T225">
        <v>2.9657166513778161E-2</v>
      </c>
      <c r="U225">
        <v>1.527423279665392E-2</v>
      </c>
      <c r="W225" s="63"/>
    </row>
    <row r="226" spans="1:23" ht="15.75" customHeight="1">
      <c r="A226" s="63"/>
      <c r="B226" s="524"/>
      <c r="C226" s="197" t="s">
        <v>88</v>
      </c>
      <c r="D226">
        <v>1.01674588074619E-2</v>
      </c>
      <c r="E226">
        <v>5.8925520877042281E-2</v>
      </c>
      <c r="F226">
        <v>1.5789216561808959E-2</v>
      </c>
      <c r="G226">
        <v>0.1080425722849894</v>
      </c>
      <c r="H226">
        <v>4.2823696181408057E-2</v>
      </c>
      <c r="I226">
        <v>6.1132972562808183E-2</v>
      </c>
      <c r="J226">
        <v>4.1947993140341998E-2</v>
      </c>
      <c r="K226">
        <v>1.8677432578898309E-2</v>
      </c>
      <c r="L226">
        <v>1.9765009087922818E-2</v>
      </c>
      <c r="M226">
        <v>3.3186408333734797E-2</v>
      </c>
      <c r="N226">
        <v>1.745339345848124E-2</v>
      </c>
      <c r="O226">
        <v>1.5454788019917089E-2</v>
      </c>
      <c r="P226">
        <v>1.9899991937899441E-2</v>
      </c>
      <c r="Q226">
        <v>1.896160685488377E-2</v>
      </c>
      <c r="R226">
        <v>4.886172050061556E-2</v>
      </c>
      <c r="S226">
        <v>2.625219202600719E-2</v>
      </c>
      <c r="T226">
        <v>3.7837554732052497E-2</v>
      </c>
      <c r="U226">
        <v>3.751333731604059E-2</v>
      </c>
      <c r="W226" s="63"/>
    </row>
    <row r="227" spans="1:23" ht="15.75" customHeight="1">
      <c r="A227" s="63"/>
      <c r="B227" s="524"/>
      <c r="C227" s="197" t="s">
        <v>147</v>
      </c>
      <c r="D227">
        <v>9.240418599422591E-2</v>
      </c>
      <c r="E227">
        <v>0.41884833639968272</v>
      </c>
      <c r="F227">
        <v>-2.6567236067538441E-2</v>
      </c>
      <c r="G227">
        <v>0.18916447606852721</v>
      </c>
      <c r="H227">
        <v>0.1913114302891126</v>
      </c>
      <c r="I227">
        <v>0.87117873141781832</v>
      </c>
      <c r="J227">
        <v>6.8398150740538899E-2</v>
      </c>
      <c r="K227">
        <v>4.1157442588121373E-2</v>
      </c>
      <c r="L227">
        <v>-2.7570359839301228E-3</v>
      </c>
      <c r="M227">
        <v>9.450369901828351E-2</v>
      </c>
      <c r="N227">
        <v>1.0550149733172901E-2</v>
      </c>
      <c r="O227">
        <v>6.4438767707706499E-2</v>
      </c>
      <c r="P227">
        <v>-2.671154230005102E-3</v>
      </c>
      <c r="Q227">
        <v>9.7367643494625761E-2</v>
      </c>
      <c r="R227">
        <v>4.4965223010734788E-3</v>
      </c>
      <c r="S227">
        <v>-6.64259714415949E-3</v>
      </c>
      <c r="T227">
        <v>-6.6642823594872617E-3</v>
      </c>
      <c r="U227">
        <v>-4.507939524916308E-2</v>
      </c>
      <c r="W227" s="63"/>
    </row>
    <row r="228" spans="1:23" ht="15.75" customHeight="1">
      <c r="A228" s="63"/>
      <c r="B228" s="524" t="s">
        <v>743</v>
      </c>
      <c r="C228" s="197" t="s">
        <v>139</v>
      </c>
      <c r="D228">
        <v>-1.0358685670638801E-2</v>
      </c>
      <c r="E228">
        <v>3.7937147361503047E-2</v>
      </c>
      <c r="F228">
        <v>-4.1401263168498459E-3</v>
      </c>
      <c r="G228">
        <v>6.5022129512415594E-2</v>
      </c>
      <c r="H228">
        <v>7.2979807150031828E-2</v>
      </c>
      <c r="I228">
        <v>5.4055320936647E-2</v>
      </c>
      <c r="J228">
        <v>4.3345452553848363E-2</v>
      </c>
      <c r="K228">
        <v>-6.1482514885322637E-3</v>
      </c>
      <c r="L228">
        <v>-4.6489553358103342E-3</v>
      </c>
      <c r="M228">
        <v>1.6440599623372298E-2</v>
      </c>
      <c r="N228">
        <v>-7.9621819704159824E-3</v>
      </c>
      <c r="O228">
        <v>-9.7184762642472666E-3</v>
      </c>
      <c r="P228">
        <v>1.078872857844293E-2</v>
      </c>
      <c r="Q228">
        <v>1.046409052454567E-2</v>
      </c>
      <c r="R228">
        <v>3.5950496467913373E-2</v>
      </c>
      <c r="S228">
        <v>5.1906025040799886E-3</v>
      </c>
      <c r="T228">
        <v>1.1596329044647471E-3</v>
      </c>
      <c r="U228">
        <v>2.0197594419118611E-2</v>
      </c>
      <c r="W228" s="63"/>
    </row>
    <row r="229" spans="1:23" ht="15.75" customHeight="1">
      <c r="A229" s="63"/>
      <c r="B229" s="524"/>
      <c r="C229" s="197" t="s">
        <v>37</v>
      </c>
      <c r="D229">
        <v>-5.8456726876341292E-2</v>
      </c>
      <c r="E229">
        <v>-0.1151613853568457</v>
      </c>
      <c r="F229">
        <v>-1.2294314456899489E-2</v>
      </c>
      <c r="G229">
        <v>4.8842511095399048E-2</v>
      </c>
      <c r="H229">
        <v>3.2009908008593053E-2</v>
      </c>
      <c r="I229">
        <v>1.2848294786489861E-2</v>
      </c>
      <c r="J229">
        <v>-4.2411910850933821E-2</v>
      </c>
      <c r="K229">
        <v>-3.189764055411981E-2</v>
      </c>
      <c r="L229">
        <v>-3.1198345173074179E-2</v>
      </c>
      <c r="M229">
        <v>-8.7831657161550614E-2</v>
      </c>
      <c r="N229">
        <v>-5.3161775626364149E-2</v>
      </c>
      <c r="O229">
        <v>-7.7079668474505314E-2</v>
      </c>
      <c r="P229">
        <v>-1.9116130026566199E-2</v>
      </c>
      <c r="Q229">
        <v>-4.2562158587156777E-2</v>
      </c>
      <c r="R229">
        <v>8.4093798603974701E-3</v>
      </c>
      <c r="S229">
        <v>-3.2327809594652653E-2</v>
      </c>
      <c r="T229">
        <v>-3.3011956439798713E-2</v>
      </c>
      <c r="U229">
        <v>-3.8889487906275111E-2</v>
      </c>
      <c r="W229" s="63"/>
    </row>
    <row r="230" spans="1:23" ht="15.75" customHeight="1">
      <c r="A230" s="63"/>
      <c r="B230" s="524"/>
      <c r="C230" s="197" t="s">
        <v>140</v>
      </c>
      <c r="D230">
        <v>1.796253074447729E-2</v>
      </c>
      <c r="E230">
        <v>5.4919650535444793E-2</v>
      </c>
      <c r="F230">
        <v>1.1847884105992801E-2</v>
      </c>
      <c r="G230">
        <v>3.6983471193178463E-2</v>
      </c>
      <c r="H230">
        <v>2.0124223717699171E-2</v>
      </c>
      <c r="I230">
        <v>4.8026960247124828E-2</v>
      </c>
      <c r="J230">
        <v>1.8577611121754271E-2</v>
      </c>
      <c r="K230">
        <v>1.6244008127725751E-2</v>
      </c>
      <c r="L230">
        <v>1.7825531288317431E-2</v>
      </c>
      <c r="M230">
        <v>2.2433183249701779E-2</v>
      </c>
      <c r="N230">
        <v>1.0445788401090891E-2</v>
      </c>
      <c r="O230">
        <v>1.101393253610672E-2</v>
      </c>
      <c r="P230">
        <v>2.1939259956341939E-2</v>
      </c>
      <c r="Q230">
        <v>1.838297720990489E-2</v>
      </c>
      <c r="R230">
        <v>3.6995937733440787E-2</v>
      </c>
      <c r="S230">
        <v>3.9025096106272139E-2</v>
      </c>
      <c r="T230">
        <v>4.2236845492239723E-2</v>
      </c>
      <c r="U230">
        <v>4.7959726166442167E-2</v>
      </c>
      <c r="W230" s="63"/>
    </row>
    <row r="231" spans="1:23" ht="15.75" customHeight="1">
      <c r="A231" s="63"/>
      <c r="B231" s="524"/>
      <c r="C231" s="197" t="s">
        <v>48</v>
      </c>
      <c r="D231">
        <v>7.0234155211168492E-4</v>
      </c>
      <c r="E231">
        <v>7.28276253402661E-2</v>
      </c>
      <c r="F231">
        <v>1.8350017506189139E-2</v>
      </c>
      <c r="G231">
        <v>9.686270543043185E-2</v>
      </c>
      <c r="H231">
        <v>4.7882492058612058E-2</v>
      </c>
      <c r="I231">
        <v>2.1486139138241381E-2</v>
      </c>
      <c r="J231">
        <v>-1.354731607213111E-3</v>
      </c>
      <c r="K231">
        <v>4.4263167727471853E-3</v>
      </c>
      <c r="L231">
        <v>-2.5350492542226539E-3</v>
      </c>
      <c r="M231">
        <v>-1.1609417342810621E-2</v>
      </c>
      <c r="N231">
        <v>1.641833817125871E-2</v>
      </c>
      <c r="O231">
        <v>-1.2993919814118571E-2</v>
      </c>
      <c r="P231">
        <v>8.1531538716155261E-3</v>
      </c>
      <c r="Q231">
        <v>1.032839793930029E-2</v>
      </c>
      <c r="R231">
        <v>3.5682975193144013E-2</v>
      </c>
      <c r="S231">
        <v>1.2566355415417171E-2</v>
      </c>
      <c r="T231">
        <v>4.5988917610260138E-3</v>
      </c>
      <c r="U231">
        <v>9.3339626421742317E-3</v>
      </c>
      <c r="W231" s="63"/>
    </row>
    <row r="232" spans="1:23" ht="15.75" customHeight="1">
      <c r="A232" s="63"/>
      <c r="B232" s="524"/>
      <c r="C232" s="197" t="s">
        <v>141</v>
      </c>
      <c r="D232">
        <v>-1.775591171668478E-2</v>
      </c>
      <c r="E232">
        <v>5.1736213432385769E-2</v>
      </c>
      <c r="F232">
        <v>1.1727613396648519E-2</v>
      </c>
      <c r="G232">
        <v>0.13839885738959051</v>
      </c>
      <c r="H232">
        <v>1.7442393873916658E-2</v>
      </c>
      <c r="I232">
        <v>5.6185253049097938E-2</v>
      </c>
      <c r="J232">
        <v>4.5201518015613902E-2</v>
      </c>
      <c r="K232">
        <v>2.1587495684521011E-2</v>
      </c>
      <c r="L232">
        <v>3.8085094045820611E-2</v>
      </c>
      <c r="M232">
        <v>3.4059106996237272E-2</v>
      </c>
      <c r="N232">
        <v>3.3498356297577143E-2</v>
      </c>
      <c r="O232">
        <v>-6.9878888301357911E-3</v>
      </c>
      <c r="P232">
        <v>5.5395478199885773E-2</v>
      </c>
      <c r="Q232">
        <v>4.0613977984888423E-2</v>
      </c>
      <c r="R232">
        <v>2.6808997825545019E-2</v>
      </c>
      <c r="S232">
        <v>3.8065620868150678E-2</v>
      </c>
      <c r="T232">
        <v>1.6115454752319239E-2</v>
      </c>
      <c r="U232">
        <v>3.8260254974816998E-2</v>
      </c>
      <c r="W232" s="63"/>
    </row>
    <row r="233" spans="1:23" ht="15.75" customHeight="1">
      <c r="A233" s="63"/>
      <c r="B233" s="524"/>
      <c r="C233" s="197" t="s">
        <v>58</v>
      </c>
      <c r="D233">
        <v>1.0104485259073931E-2</v>
      </c>
      <c r="E233">
        <v>7.1262606928956584E-2</v>
      </c>
      <c r="F233">
        <v>2.7029043849097208E-2</v>
      </c>
      <c r="G233">
        <v>0.13569010340446569</v>
      </c>
      <c r="H233">
        <v>4.0097386064444913E-2</v>
      </c>
      <c r="I233">
        <v>7.5194540117673125E-2</v>
      </c>
      <c r="J233">
        <v>3.597983752944844E-3</v>
      </c>
      <c r="K233">
        <v>4.2996867956757168E-2</v>
      </c>
      <c r="L233">
        <v>1.4102175993667251E-2</v>
      </c>
      <c r="M233">
        <v>2.9355711975636911E-2</v>
      </c>
      <c r="N233">
        <v>2.6715883007183971E-2</v>
      </c>
      <c r="O233">
        <v>1.0626363365918051E-2</v>
      </c>
      <c r="P233">
        <v>2.4404146469457769E-2</v>
      </c>
      <c r="Q233">
        <v>3.8329622445546501E-3</v>
      </c>
      <c r="R233">
        <v>3.2415401055978732E-2</v>
      </c>
      <c r="S233">
        <v>7.1726239085481147E-2</v>
      </c>
      <c r="T233">
        <v>2.2345759742706139E-2</v>
      </c>
      <c r="U233">
        <v>4.7282603086793662E-2</v>
      </c>
      <c r="W233" s="63"/>
    </row>
    <row r="234" spans="1:23" ht="15.75" customHeight="1">
      <c r="A234" s="63"/>
      <c r="B234" s="524"/>
      <c r="C234" s="197" t="s">
        <v>61</v>
      </c>
      <c r="D234">
        <v>1.5750658192280609E-2</v>
      </c>
      <c r="E234">
        <v>6.0082633863514652E-2</v>
      </c>
      <c r="F234">
        <v>3.7955046429193673E-2</v>
      </c>
      <c r="G234">
        <v>0.1021858264399574</v>
      </c>
      <c r="H234">
        <v>4.2395924242952132E-2</v>
      </c>
      <c r="I234">
        <v>4.6311714526746983E-2</v>
      </c>
      <c r="J234">
        <v>1.3033058100093029E-2</v>
      </c>
      <c r="K234">
        <v>5.152288227063373E-3</v>
      </c>
      <c r="L234">
        <v>1.0252674485516139E-2</v>
      </c>
      <c r="M234">
        <v>7.6918974409581056E-3</v>
      </c>
      <c r="N234">
        <v>2.2723269350257151E-3</v>
      </c>
      <c r="O234">
        <v>1.440560263247348E-2</v>
      </c>
      <c r="P234">
        <v>7.066944162911204E-3</v>
      </c>
      <c r="Q234">
        <v>2.0583258872771241E-2</v>
      </c>
      <c r="R234">
        <v>3.0003940234649251E-2</v>
      </c>
      <c r="S234">
        <v>-4.6454769215048541E-3</v>
      </c>
      <c r="T234">
        <v>6.2586998032724717E-2</v>
      </c>
      <c r="U234">
        <v>2.549398820177062E-2</v>
      </c>
      <c r="W234" s="63"/>
    </row>
    <row r="235" spans="1:23" ht="15.75" customHeight="1">
      <c r="A235" s="63"/>
      <c r="B235" s="524"/>
      <c r="C235" s="197" t="s">
        <v>63</v>
      </c>
      <c r="D235">
        <v>1.8527326483328999E-2</v>
      </c>
      <c r="E235">
        <v>0.19646542868506009</v>
      </c>
      <c r="F235">
        <v>3.1742922565316863E-2</v>
      </c>
      <c r="G235">
        <v>0.1206776620629761</v>
      </c>
      <c r="H235">
        <v>2.298857754880701E-2</v>
      </c>
      <c r="I235">
        <v>6.0516080376408772E-2</v>
      </c>
      <c r="J235">
        <v>1.676335680864538E-2</v>
      </c>
      <c r="K235">
        <v>3.1701475488770559E-2</v>
      </c>
      <c r="L235">
        <v>1.9879936400696518E-2</v>
      </c>
      <c r="M235">
        <v>1.505489460777487E-2</v>
      </c>
      <c r="N235">
        <v>2.0286605054649739E-2</v>
      </c>
      <c r="O235">
        <v>1.9028743446599661E-2</v>
      </c>
      <c r="P235">
        <v>1.9194127531989569E-2</v>
      </c>
      <c r="Q235">
        <v>1.0904104085572301E-2</v>
      </c>
      <c r="R235">
        <v>4.1644688243804628E-2</v>
      </c>
      <c r="S235">
        <v>7.4192739315343648E-2</v>
      </c>
      <c r="T235">
        <v>3.1566271282940088E-2</v>
      </c>
      <c r="U235">
        <v>3.9559389713674793E-2</v>
      </c>
      <c r="W235" s="63"/>
    </row>
    <row r="236" spans="1:23" ht="15.75" customHeight="1">
      <c r="A236" s="63"/>
      <c r="B236" s="524"/>
      <c r="C236" s="197" t="s">
        <v>65</v>
      </c>
      <c r="D236">
        <v>1.689139662044159E-2</v>
      </c>
      <c r="E236">
        <v>4.1906557929912047E-2</v>
      </c>
      <c r="F236">
        <v>1.6581094662182719E-2</v>
      </c>
      <c r="G236">
        <v>0.13101275185371361</v>
      </c>
      <c r="H236">
        <v>1.0874911003056041E-2</v>
      </c>
      <c r="I236">
        <v>6.8958706824569393E-2</v>
      </c>
      <c r="J236">
        <v>1.6383697647290418E-2</v>
      </c>
      <c r="K236">
        <v>1.8125406134801288E-2</v>
      </c>
      <c r="L236">
        <v>2.053809576354693E-2</v>
      </c>
      <c r="M236">
        <v>1.6014695757819771E-2</v>
      </c>
      <c r="N236">
        <v>1.190094011489384E-2</v>
      </c>
      <c r="O236">
        <v>1.5906458106137219E-2</v>
      </c>
      <c r="P236">
        <v>1.848576582970618E-2</v>
      </c>
      <c r="Q236">
        <v>2.007765056603739E-2</v>
      </c>
      <c r="R236">
        <v>3.8267628216698928E-2</v>
      </c>
      <c r="S236">
        <v>3.8873553693328011E-2</v>
      </c>
      <c r="T236">
        <v>2.68676491926787E-2</v>
      </c>
      <c r="U236">
        <v>3.0104257164202949E-2</v>
      </c>
      <c r="W236" s="63"/>
    </row>
    <row r="237" spans="1:23" ht="15.75" customHeight="1">
      <c r="A237" s="63"/>
      <c r="B237" s="524"/>
      <c r="C237" s="197" t="s">
        <v>67</v>
      </c>
      <c r="D237">
        <v>3.6569930422416519E-3</v>
      </c>
      <c r="E237">
        <v>7.9529539666056248E-2</v>
      </c>
      <c r="F237">
        <v>2.0010839616844581E-2</v>
      </c>
      <c r="G237">
        <v>0.17347967600343209</v>
      </c>
      <c r="H237">
        <v>5.1292437810747098E-2</v>
      </c>
      <c r="I237">
        <v>7.4080009734616592E-2</v>
      </c>
      <c r="J237">
        <v>6.6208665965400426E-3</v>
      </c>
      <c r="K237">
        <v>9.3090845756387264E-3</v>
      </c>
      <c r="L237">
        <v>1.8598820727122271E-2</v>
      </c>
      <c r="M237">
        <v>2.8272441609826782E-2</v>
      </c>
      <c r="N237">
        <v>1.204402611676225E-2</v>
      </c>
      <c r="O237">
        <v>1.6531965361848752E-2</v>
      </c>
      <c r="P237">
        <v>6.4743301741856376E-3</v>
      </c>
      <c r="Q237">
        <v>1.990666558656096E-2</v>
      </c>
      <c r="R237">
        <v>4.0291394691704292E-2</v>
      </c>
      <c r="S237">
        <v>6.2935913130580667E-2</v>
      </c>
      <c r="T237">
        <v>3.0806500647077909E-2</v>
      </c>
      <c r="U237">
        <v>2.4059425222324519E-2</v>
      </c>
      <c r="W237" s="63"/>
    </row>
    <row r="238" spans="1:23" ht="15.75" customHeight="1">
      <c r="A238" s="63"/>
      <c r="B238" s="524"/>
      <c r="C238" s="197" t="s">
        <v>69</v>
      </c>
      <c r="D238">
        <v>7.4864763913822241E-3</v>
      </c>
      <c r="E238">
        <v>5.6181063203860071E-2</v>
      </c>
      <c r="F238">
        <v>7.7711857194616707E-3</v>
      </c>
      <c r="G238">
        <v>0.11367460584477319</v>
      </c>
      <c r="H238">
        <v>2.6713793095842209E-2</v>
      </c>
      <c r="I238">
        <v>6.4925649795409046E-2</v>
      </c>
      <c r="J238">
        <v>2.0257136256294331E-2</v>
      </c>
      <c r="K238">
        <v>2.1786817468314679E-2</v>
      </c>
      <c r="L238">
        <v>1.8151762119893888E-2</v>
      </c>
      <c r="M238">
        <v>2.6928264776108879E-2</v>
      </c>
      <c r="N238">
        <v>1.6785786611513531E-2</v>
      </c>
      <c r="O238">
        <v>1.127461303565158E-2</v>
      </c>
      <c r="P238">
        <v>2.7021890365056089E-2</v>
      </c>
      <c r="Q238">
        <v>4.5464050319994453E-2</v>
      </c>
      <c r="R238">
        <v>3.1983059605483311E-2</v>
      </c>
      <c r="S238">
        <v>4.4872908505139142E-2</v>
      </c>
      <c r="T238">
        <v>1.6946301943721039E-2</v>
      </c>
      <c r="U238">
        <v>3.7878035541889073E-2</v>
      </c>
      <c r="W238" s="63"/>
    </row>
    <row r="239" spans="1:23" ht="15.75" customHeight="1">
      <c r="A239" s="63"/>
      <c r="B239" s="524"/>
      <c r="C239" s="197" t="s">
        <v>145</v>
      </c>
      <c r="D239">
        <v>2.2336607774600111E-2</v>
      </c>
      <c r="E239">
        <v>6.3187248597393997E-2</v>
      </c>
      <c r="F239">
        <v>2.6135738297476511E-2</v>
      </c>
      <c r="G239">
        <v>0.1261171929050989</v>
      </c>
      <c r="H239">
        <v>3.9306182236895422E-2</v>
      </c>
      <c r="I239">
        <v>5.6773816261494359E-2</v>
      </c>
      <c r="J239">
        <v>3.9369330921623542E-2</v>
      </c>
      <c r="K239">
        <v>3.7396260576869837E-2</v>
      </c>
      <c r="L239">
        <v>4.0747451791995348E-2</v>
      </c>
      <c r="M239">
        <v>2.017574864017568E-2</v>
      </c>
      <c r="N239">
        <v>1.5657455554098251E-2</v>
      </c>
      <c r="O239">
        <v>2.161721980323628E-2</v>
      </c>
      <c r="P239">
        <v>4.6534622402675467E-2</v>
      </c>
      <c r="Q239">
        <v>3.1368660811362907E-2</v>
      </c>
      <c r="R239">
        <v>4.8842890676251693E-2</v>
      </c>
      <c r="S239">
        <v>3.4278892599172162E-2</v>
      </c>
      <c r="T239">
        <v>7.1931760091287877E-2</v>
      </c>
      <c r="U239">
        <v>3.162310535296764E-2</v>
      </c>
      <c r="W239" s="63"/>
    </row>
    <row r="240" spans="1:23" ht="15.75" customHeight="1">
      <c r="A240" s="63"/>
      <c r="B240" s="524"/>
      <c r="C240" s="197" t="s">
        <v>73</v>
      </c>
      <c r="D240">
        <v>2.2187732521994571E-2</v>
      </c>
      <c r="E240">
        <v>9.1280100617733284E-2</v>
      </c>
      <c r="F240">
        <v>1.9684160390173618E-2</v>
      </c>
      <c r="G240">
        <v>0.1272041411054193</v>
      </c>
      <c r="H240">
        <v>4.6014998821253823E-2</v>
      </c>
      <c r="I240">
        <v>8.4705972395246687E-2</v>
      </c>
      <c r="J240">
        <v>2.9962990697588791E-2</v>
      </c>
      <c r="K240">
        <v>3.7824892826944678E-2</v>
      </c>
      <c r="L240">
        <v>2.8062342293629468E-2</v>
      </c>
      <c r="M240">
        <v>4.5400572723696131E-2</v>
      </c>
      <c r="N240">
        <v>5.0599423401323167E-2</v>
      </c>
      <c r="O240">
        <v>2.1867256819406711E-2</v>
      </c>
      <c r="P240">
        <v>4.0405139706384492E-2</v>
      </c>
      <c r="Q240">
        <v>3.4473225102467531E-2</v>
      </c>
      <c r="R240">
        <v>4.4637685936228737E-2</v>
      </c>
      <c r="S240">
        <v>3.3864124888271167E-2</v>
      </c>
      <c r="T240">
        <v>1.1559642403979891E-3</v>
      </c>
      <c r="U240">
        <v>4.8730098496935208E-2</v>
      </c>
      <c r="W240" s="63"/>
    </row>
    <row r="241" spans="1:23" ht="15.75" customHeight="1">
      <c r="A241" s="63"/>
      <c r="B241" s="524"/>
      <c r="C241" s="197" t="s">
        <v>75</v>
      </c>
      <c r="D241">
        <v>4.101115277947498E-2</v>
      </c>
      <c r="E241">
        <v>5.9671322518441539E-2</v>
      </c>
      <c r="F241">
        <v>2.5804803519382639E-2</v>
      </c>
      <c r="G241">
        <v>9.3569387628433254E-2</v>
      </c>
      <c r="H241">
        <v>3.573909614594839E-2</v>
      </c>
      <c r="I241">
        <v>7.3199564933918548E-2</v>
      </c>
      <c r="J241">
        <v>1.161540699553376E-2</v>
      </c>
      <c r="K241">
        <v>2.2596768898914151E-2</v>
      </c>
      <c r="L241">
        <v>2.1415770354242251E-2</v>
      </c>
      <c r="M241">
        <v>2.9321321213054311E-2</v>
      </c>
      <c r="N241">
        <v>1.9961982910824069E-2</v>
      </c>
      <c r="O241">
        <v>2.1906774069885952E-2</v>
      </c>
      <c r="P241">
        <v>1.997412190216652E-2</v>
      </c>
      <c r="Q241">
        <v>3.2877695619635487E-2</v>
      </c>
      <c r="R241">
        <v>5.6602923449644349E-2</v>
      </c>
      <c r="S241">
        <v>6.3098121419248088E-2</v>
      </c>
      <c r="T241">
        <v>5.626825230760879E-2</v>
      </c>
      <c r="U241">
        <v>4.1546594090495097E-2</v>
      </c>
      <c r="W241" s="63"/>
    </row>
    <row r="242" spans="1:23" ht="15.75" customHeight="1">
      <c r="A242" s="63"/>
      <c r="B242" s="524"/>
      <c r="C242" s="197" t="s">
        <v>146</v>
      </c>
      <c r="D242">
        <v>1.9522444122355601E-2</v>
      </c>
      <c r="E242">
        <v>6.8791159635322785E-2</v>
      </c>
      <c r="F242">
        <v>1.2214196874185009E-2</v>
      </c>
      <c r="G242">
        <v>8.7273365754621635E-2</v>
      </c>
      <c r="H242">
        <v>1.8187752042233881E-2</v>
      </c>
      <c r="I242">
        <v>5.1455573302089608E-2</v>
      </c>
      <c r="J242">
        <v>1.8862265853228029E-2</v>
      </c>
      <c r="K242">
        <v>1.5298911408763379E-2</v>
      </c>
      <c r="L242">
        <v>1.9302549915152459E-2</v>
      </c>
      <c r="M242">
        <v>1.647935000383138E-2</v>
      </c>
      <c r="N242">
        <v>9.5817021046811224E-3</v>
      </c>
      <c r="O242">
        <v>1.2057308229764139E-2</v>
      </c>
      <c r="P242">
        <v>2.068628338565115E-2</v>
      </c>
      <c r="Q242">
        <v>2.0733666095308471E-2</v>
      </c>
      <c r="R242">
        <v>2.033256297965846E-2</v>
      </c>
      <c r="S242">
        <v>5.5814070391146053E-2</v>
      </c>
      <c r="T242">
        <v>2.2606100778001629E-2</v>
      </c>
      <c r="U242">
        <v>2.5060075110745039E-2</v>
      </c>
      <c r="W242" s="63"/>
    </row>
    <row r="243" spans="1:23" ht="15.75" customHeight="1">
      <c r="A243" s="63"/>
      <c r="B243" s="524"/>
      <c r="C243" s="197" t="s">
        <v>83</v>
      </c>
      <c r="D243">
        <v>-3.9034893897645473E-2</v>
      </c>
      <c r="E243">
        <v>0.57004720657472652</v>
      </c>
      <c r="F243">
        <v>-2.5884672378232438E-3</v>
      </c>
      <c r="G243">
        <v>9.9614634744280006E-2</v>
      </c>
      <c r="H243">
        <v>5.8845760257423274E-3</v>
      </c>
      <c r="I243">
        <v>2.0154054853749881E-3</v>
      </c>
      <c r="J243">
        <v>7.5570997587747435E-2</v>
      </c>
      <c r="K243">
        <v>-2.2716514463664409E-2</v>
      </c>
      <c r="L243">
        <v>-2.8934867143354189E-2</v>
      </c>
      <c r="M243">
        <v>-1.365964313450618E-2</v>
      </c>
      <c r="N243">
        <v>-1.8471770044483801E-2</v>
      </c>
      <c r="O243">
        <v>-1.96937450986302E-2</v>
      </c>
      <c r="P243">
        <v>-2.7514737800564459E-2</v>
      </c>
      <c r="Q243">
        <v>-2.1433684955933899E-2</v>
      </c>
      <c r="R243">
        <v>-9.2335969671677454E-3</v>
      </c>
      <c r="S243">
        <v>-3.6881812960251281E-2</v>
      </c>
      <c r="T243">
        <v>3.0116565637795079E-2</v>
      </c>
      <c r="U243">
        <v>8.5818008967719628E-4</v>
      </c>
      <c r="W243" s="63"/>
    </row>
    <row r="244" spans="1:23" ht="15.75" customHeight="1">
      <c r="A244" s="63"/>
      <c r="B244" s="524"/>
      <c r="C244" s="197" t="s">
        <v>85</v>
      </c>
      <c r="D244">
        <v>-2.2273365695512082E-3</v>
      </c>
      <c r="E244">
        <v>3.105030610249726E-2</v>
      </c>
      <c r="F244">
        <v>2.6257080573934282E-3</v>
      </c>
      <c r="G244">
        <v>7.4837653050978559E-2</v>
      </c>
      <c r="H244">
        <v>2.2123970347430629E-2</v>
      </c>
      <c r="I244">
        <v>4.4520205013598317E-2</v>
      </c>
      <c r="J244">
        <v>-1.1973423808483989E-3</v>
      </c>
      <c r="K244">
        <v>5.9074424658822622E-4</v>
      </c>
      <c r="L244">
        <v>2.2237089642906942E-3</v>
      </c>
      <c r="M244">
        <v>-4.8711286960813061E-3</v>
      </c>
      <c r="N244">
        <v>2.119142195485035E-2</v>
      </c>
      <c r="O244">
        <v>4.4847842454716069E-3</v>
      </c>
      <c r="P244">
        <v>-1.932078518520286E-3</v>
      </c>
      <c r="Q244">
        <v>4.9898446746275971E-3</v>
      </c>
      <c r="R244">
        <v>-5.1646313934855534E-3</v>
      </c>
      <c r="S244">
        <v>2.0348674280512569E-3</v>
      </c>
      <c r="T244">
        <v>4.6183524394880722E-2</v>
      </c>
      <c r="U244">
        <v>1.3723557366371431E-2</v>
      </c>
      <c r="W244" s="63"/>
    </row>
    <row r="245" spans="1:23" ht="15.75" customHeight="1">
      <c r="A245" s="63"/>
      <c r="B245" s="524"/>
      <c r="C245" s="197" t="s">
        <v>88</v>
      </c>
      <c r="D245">
        <v>5.2244897133792989E-3</v>
      </c>
      <c r="E245">
        <v>5.8925520877042281E-2</v>
      </c>
      <c r="F245">
        <v>1.62116386918385E-2</v>
      </c>
      <c r="G245">
        <v>9.9895398488170861E-2</v>
      </c>
      <c r="H245">
        <v>3.8999123965033022E-2</v>
      </c>
      <c r="I245">
        <v>5.6060817570022459E-2</v>
      </c>
      <c r="J245">
        <v>7.388880166783629E-3</v>
      </c>
      <c r="K245">
        <v>1.9449220746205809E-2</v>
      </c>
      <c r="L245">
        <v>1.928112894417067E-2</v>
      </c>
      <c r="M245">
        <v>4.0468578590097337E-2</v>
      </c>
      <c r="N245">
        <v>1.7941777447185499E-2</v>
      </c>
      <c r="O245">
        <v>1.8111385857090271E-2</v>
      </c>
      <c r="P245">
        <v>2.930005263028845E-2</v>
      </c>
      <c r="Q245">
        <v>1.5664243203043941E-2</v>
      </c>
      <c r="R245">
        <v>2.006484185016344E-2</v>
      </c>
      <c r="S245">
        <v>3.0831476181961252E-2</v>
      </c>
      <c r="T245">
        <v>3.9650052976451411E-2</v>
      </c>
      <c r="U245">
        <v>4.2468644008959673E-2</v>
      </c>
      <c r="W245" s="63"/>
    </row>
    <row r="246" spans="1:23" ht="15.75" customHeight="1">
      <c r="A246" s="63"/>
      <c r="B246" s="524"/>
      <c r="C246" s="197" t="s">
        <v>147</v>
      </c>
      <c r="D246">
        <v>1.483767007814607E-2</v>
      </c>
      <c r="E246">
        <v>0.41884833639968272</v>
      </c>
      <c r="F246">
        <v>-2.8087937972387012E-2</v>
      </c>
      <c r="G246">
        <v>0.1825510695091431</v>
      </c>
      <c r="H246">
        <v>-2.4762316107008742E-2</v>
      </c>
      <c r="I246">
        <v>2.7926357555286111E-2</v>
      </c>
      <c r="J246">
        <v>7.9633870941764329E-4</v>
      </c>
      <c r="K246">
        <v>3.0140149740353062E-2</v>
      </c>
      <c r="L246">
        <v>-1.036754077553159E-2</v>
      </c>
      <c r="M246">
        <v>-2.213846111324469E-2</v>
      </c>
      <c r="N246">
        <v>1.216536051340644E-3</v>
      </c>
      <c r="O246">
        <v>1.623609354919564E-3</v>
      </c>
      <c r="P246">
        <v>1.7059491277659818E-2</v>
      </c>
      <c r="Q246">
        <v>5.4687385299604707E-2</v>
      </c>
      <c r="R246">
        <v>-1.1617332911993411E-2</v>
      </c>
      <c r="S246">
        <v>2.386265378315677E-2</v>
      </c>
      <c r="T246">
        <v>-5.2189036279734147E-2</v>
      </c>
      <c r="U246">
        <v>-3.4856311603726382E-2</v>
      </c>
      <c r="W246" s="63"/>
    </row>
    <row r="247" spans="1:23" ht="15.75" customHeight="1">
      <c r="A247" s="63"/>
      <c r="B247" s="524" t="s">
        <v>744</v>
      </c>
      <c r="C247" s="197" t="s">
        <v>139</v>
      </c>
      <c r="D247">
        <v>4.9781821999060949E-2</v>
      </c>
      <c r="E247">
        <v>9.8423542857656712E-2</v>
      </c>
      <c r="F247">
        <v>3.5696473722504778E-2</v>
      </c>
      <c r="G247">
        <v>5.2806971577766398E-2</v>
      </c>
      <c r="H247">
        <v>7.2774111882402501E-2</v>
      </c>
      <c r="I247">
        <v>0.79030329329581339</v>
      </c>
      <c r="J247">
        <v>0.15038680604055821</v>
      </c>
      <c r="K247">
        <v>4.5700116296459932E-2</v>
      </c>
      <c r="L247">
        <v>4.6286585864052827E-2</v>
      </c>
      <c r="M247">
        <v>3.7440689838868252E-2</v>
      </c>
      <c r="N247">
        <v>2.6142753839200821E-2</v>
      </c>
      <c r="O247">
        <v>3.7464788722906227E-2</v>
      </c>
      <c r="P247">
        <v>2.858273035443859E-2</v>
      </c>
      <c r="Q247">
        <v>4.4335156660063553E-2</v>
      </c>
      <c r="R247">
        <v>7.4606743435179118E-2</v>
      </c>
      <c r="S247">
        <v>5.1630827514487457E-2</v>
      </c>
      <c r="T247">
        <v>4.5592150687066783E-2</v>
      </c>
      <c r="U247">
        <v>4.4709310065624973E-2</v>
      </c>
      <c r="W247" s="63"/>
    </row>
    <row r="248" spans="1:23" ht="15.75" customHeight="1">
      <c r="A248" s="63"/>
      <c r="B248" s="524"/>
      <c r="C248" s="197" t="s">
        <v>37</v>
      </c>
      <c r="D248">
        <v>7.3434674064416089E-2</v>
      </c>
      <c r="E248">
        <v>0.13273948731183621</v>
      </c>
      <c r="F248">
        <v>4.5258996982226192E-2</v>
      </c>
      <c r="G248">
        <v>3.4689550641403027E-2</v>
      </c>
      <c r="H248">
        <v>0.1164232363691752</v>
      </c>
      <c r="I248">
        <v>0.1045616706001426</v>
      </c>
      <c r="J248">
        <v>0.18174680965087059</v>
      </c>
      <c r="K248">
        <v>4.3986817660828202E-2</v>
      </c>
      <c r="L248">
        <v>3.296880182958014E-2</v>
      </c>
      <c r="M248">
        <v>9.7042590449164426E-2</v>
      </c>
      <c r="N248">
        <v>7.8457460504198759E-2</v>
      </c>
      <c r="O248">
        <v>9.9571106871993234E-2</v>
      </c>
      <c r="P248">
        <v>6.6582985962203453E-2</v>
      </c>
      <c r="Q248">
        <v>0.10050808408526191</v>
      </c>
      <c r="R248">
        <v>0.1108957613549411</v>
      </c>
      <c r="S248">
        <v>7.0071659498798997E-2</v>
      </c>
      <c r="T248">
        <v>8.2027940334299748E-2</v>
      </c>
      <c r="U248">
        <v>8.9395337811481165E-2</v>
      </c>
      <c r="W248" s="63"/>
    </row>
    <row r="249" spans="1:23" ht="15.75" customHeight="1">
      <c r="A249" s="63"/>
      <c r="B249" s="524"/>
      <c r="C249" s="197" t="s">
        <v>140</v>
      </c>
      <c r="D249">
        <v>4.5334512679104473E-3</v>
      </c>
      <c r="E249">
        <v>1.9718229050467141E-2</v>
      </c>
      <c r="F249">
        <v>1.7920439066698449E-2</v>
      </c>
      <c r="G249">
        <v>3.6226124065255813E-2</v>
      </c>
      <c r="H249">
        <v>5.6826462786789357E-2</v>
      </c>
      <c r="I249">
        <v>4.7150111069826188E-2</v>
      </c>
      <c r="J249">
        <v>4.2746807530630183E-2</v>
      </c>
      <c r="K249">
        <v>1.242750565799682E-2</v>
      </c>
      <c r="L249">
        <v>1.484571726209015E-2</v>
      </c>
      <c r="M249">
        <v>6.353559189353093E-3</v>
      </c>
      <c r="N249">
        <v>2.1678286092886551E-2</v>
      </c>
      <c r="O249">
        <v>6.8348537588794724E-3</v>
      </c>
      <c r="P249">
        <v>9.2718066982002516E-3</v>
      </c>
      <c r="Q249">
        <v>2.2606069414005541E-2</v>
      </c>
      <c r="R249">
        <v>4.774707980397596E-2</v>
      </c>
      <c r="S249">
        <v>2.97950691484502E-2</v>
      </c>
      <c r="T249">
        <v>4.5810842162271728E-2</v>
      </c>
      <c r="U249">
        <v>3.619038351752691E-2</v>
      </c>
      <c r="W249" s="63"/>
    </row>
    <row r="250" spans="1:23" ht="15.75" customHeight="1">
      <c r="A250" s="63"/>
      <c r="B250" s="524"/>
      <c r="C250" s="197" t="s">
        <v>48</v>
      </c>
      <c r="D250">
        <v>1.966878576324841E-2</v>
      </c>
      <c r="E250">
        <v>2.0640725547130191E-2</v>
      </c>
      <c r="F250">
        <v>5.9205043262841428E-2</v>
      </c>
      <c r="G250">
        <v>7.5210986323715687E-2</v>
      </c>
      <c r="H250">
        <v>0.134778283010551</v>
      </c>
      <c r="I250">
        <v>9.0768045476487355E-2</v>
      </c>
      <c r="J250">
        <v>0.15043597956506211</v>
      </c>
      <c r="K250">
        <v>3.6123357883998931E-2</v>
      </c>
      <c r="L250">
        <v>2.2094137597663242E-2</v>
      </c>
      <c r="M250">
        <v>3.3005474518208122E-2</v>
      </c>
      <c r="N250">
        <v>3.0257665702726179E-2</v>
      </c>
      <c r="O250">
        <v>3.079898582373794E-2</v>
      </c>
      <c r="P250">
        <v>2.711903214761496E-2</v>
      </c>
      <c r="Q250">
        <v>3.6735023652415467E-2</v>
      </c>
      <c r="R250">
        <v>6.340684365040189E-2</v>
      </c>
      <c r="S250">
        <v>2.4348117800573599E-2</v>
      </c>
      <c r="T250">
        <v>5.3947381009081773E-2</v>
      </c>
      <c r="U250">
        <v>3.4286846136505907E-2</v>
      </c>
      <c r="W250" s="63"/>
    </row>
    <row r="251" spans="1:23" ht="15.75" customHeight="1">
      <c r="A251" s="63"/>
      <c r="B251" s="524"/>
      <c r="C251" s="197" t="s">
        <v>141</v>
      </c>
      <c r="D251">
        <v>0.15680576992919371</v>
      </c>
      <c r="E251">
        <v>1.1618133488653461E-2</v>
      </c>
      <c r="F251">
        <v>5.8755080132995997E-2</v>
      </c>
      <c r="G251">
        <v>7.0602624114121437E-2</v>
      </c>
      <c r="H251">
        <v>7.5995206474820567E-2</v>
      </c>
      <c r="I251">
        <v>5.4058710979535143E-2</v>
      </c>
      <c r="J251">
        <v>3.0305823298370661E-2</v>
      </c>
      <c r="K251">
        <v>4.3397184202343141E-2</v>
      </c>
      <c r="L251">
        <v>6.820118750810826E-2</v>
      </c>
      <c r="M251">
        <v>5.9184740047871838E-2</v>
      </c>
      <c r="N251">
        <v>5.1018812829790858E-2</v>
      </c>
      <c r="O251">
        <v>5.2342475947571063E-2</v>
      </c>
      <c r="P251">
        <v>4.0942682944440978E-2</v>
      </c>
      <c r="Q251">
        <v>6.0137127045476912E-2</v>
      </c>
      <c r="R251">
        <v>6.2923562514792322E-2</v>
      </c>
      <c r="S251">
        <v>5.1578509360450601E-2</v>
      </c>
      <c r="T251">
        <v>4.0008075608610999E-2</v>
      </c>
      <c r="U251">
        <v>4.9116874968843337E-2</v>
      </c>
      <c r="W251" s="63"/>
    </row>
    <row r="252" spans="1:23" ht="15.75" customHeight="1">
      <c r="A252" s="63"/>
      <c r="B252" s="524"/>
      <c r="C252" s="197" t="s">
        <v>58</v>
      </c>
      <c r="D252">
        <v>2.5005496000780079E-2</v>
      </c>
      <c r="E252">
        <v>1.7773024392265819E-2</v>
      </c>
      <c r="F252">
        <v>2.3181942617795531E-2</v>
      </c>
      <c r="G252">
        <v>4.3694263114755598E-2</v>
      </c>
      <c r="H252">
        <v>7.9566095144452065E-2</v>
      </c>
      <c r="I252">
        <v>4.2216853783268241E-2</v>
      </c>
      <c r="J252">
        <v>2.8923566655679349E-2</v>
      </c>
      <c r="K252">
        <v>2.895728018846324E-2</v>
      </c>
      <c r="L252">
        <v>3.3130032093362419E-2</v>
      </c>
      <c r="M252">
        <v>5.1943016829003867E-2</v>
      </c>
      <c r="N252">
        <v>5.3944578388069653E-2</v>
      </c>
      <c r="O252">
        <v>3.7282638843676469E-2</v>
      </c>
      <c r="P252">
        <v>1.964183975704252E-2</v>
      </c>
      <c r="Q252">
        <v>5.3908403947803558E-2</v>
      </c>
      <c r="R252">
        <v>4.7922595091023083E-2</v>
      </c>
      <c r="S252">
        <v>2.4664214154796991E-2</v>
      </c>
      <c r="T252">
        <v>3.7736236437890827E-2</v>
      </c>
      <c r="U252">
        <v>5.6447003011287203E-2</v>
      </c>
      <c r="W252" s="63"/>
    </row>
    <row r="253" spans="1:23" ht="15.75" customHeight="1">
      <c r="A253" s="63"/>
      <c r="B253" s="524"/>
      <c r="C253" s="197" t="s">
        <v>61</v>
      </c>
      <c r="D253">
        <v>1.871534081680494E-2</v>
      </c>
      <c r="E253">
        <v>5.2878213583024157E-2</v>
      </c>
      <c r="F253">
        <v>3.288948602266361E-2</v>
      </c>
      <c r="G253">
        <v>6.5217738085396257E-2</v>
      </c>
      <c r="H253">
        <v>5.4763879916848397E-2</v>
      </c>
      <c r="I253">
        <v>3.8980392253383823E-2</v>
      </c>
      <c r="J253">
        <v>3.4767263008132043E-2</v>
      </c>
      <c r="K253">
        <v>3.0733611580976459E-2</v>
      </c>
      <c r="L253">
        <v>3.094744476917656E-2</v>
      </c>
      <c r="M253">
        <v>1.3956858805025139E-2</v>
      </c>
      <c r="N253">
        <v>3.2433094111231693E-2</v>
      </c>
      <c r="O253">
        <v>2.6522220250367112E-2</v>
      </c>
      <c r="P253">
        <v>4.2646716861139272E-2</v>
      </c>
      <c r="Q253">
        <v>3.5245695989258523E-2</v>
      </c>
      <c r="R253">
        <v>8.0521929963589534E-2</v>
      </c>
      <c r="S253">
        <v>1.599840153727718E-2</v>
      </c>
      <c r="T253">
        <v>5.4591061585720059E-2</v>
      </c>
      <c r="U253">
        <v>2.717729596153335E-2</v>
      </c>
      <c r="W253" s="63"/>
    </row>
    <row r="254" spans="1:23" ht="15.75" customHeight="1">
      <c r="A254" s="63"/>
      <c r="B254" s="524"/>
      <c r="C254" s="197" t="s">
        <v>63</v>
      </c>
      <c r="D254">
        <v>2.850128929275993E-2</v>
      </c>
      <c r="E254">
        <v>0.17745388618769781</v>
      </c>
      <c r="F254">
        <v>1.6777037912614361E-2</v>
      </c>
      <c r="G254">
        <v>4.7116498500715608E-2</v>
      </c>
      <c r="H254">
        <v>5.3292667504374523E-2</v>
      </c>
      <c r="I254">
        <v>0.28018824039251039</v>
      </c>
      <c r="J254">
        <v>5.0405243945930357E-2</v>
      </c>
      <c r="K254">
        <v>1.442046039215711E-2</v>
      </c>
      <c r="L254">
        <v>1.9471487217400531E-2</v>
      </c>
      <c r="M254">
        <v>3.4201925217631941E-2</v>
      </c>
      <c r="N254">
        <v>4.6398401338851883E-2</v>
      </c>
      <c r="O254">
        <v>2.1548435286938051E-2</v>
      </c>
      <c r="P254">
        <v>3.1197846030958491E-2</v>
      </c>
      <c r="Q254">
        <v>2.3323840754902719E-2</v>
      </c>
      <c r="R254">
        <v>5.306631004702364E-2</v>
      </c>
      <c r="S254">
        <v>3.3747332268287522E-2</v>
      </c>
      <c r="T254">
        <v>2.7944318957694881E-2</v>
      </c>
      <c r="U254">
        <v>3.2702944033163997E-2</v>
      </c>
      <c r="W254" s="63"/>
    </row>
    <row r="255" spans="1:23" ht="15.75" customHeight="1">
      <c r="A255" s="63"/>
      <c r="B255" s="524"/>
      <c r="C255" s="197" t="s">
        <v>65</v>
      </c>
      <c r="D255">
        <v>1.7105728504902488E-2</v>
      </c>
      <c r="E255">
        <v>9.0536449019746369E-3</v>
      </c>
      <c r="F255">
        <v>1.6028116093219431E-2</v>
      </c>
      <c r="G255">
        <v>9.4447021086900895E-2</v>
      </c>
      <c r="H255">
        <v>5.4046733069279027E-2</v>
      </c>
      <c r="I255">
        <v>4.8115432288287588E-2</v>
      </c>
      <c r="J255">
        <v>2.118973953380782E-2</v>
      </c>
      <c r="K255">
        <v>1.078532392403822E-2</v>
      </c>
      <c r="L255">
        <v>1.0229500447866481E-2</v>
      </c>
      <c r="M255">
        <v>1.064887995889334E-2</v>
      </c>
      <c r="N255">
        <v>2.3098585278034128E-2</v>
      </c>
      <c r="O255">
        <v>1.2725741599909581E-2</v>
      </c>
      <c r="P255">
        <v>2.4234700097823761E-2</v>
      </c>
      <c r="Q255">
        <v>2.892186489772371E-2</v>
      </c>
      <c r="R255">
        <v>5.3442633134457261E-2</v>
      </c>
      <c r="S255">
        <v>2.830782235438364E-2</v>
      </c>
      <c r="T255">
        <v>3.9355080842782032E-2</v>
      </c>
      <c r="U255">
        <v>2.2899314456439151E-2</v>
      </c>
      <c r="W255" s="63"/>
    </row>
    <row r="256" spans="1:23" ht="15.75" customHeight="1">
      <c r="A256" s="63"/>
      <c r="B256" s="524"/>
      <c r="C256" s="197" t="s">
        <v>67</v>
      </c>
      <c r="D256">
        <v>2.1672289231875051E-2</v>
      </c>
      <c r="E256">
        <v>1.0225517102474799E-2</v>
      </c>
      <c r="F256">
        <v>2.0129612676359959E-2</v>
      </c>
      <c r="G256">
        <v>0.17216061398031299</v>
      </c>
      <c r="H256">
        <v>5.0083063323238967E-2</v>
      </c>
      <c r="I256">
        <v>4.6641366651123922E-2</v>
      </c>
      <c r="J256">
        <v>3.7806727741142278E-2</v>
      </c>
      <c r="K256">
        <v>2.6758085784975402E-2</v>
      </c>
      <c r="L256">
        <v>1.748386491560202E-2</v>
      </c>
      <c r="M256">
        <v>2.3674274345808131E-2</v>
      </c>
      <c r="N256">
        <v>4.3276336335620363E-2</v>
      </c>
      <c r="O256">
        <v>1.9254194160354818E-2</v>
      </c>
      <c r="P256">
        <v>4.3381510963309153E-2</v>
      </c>
      <c r="Q256">
        <v>6.2235926388102672E-2</v>
      </c>
      <c r="R256">
        <v>4.2144865386489969E-2</v>
      </c>
      <c r="S256">
        <v>3.7740272442242317E-2</v>
      </c>
      <c r="T256">
        <v>5.2782177884520762E-2</v>
      </c>
      <c r="U256">
        <v>4.7526419388361968E-2</v>
      </c>
      <c r="W256" s="63"/>
    </row>
    <row r="257" spans="1:24" ht="15.75" customHeight="1">
      <c r="A257" s="63"/>
      <c r="B257" s="524"/>
      <c r="C257" s="197" t="s">
        <v>69</v>
      </c>
      <c r="D257">
        <v>2.128923979771713E-2</v>
      </c>
      <c r="E257">
        <v>1.934749837758902E-2</v>
      </c>
      <c r="F257">
        <v>2.7665536863832201E-2</v>
      </c>
      <c r="G257">
        <v>4.0141433474708783E-2</v>
      </c>
      <c r="H257">
        <v>6.1512423046985523E-2</v>
      </c>
      <c r="I257">
        <v>2.2548534837891061E-2</v>
      </c>
      <c r="J257">
        <v>6.3621747202323067E-2</v>
      </c>
      <c r="K257">
        <v>8.0601580167098119E-3</v>
      </c>
      <c r="L257">
        <v>1.8510136358495761E-2</v>
      </c>
      <c r="M257">
        <v>5.8788688388457123E-3</v>
      </c>
      <c r="N257">
        <v>2.8160115905728662E-2</v>
      </c>
      <c r="O257">
        <v>1.477466563255986E-2</v>
      </c>
      <c r="P257">
        <v>2.415133266828225E-2</v>
      </c>
      <c r="Q257">
        <v>3.1022506412853069E-2</v>
      </c>
      <c r="R257">
        <v>4.8445831237827371E-2</v>
      </c>
      <c r="S257">
        <v>2.916613958336578E-2</v>
      </c>
      <c r="T257">
        <v>4.3989335897061423E-2</v>
      </c>
      <c r="U257">
        <v>2.796338446301434E-2</v>
      </c>
      <c r="W257" s="63"/>
    </row>
    <row r="258" spans="1:24" ht="15.75" customHeight="1">
      <c r="A258" s="63"/>
      <c r="B258" s="524"/>
      <c r="C258" s="197" t="s">
        <v>145</v>
      </c>
      <c r="D258">
        <v>3.1197190390310409E-2</v>
      </c>
      <c r="E258">
        <v>8.5726119396739853E-3</v>
      </c>
      <c r="F258">
        <v>3.4678947726834303E-2</v>
      </c>
      <c r="G258">
        <v>5.3210295931040832E-2</v>
      </c>
      <c r="H258">
        <v>5.0108184973399507E-2</v>
      </c>
      <c r="I258">
        <v>6.4521148521627783E-2</v>
      </c>
      <c r="J258">
        <v>6.6976258991836415E-2</v>
      </c>
      <c r="K258">
        <v>3.212003114618335E-2</v>
      </c>
      <c r="L258">
        <v>3.8578624367058292E-2</v>
      </c>
      <c r="M258">
        <v>4.6142892731340333E-2</v>
      </c>
      <c r="N258">
        <v>5.9614429526954588E-2</v>
      </c>
      <c r="O258">
        <v>2.871836067468557E-2</v>
      </c>
      <c r="P258">
        <v>4.5127465226810881E-2</v>
      </c>
      <c r="Q258">
        <v>2.6251036306966499E-2</v>
      </c>
      <c r="R258">
        <v>8.042522972635742E-2</v>
      </c>
      <c r="S258">
        <v>7.1686739612865799E-2</v>
      </c>
      <c r="T258">
        <v>4.492035511972671E-2</v>
      </c>
      <c r="U258">
        <v>4.1941887387675271E-2</v>
      </c>
      <c r="W258" s="63"/>
    </row>
    <row r="259" spans="1:24" ht="15.75" customHeight="1">
      <c r="A259" s="63"/>
      <c r="B259" s="524"/>
      <c r="C259" s="197" t="s">
        <v>73</v>
      </c>
      <c r="D259">
        <v>4.5911937575296012E-2</v>
      </c>
      <c r="E259">
        <v>3.0939580987329892E-4</v>
      </c>
      <c r="F259">
        <v>4.218599006772969E-2</v>
      </c>
      <c r="G259">
        <v>6.9996038727541288E-2</v>
      </c>
      <c r="H259">
        <v>8.0319630189260444E-2</v>
      </c>
      <c r="I259">
        <v>5.6014954376245547E-2</v>
      </c>
      <c r="J259">
        <v>1.947228601921747E-2</v>
      </c>
      <c r="K259">
        <v>2.9438713821521169E-2</v>
      </c>
      <c r="L259">
        <v>3.5566598328449939E-2</v>
      </c>
      <c r="M259">
        <v>2.916145013683177E-2</v>
      </c>
      <c r="N259">
        <v>4.8055399796080082E-2</v>
      </c>
      <c r="O259">
        <v>2.8029230066334891E-2</v>
      </c>
      <c r="P259">
        <v>2.650519232490732E-2</v>
      </c>
      <c r="Q259">
        <v>3.0625085771703059E-2</v>
      </c>
      <c r="R259">
        <v>4.4462900102127542E-2</v>
      </c>
      <c r="S259">
        <v>4.8433043116158682E-3</v>
      </c>
      <c r="T259">
        <v>5.6131618400920888E-2</v>
      </c>
      <c r="U259">
        <v>4.1002029633214372E-2</v>
      </c>
      <c r="W259" s="63"/>
    </row>
    <row r="260" spans="1:24" ht="15.75" customHeight="1">
      <c r="A260" s="63"/>
      <c r="B260" s="524"/>
      <c r="C260" s="197" t="s">
        <v>75</v>
      </c>
      <c r="D260">
        <v>8.904165021448314E-2</v>
      </c>
      <c r="E260">
        <v>2.1558545427576979E-2</v>
      </c>
      <c r="F260">
        <v>1.217933993413887E-2</v>
      </c>
      <c r="G260">
        <v>3.69629476682901E-2</v>
      </c>
      <c r="H260">
        <v>4.4630409946944553E-2</v>
      </c>
      <c r="I260">
        <v>3.0919814918870549E-2</v>
      </c>
      <c r="J260">
        <v>5.4659129720297087E-2</v>
      </c>
      <c r="K260">
        <v>1.8191106233707201E-2</v>
      </c>
      <c r="L260">
        <v>2.695757013893859E-2</v>
      </c>
      <c r="M260">
        <v>2.0239621693117341E-2</v>
      </c>
      <c r="N260">
        <v>3.7118342796357132E-2</v>
      </c>
      <c r="O260">
        <v>1.7479355039081029E-2</v>
      </c>
      <c r="P260">
        <v>3.4364467767307463E-2</v>
      </c>
      <c r="Q260">
        <v>2.1886575890825089E-2</v>
      </c>
      <c r="R260">
        <v>6.5962148096156262E-2</v>
      </c>
      <c r="S260">
        <v>4.0755319207921269E-2</v>
      </c>
      <c r="T260">
        <v>2.3213701885754931E-2</v>
      </c>
      <c r="U260">
        <v>2.2218156640339409E-2</v>
      </c>
      <c r="W260" s="63"/>
    </row>
    <row r="261" spans="1:24" ht="15.75" customHeight="1">
      <c r="A261" s="63"/>
      <c r="B261" s="524"/>
      <c r="C261" s="197" t="s">
        <v>146</v>
      </c>
      <c r="D261">
        <v>3.4681183744018393E-2</v>
      </c>
      <c r="E261">
        <v>4.7202202567302141E-2</v>
      </c>
      <c r="F261">
        <v>2.3105418790670681E-2</v>
      </c>
      <c r="G261">
        <v>4.4517815460826893E-2</v>
      </c>
      <c r="H261">
        <v>5.0044991628820291E-2</v>
      </c>
      <c r="I261">
        <v>9.3371812882107302E-2</v>
      </c>
      <c r="J261">
        <v>5.12967497731932E-2</v>
      </c>
      <c r="K261">
        <v>1.5992751604436022E-2</v>
      </c>
      <c r="L261">
        <v>1.8462766978379029E-2</v>
      </c>
      <c r="M261">
        <v>2.7506423100276262E-2</v>
      </c>
      <c r="N261">
        <v>3.9975826134283222E-2</v>
      </c>
      <c r="O261">
        <v>1.6565964038589891E-2</v>
      </c>
      <c r="P261">
        <v>4.0341086128177467E-2</v>
      </c>
      <c r="Q261">
        <v>2.3446236447163909E-2</v>
      </c>
      <c r="R261">
        <v>6.2799389073535952E-2</v>
      </c>
      <c r="S261">
        <v>4.9857613822684173E-2</v>
      </c>
      <c r="T261">
        <v>3.3827167687685691E-2</v>
      </c>
      <c r="U261">
        <v>2.9607467530973621E-2</v>
      </c>
      <c r="W261" s="63"/>
    </row>
    <row r="262" spans="1:24" ht="15.75" customHeight="1">
      <c r="A262" s="63"/>
      <c r="B262" s="524"/>
      <c r="C262" s="197" t="s">
        <v>83</v>
      </c>
      <c r="D262">
        <v>4.8213979000931252E-2</v>
      </c>
      <c r="E262">
        <v>0.76064896925809189</v>
      </c>
      <c r="F262">
        <v>5.6495350822256138E-2</v>
      </c>
      <c r="G262">
        <v>6.0291190736928638E-2</v>
      </c>
      <c r="H262">
        <v>2.9309099036376771E-2</v>
      </c>
      <c r="I262">
        <v>0.93650530529287279</v>
      </c>
      <c r="J262">
        <v>8.7465156848925474E-2</v>
      </c>
      <c r="K262">
        <v>8.5301030291389981E-2</v>
      </c>
      <c r="L262">
        <v>4.7082963756728193E-2</v>
      </c>
      <c r="M262">
        <v>5.4645808423755479E-2</v>
      </c>
      <c r="N262">
        <v>3.3052751986313932E-2</v>
      </c>
      <c r="O262">
        <v>6.0712014528259403E-2</v>
      </c>
      <c r="P262">
        <v>3.1446979819435041E-2</v>
      </c>
      <c r="Q262">
        <v>3.1869031589284079E-2</v>
      </c>
      <c r="R262">
        <v>6.729793705610633E-2</v>
      </c>
      <c r="S262">
        <v>8.4279770669716661E-2</v>
      </c>
      <c r="T262">
        <v>0.12283507719312781</v>
      </c>
      <c r="U262">
        <v>2.5623205568914321E-2</v>
      </c>
      <c r="W262" s="63"/>
    </row>
    <row r="263" spans="1:24" ht="15.75" customHeight="1">
      <c r="A263" s="63"/>
      <c r="B263" s="524"/>
      <c r="C263" s="197" t="s">
        <v>85</v>
      </c>
      <c r="D263">
        <v>0.26452362633783189</v>
      </c>
      <c r="E263">
        <v>2.5884184948053258E-2</v>
      </c>
      <c r="F263">
        <v>2.7512494546791069E-2</v>
      </c>
      <c r="G263">
        <v>2.776355212144465E-2</v>
      </c>
      <c r="H263">
        <v>4.999264320649207E-2</v>
      </c>
      <c r="I263">
        <v>1.512786050498241E-2</v>
      </c>
      <c r="J263">
        <v>8.0160135871954682E-2</v>
      </c>
      <c r="K263">
        <v>2.103442476321896E-2</v>
      </c>
      <c r="L263">
        <v>2.1790642164813918E-2</v>
      </c>
      <c r="M263">
        <v>3.2140366504623097E-2</v>
      </c>
      <c r="N263">
        <v>4.3316901247271673E-2</v>
      </c>
      <c r="O263">
        <v>2.7508005009038741E-2</v>
      </c>
      <c r="P263">
        <v>3.6425674192945269E-2</v>
      </c>
      <c r="Q263">
        <v>3.040897870813521E-2</v>
      </c>
      <c r="R263">
        <v>7.1644297983683658E-2</v>
      </c>
      <c r="S263">
        <v>4.006140088505724E-2</v>
      </c>
      <c r="T263">
        <v>4.8773038155755087E-2</v>
      </c>
      <c r="U263">
        <v>1.506946857104228E-2</v>
      </c>
      <c r="W263" s="63"/>
    </row>
    <row r="264" spans="1:24" ht="15.75" customHeight="1">
      <c r="A264" s="63"/>
      <c r="B264" s="524"/>
      <c r="C264" s="197" t="s">
        <v>88</v>
      </c>
      <c r="D264">
        <v>3.650021925228291E-2</v>
      </c>
      <c r="E264">
        <v>5.7373536723709373E-3</v>
      </c>
      <c r="F264">
        <v>1.8882513653750588E-2</v>
      </c>
      <c r="G264">
        <v>5.4154808744644477E-2</v>
      </c>
      <c r="H264">
        <v>3.8019833612864692E-2</v>
      </c>
      <c r="I264">
        <v>2.4587052487511821E-2</v>
      </c>
      <c r="J264">
        <v>7.8441001764103832E-2</v>
      </c>
      <c r="K264">
        <v>1.6316423364632699E-2</v>
      </c>
      <c r="L264">
        <v>1.2531335712562019E-2</v>
      </c>
      <c r="M264">
        <v>2.1263280022971599E-2</v>
      </c>
      <c r="N264">
        <v>2.339696538328994E-2</v>
      </c>
      <c r="O264">
        <v>1.723186268702755E-2</v>
      </c>
      <c r="P264">
        <v>2.2060447929830709E-2</v>
      </c>
      <c r="Q264">
        <v>3.5204830899482363E-2</v>
      </c>
      <c r="R264">
        <v>7.5734015028838239E-2</v>
      </c>
      <c r="S264">
        <v>2.4700351786452489E-2</v>
      </c>
      <c r="T264">
        <v>3.8834303064231378E-2</v>
      </c>
      <c r="U264">
        <v>1.480699598408706E-2</v>
      </c>
      <c r="W264" s="63"/>
    </row>
    <row r="265" spans="1:24" ht="15.75" customHeight="1">
      <c r="A265" s="63"/>
      <c r="B265" s="524"/>
      <c r="C265" s="197" t="s">
        <v>147</v>
      </c>
      <c r="D265">
        <v>0.21112272130133439</v>
      </c>
      <c r="E265">
        <v>0.58848232258388344</v>
      </c>
      <c r="F265">
        <v>0.11162332707150301</v>
      </c>
      <c r="G265">
        <v>0.1100316173274364</v>
      </c>
      <c r="H265">
        <v>0.7553320644959588</v>
      </c>
      <c r="I265">
        <v>2.0472831331963661</v>
      </c>
      <c r="J265">
        <v>0.2170638322132965</v>
      </c>
      <c r="K265">
        <v>9.5965795991300409E-2</v>
      </c>
      <c r="L265">
        <v>9.0762894123117555E-2</v>
      </c>
      <c r="M265">
        <v>0.35860049149837991</v>
      </c>
      <c r="N265">
        <v>8.2690316560278379E-2</v>
      </c>
      <c r="O265">
        <v>0.25990317761554438</v>
      </c>
      <c r="P265">
        <v>0.2383253833372635</v>
      </c>
      <c r="Q265">
        <v>0.25945990360139248</v>
      </c>
      <c r="R265">
        <v>0.1100654089369848</v>
      </c>
      <c r="S265">
        <v>6.864155685973608E-2</v>
      </c>
      <c r="T265">
        <v>0.18497588234865359</v>
      </c>
      <c r="U265">
        <v>0.34689749197638181</v>
      </c>
      <c r="W265" s="63"/>
    </row>
    <row r="266" spans="1:24" ht="15.7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row>
    <row r="267" spans="1:24" ht="15.75" customHeight="1">
      <c r="A267" s="63"/>
      <c r="B267" s="525" t="s">
        <v>760</v>
      </c>
      <c r="C267" s="525"/>
      <c r="D267" s="525"/>
      <c r="E267" s="525"/>
      <c r="F267" s="525"/>
      <c r="G267" s="525"/>
      <c r="H267" s="525"/>
      <c r="I267" s="525"/>
      <c r="J267" s="525"/>
      <c r="K267" s="525"/>
      <c r="L267" s="525"/>
      <c r="M267" s="525"/>
      <c r="N267" s="525"/>
      <c r="O267" s="525"/>
      <c r="P267" s="525"/>
      <c r="Q267" s="525"/>
      <c r="R267" s="525"/>
      <c r="S267" s="525"/>
      <c r="T267" s="525"/>
      <c r="U267" s="525"/>
      <c r="V267" s="525"/>
      <c r="W267" s="525"/>
      <c r="X267" s="525"/>
    </row>
    <row r="268" spans="1:24" ht="15.75" customHeight="1">
      <c r="A268" s="63"/>
      <c r="B268" s="241"/>
      <c r="C268" s="242"/>
      <c r="D268" s="243" t="s">
        <v>139</v>
      </c>
      <c r="E268" s="243" t="s">
        <v>37</v>
      </c>
      <c r="F268" s="243" t="s">
        <v>140</v>
      </c>
      <c r="G268" s="243" t="s">
        <v>48</v>
      </c>
      <c r="H268" s="243" t="s">
        <v>141</v>
      </c>
      <c r="I268" s="243" t="s">
        <v>58</v>
      </c>
      <c r="J268" s="243" t="s">
        <v>61</v>
      </c>
      <c r="K268" s="243" t="s">
        <v>63</v>
      </c>
      <c r="L268" s="243" t="s">
        <v>65</v>
      </c>
      <c r="M268" s="243" t="s">
        <v>67</v>
      </c>
      <c r="N268" s="243" t="s">
        <v>69</v>
      </c>
      <c r="O268" s="243" t="s">
        <v>145</v>
      </c>
      <c r="P268" s="243" t="s">
        <v>73</v>
      </c>
      <c r="Q268" s="243" t="s">
        <v>75</v>
      </c>
      <c r="R268" s="243" t="s">
        <v>146</v>
      </c>
      <c r="S268" s="243" t="s">
        <v>83</v>
      </c>
      <c r="T268" s="243" t="s">
        <v>85</v>
      </c>
      <c r="U268" s="243" t="s">
        <v>88</v>
      </c>
      <c r="V268" s="243" t="s">
        <v>147</v>
      </c>
      <c r="W268" s="241"/>
      <c r="X268" s="242"/>
    </row>
    <row r="269" spans="1:24" ht="15.75" customHeight="1">
      <c r="A269" s="63"/>
      <c r="B269" s="241"/>
      <c r="C269" s="243" t="s">
        <v>742</v>
      </c>
      <c r="D269" s="242">
        <v>-1.535077013593977E-2</v>
      </c>
      <c r="E269" s="242">
        <v>-4.5741294776311427E-2</v>
      </c>
      <c r="F269" s="242">
        <v>-1.4502764326187729E-2</v>
      </c>
      <c r="G269" s="242">
        <v>-2.3844537828102211E-2</v>
      </c>
      <c r="H269" s="242">
        <v>-2.0924455583485439E-2</v>
      </c>
      <c r="I269" s="242">
        <v>-6.0222202176506832E-2</v>
      </c>
      <c r="J269" s="242">
        <v>-3.4816120265173951E-2</v>
      </c>
      <c r="K269" s="242">
        <v>-2.3125085814041029E-2</v>
      </c>
      <c r="L269" s="242">
        <v>-1.735234444815283E-2</v>
      </c>
      <c r="M269" s="242">
        <v>-1.541847022698164E-2</v>
      </c>
      <c r="N269" s="242">
        <v>-2.5167117393884851E-2</v>
      </c>
      <c r="O269" s="242">
        <v>-1.974580161452159E-2</v>
      </c>
      <c r="P269" s="242">
        <v>-1.422187159739818E-2</v>
      </c>
      <c r="Q269" s="242">
        <v>-3.7380157382364221E-2</v>
      </c>
      <c r="R269" s="242">
        <v>-3.0557046629381069E-2</v>
      </c>
      <c r="S269" s="242">
        <v>-7.6468829288394444E-3</v>
      </c>
      <c r="T269" s="242">
        <v>-6.327559198943622E-3</v>
      </c>
      <c r="U269" s="242">
        <v>-8.8097871274605E-3</v>
      </c>
      <c r="V269" s="242">
        <v>-4.7443594272755039E-2</v>
      </c>
      <c r="W269" s="241"/>
      <c r="X269" s="242"/>
    </row>
    <row r="270" spans="1:24" ht="15.75" customHeight="1">
      <c r="A270" s="63"/>
      <c r="B270" s="241"/>
      <c r="C270" s="243" t="s">
        <v>743</v>
      </c>
      <c r="D270" s="242">
        <v>-1.9314988001213729E-2</v>
      </c>
      <c r="E270" s="242">
        <v>-3.3577891940911209E-2</v>
      </c>
      <c r="F270" s="242">
        <v>-1.0680990357430529E-2</v>
      </c>
      <c r="G270" s="242">
        <v>-2.972474397234337E-2</v>
      </c>
      <c r="H270" s="242">
        <v>-7.6960113874239289E-3</v>
      </c>
      <c r="I270" s="242">
        <v>-6.0177630314342978E-2</v>
      </c>
      <c r="J270" s="242">
        <v>-2.9203191205643741E-2</v>
      </c>
      <c r="K270" s="242">
        <v>-1.947728493723816E-2</v>
      </c>
      <c r="L270" s="242">
        <v>-1.771487707861186E-2</v>
      </c>
      <c r="M270" s="242">
        <v>-1.274724004816963E-2</v>
      </c>
      <c r="N270" s="242">
        <v>-2.2382387923953421E-2</v>
      </c>
      <c r="O270" s="242">
        <v>-1.5632359451786041E-2</v>
      </c>
      <c r="P270" s="242">
        <v>-1.180045295977955E-2</v>
      </c>
      <c r="Q270" s="242">
        <v>-4.2149555968826413E-2</v>
      </c>
      <c r="R270" s="242">
        <v>-2.9495921830762158E-2</v>
      </c>
      <c r="S270" s="242">
        <v>-7.0493599468903767E-3</v>
      </c>
      <c r="T270" s="242">
        <v>-1.611905934078117E-3</v>
      </c>
      <c r="U270" s="242">
        <v>-2.4972575706705409E-3</v>
      </c>
      <c r="V270" s="242">
        <v>-2.3686555562308361E-2</v>
      </c>
      <c r="W270" s="241"/>
      <c r="X270" s="242"/>
    </row>
    <row r="271" spans="1:24" ht="15.75" customHeight="1">
      <c r="A271" s="63"/>
      <c r="B271" s="241"/>
      <c r="C271" s="243" t="s">
        <v>744</v>
      </c>
      <c r="D271" s="242">
        <v>9.8564422568296825E-3</v>
      </c>
      <c r="E271" s="242">
        <v>4.5701339728752642E-2</v>
      </c>
      <c r="F271" s="242">
        <v>1.5217672867601331E-2</v>
      </c>
      <c r="G271" s="242">
        <v>1.308181068984793E-2</v>
      </c>
      <c r="H271" s="242">
        <v>2.532262824649946E-2</v>
      </c>
      <c r="I271" s="242">
        <v>4.9295911710781667E-2</v>
      </c>
      <c r="J271" s="242">
        <v>3.06703872505108E-2</v>
      </c>
      <c r="K271" s="242">
        <v>2.0819717243803149E-2</v>
      </c>
      <c r="L271" s="242">
        <v>1.0272772331981339E-2</v>
      </c>
      <c r="M271" s="242">
        <v>1.3646323418419081E-2</v>
      </c>
      <c r="N271" s="242">
        <v>1.9565730982391651E-2</v>
      </c>
      <c r="O271" s="242">
        <v>1.9057953906174131E-2</v>
      </c>
      <c r="P271" s="242">
        <v>1.3818473570110391E-2</v>
      </c>
      <c r="Q271" s="242">
        <v>2.1103640218961169E-2</v>
      </c>
      <c r="R271" s="242">
        <v>1.3827905510619231E-2</v>
      </c>
      <c r="S271" s="242">
        <v>4.2141984327010761E-3</v>
      </c>
      <c r="T271" s="242">
        <v>8.0014775299294422E-3</v>
      </c>
      <c r="U271" s="242">
        <v>9.9941874227000606E-3</v>
      </c>
      <c r="V271" s="242">
        <v>3.8960768249273213E-2</v>
      </c>
      <c r="W271" s="241"/>
      <c r="X271" s="242"/>
    </row>
    <row r="272" spans="1:24" ht="15.75" customHeight="1">
      <c r="A272" s="63"/>
      <c r="B272" s="241"/>
      <c r="C272" s="241"/>
      <c r="D272" s="241"/>
      <c r="E272" s="241"/>
      <c r="F272" s="241"/>
      <c r="G272" s="241"/>
      <c r="H272" s="241"/>
      <c r="I272" s="241"/>
      <c r="J272" s="241"/>
      <c r="K272" s="241"/>
      <c r="L272" s="241"/>
      <c r="M272" s="241"/>
      <c r="N272" s="241"/>
      <c r="O272" s="241"/>
      <c r="P272" s="241"/>
      <c r="Q272" s="241"/>
      <c r="R272" s="241"/>
      <c r="S272" s="241"/>
      <c r="T272" s="241"/>
      <c r="U272" s="241"/>
      <c r="V272" s="241"/>
      <c r="W272" s="241"/>
      <c r="X272" s="242"/>
    </row>
    <row r="273" spans="1:24" ht="15.75" customHeight="1">
      <c r="A273" s="63"/>
      <c r="B273" s="525" t="s">
        <v>761</v>
      </c>
      <c r="C273" s="525"/>
      <c r="D273" s="525"/>
      <c r="E273" s="525"/>
      <c r="F273" s="525"/>
      <c r="G273" s="525"/>
      <c r="H273" s="525"/>
      <c r="I273" s="525"/>
      <c r="J273" s="525"/>
      <c r="K273" s="525"/>
      <c r="L273" s="525"/>
      <c r="M273" s="525"/>
      <c r="N273" s="525"/>
      <c r="O273" s="525"/>
      <c r="P273" s="525"/>
      <c r="Q273" s="525"/>
      <c r="R273" s="525"/>
      <c r="S273" s="525"/>
      <c r="T273" s="525"/>
      <c r="U273" s="525"/>
      <c r="V273" s="525"/>
      <c r="W273" s="525"/>
      <c r="X273" s="525"/>
    </row>
    <row r="274" spans="1:24" ht="15.75" customHeight="1">
      <c r="A274" s="63"/>
      <c r="B274" s="241"/>
      <c r="C274" s="242"/>
      <c r="D274" s="243" t="s">
        <v>139</v>
      </c>
      <c r="E274" s="243" t="s">
        <v>37</v>
      </c>
      <c r="F274" s="243" t="s">
        <v>140</v>
      </c>
      <c r="G274" s="243" t="s">
        <v>48</v>
      </c>
      <c r="H274" s="243" t="s">
        <v>141</v>
      </c>
      <c r="I274" s="243" t="s">
        <v>58</v>
      </c>
      <c r="J274" s="243" t="s">
        <v>61</v>
      </c>
      <c r="K274" s="243" t="s">
        <v>63</v>
      </c>
      <c r="L274" s="243" t="s">
        <v>65</v>
      </c>
      <c r="M274" s="243" t="s">
        <v>67</v>
      </c>
      <c r="N274" s="243" t="s">
        <v>69</v>
      </c>
      <c r="O274" s="243" t="s">
        <v>145</v>
      </c>
      <c r="P274" s="243" t="s">
        <v>73</v>
      </c>
      <c r="Q274" s="243" t="s">
        <v>75</v>
      </c>
      <c r="R274" s="243" t="s">
        <v>146</v>
      </c>
      <c r="S274" s="243" t="s">
        <v>83</v>
      </c>
      <c r="T274" s="243" t="s">
        <v>85</v>
      </c>
      <c r="U274" s="243" t="s">
        <v>88</v>
      </c>
      <c r="V274" s="243" t="s">
        <v>147</v>
      </c>
      <c r="W274" s="241"/>
      <c r="X274" s="242"/>
    </row>
    <row r="275" spans="1:24" ht="15.75" customHeight="1">
      <c r="A275" s="63"/>
      <c r="B275" s="241"/>
      <c r="C275" s="243" t="s">
        <v>742</v>
      </c>
      <c r="D275" s="242">
        <v>3.794752570426807E-2</v>
      </c>
      <c r="E275" s="242">
        <v>5.5349940614641491E-2</v>
      </c>
      <c r="F275" s="242">
        <v>2.1599204064266578E-2</v>
      </c>
      <c r="G275" s="242">
        <v>2.747461318250061E-2</v>
      </c>
      <c r="H275" s="242">
        <v>3.8527968657543959E-2</v>
      </c>
      <c r="I275" s="242">
        <v>4.5088716319653721E-2</v>
      </c>
      <c r="J275" s="242">
        <v>1.536231881812344E-2</v>
      </c>
      <c r="K275" s="242">
        <v>3.2321705861792318E-3</v>
      </c>
      <c r="L275" s="242">
        <v>1.098111286398658E-2</v>
      </c>
      <c r="M275" s="242">
        <v>3.1960571279400531E-2</v>
      </c>
      <c r="N275" s="242"/>
      <c r="O275" s="242">
        <v>2.0372827689970618E-2</v>
      </c>
      <c r="P275" s="242">
        <v>2.1296024411315999E-2</v>
      </c>
      <c r="Q275" s="242">
        <v>2.25988730719167E-2</v>
      </c>
      <c r="R275" s="242">
        <v>2.560173101851548E-2</v>
      </c>
      <c r="S275" s="242">
        <v>1.207471685148028E-2</v>
      </c>
      <c r="T275" s="242">
        <v>9.506014335711032E-3</v>
      </c>
      <c r="U275" s="242">
        <v>1.092625502561201E-2</v>
      </c>
      <c r="V275" s="242">
        <v>2.339159195121358E-2</v>
      </c>
      <c r="W275" s="241"/>
      <c r="X275" s="242"/>
    </row>
    <row r="276" spans="1:24" ht="15.75" customHeight="1">
      <c r="A276" s="63"/>
      <c r="B276" s="241"/>
      <c r="C276" s="243" t="s">
        <v>743</v>
      </c>
      <c r="D276" s="242">
        <v>3.1181224131198171E-2</v>
      </c>
      <c r="E276" s="242">
        <v>5.6611265065612759E-2</v>
      </c>
      <c r="F276" s="242">
        <v>2.219626545664977E-2</v>
      </c>
      <c r="G276" s="242">
        <v>7.3044304796733286E-3</v>
      </c>
      <c r="H276" s="242">
        <v>2.3794278998657489E-2</v>
      </c>
      <c r="I276" s="242">
        <v>4.2353062977356533E-2</v>
      </c>
      <c r="J276" s="242">
        <v>1.536231881812344E-2</v>
      </c>
      <c r="K276" s="242">
        <v>3.7879419459232459E-3</v>
      </c>
      <c r="L276" s="242">
        <v>8.5202882889543474E-3</v>
      </c>
      <c r="M276" s="242">
        <v>2.8848750297149509E-2</v>
      </c>
      <c r="N276" s="242"/>
      <c r="O276" s="242">
        <v>2.0913107663242281E-2</v>
      </c>
      <c r="P276" s="242">
        <v>1.8980959849162149E-2</v>
      </c>
      <c r="Q276" s="242">
        <v>2.3187215854133521E-2</v>
      </c>
      <c r="R276" s="242">
        <v>2.560173101851548E-2</v>
      </c>
      <c r="S276" s="242">
        <v>6.6765818381189224E-3</v>
      </c>
      <c r="T276" s="242">
        <v>9.4905756444123579E-3</v>
      </c>
      <c r="U276" s="242">
        <v>9.6030281583128208E-3</v>
      </c>
      <c r="V276" s="242">
        <v>1.8544810139477619E-2</v>
      </c>
      <c r="W276" s="241"/>
      <c r="X276" s="242"/>
    </row>
    <row r="277" spans="1:24" ht="15.75" customHeight="1">
      <c r="A277" s="63"/>
      <c r="B277" s="241"/>
      <c r="C277" s="243" t="s">
        <v>744</v>
      </c>
      <c r="D277" s="242">
        <v>2.7125562498829359E-2</v>
      </c>
      <c r="E277" s="242">
        <v>4.6052700864670351E-2</v>
      </c>
      <c r="F277" s="242">
        <v>1.0486463232134721E-2</v>
      </c>
      <c r="G277" s="242">
        <v>3.3923516699765628E-2</v>
      </c>
      <c r="H277" s="242">
        <v>4.0537771857920943E-2</v>
      </c>
      <c r="I277" s="242">
        <v>3.3288590000689511E-2</v>
      </c>
      <c r="J277" s="242">
        <v>1.1214827301852289E-3</v>
      </c>
      <c r="K277" s="242">
        <v>1.037708482965612E-3</v>
      </c>
      <c r="L277" s="242">
        <v>9.0670196896470955E-3</v>
      </c>
      <c r="M277" s="242">
        <v>1.924547785252511E-2</v>
      </c>
      <c r="N277" s="242"/>
      <c r="O277" s="242">
        <v>1.607284559554939E-2</v>
      </c>
      <c r="P277" s="242">
        <v>1.5024753637780081E-2</v>
      </c>
      <c r="Q277" s="242">
        <v>1.7184441207830432E-2</v>
      </c>
      <c r="R277" s="242"/>
      <c r="S277" s="242">
        <v>1.2750484611314981E-2</v>
      </c>
      <c r="T277" s="242">
        <v>4.3400661620201309E-3</v>
      </c>
      <c r="U277" s="242">
        <v>5.2315999663714134E-3</v>
      </c>
      <c r="V277" s="242">
        <v>2.498435517250544E-2</v>
      </c>
      <c r="W277" s="241"/>
      <c r="X277" s="242"/>
    </row>
    <row r="278" spans="1:24" ht="15.7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row>
    <row r="279" spans="1:24" ht="15.75" customHeight="1">
      <c r="A279" s="63"/>
      <c r="B279" s="527" t="s">
        <v>762</v>
      </c>
      <c r="C279" s="527"/>
      <c r="D279" s="527"/>
      <c r="E279" s="527"/>
      <c r="F279" s="527"/>
      <c r="G279" s="527"/>
      <c r="H279" s="527"/>
      <c r="I279" s="527"/>
      <c r="J279" s="527"/>
      <c r="K279" s="527"/>
      <c r="L279" s="527"/>
      <c r="M279" s="527"/>
      <c r="N279" s="527"/>
      <c r="O279" s="527"/>
      <c r="P279" s="527"/>
      <c r="Q279" s="527"/>
      <c r="R279" s="527"/>
      <c r="S279" s="527"/>
      <c r="T279" s="527"/>
      <c r="U279" s="527"/>
      <c r="V279" s="527"/>
      <c r="W279" s="527"/>
      <c r="X279" s="527"/>
    </row>
    <row r="280" spans="1:24" ht="15.75" customHeight="1">
      <c r="A280" s="63"/>
      <c r="B280" s="63"/>
      <c r="D280" s="197" t="s">
        <v>139</v>
      </c>
      <c r="E280" s="197" t="s">
        <v>37</v>
      </c>
      <c r="F280" s="197" t="s">
        <v>140</v>
      </c>
      <c r="G280" s="197" t="s">
        <v>48</v>
      </c>
      <c r="H280" s="197" t="s">
        <v>141</v>
      </c>
      <c r="I280" s="197" t="s">
        <v>58</v>
      </c>
      <c r="J280" s="197" t="s">
        <v>58</v>
      </c>
      <c r="K280" s="197" t="s">
        <v>58</v>
      </c>
      <c r="L280" s="197" t="s">
        <v>61</v>
      </c>
      <c r="M280" s="197" t="s">
        <v>63</v>
      </c>
      <c r="N280" s="197" t="s">
        <v>65</v>
      </c>
      <c r="O280" s="197" t="s">
        <v>67</v>
      </c>
      <c r="P280" s="197" t="s">
        <v>69</v>
      </c>
      <c r="Q280" s="197" t="s">
        <v>145</v>
      </c>
      <c r="R280" s="197" t="s">
        <v>73</v>
      </c>
      <c r="S280" s="197" t="s">
        <v>75</v>
      </c>
      <c r="T280" s="197" t="s">
        <v>146</v>
      </c>
      <c r="U280" s="197" t="s">
        <v>83</v>
      </c>
      <c r="V280" s="197" t="s">
        <v>85</v>
      </c>
      <c r="W280" s="197" t="s">
        <v>88</v>
      </c>
      <c r="X280" s="228" t="s">
        <v>147</v>
      </c>
    </row>
    <row r="281" spans="1:24" ht="15.75" customHeight="1">
      <c r="A281" s="63"/>
      <c r="B281" s="63"/>
      <c r="C281" s="197" t="s">
        <v>742</v>
      </c>
      <c r="D281">
        <v>-0.52764757367346959</v>
      </c>
      <c r="E281">
        <v>-0.31202759909670191</v>
      </c>
      <c r="F281">
        <v>-4.84302902291599E-2</v>
      </c>
      <c r="G281">
        <v>-0.39098258931186269</v>
      </c>
      <c r="H281">
        <v>-0.18945451166234589</v>
      </c>
      <c r="I281">
        <v>-0.37244502153699721</v>
      </c>
      <c r="J281">
        <v>-0.37244502153699721</v>
      </c>
      <c r="K281">
        <v>-0.37244502153699721</v>
      </c>
      <c r="L281">
        <v>-0.38239102611062847</v>
      </c>
      <c r="M281">
        <v>-0.2008813390460944</v>
      </c>
      <c r="N281">
        <v>-5.7301408476457372E-2</v>
      </c>
      <c r="O281">
        <v>-0.23436502390698261</v>
      </c>
      <c r="P281">
        <v>-0.36726119044021749</v>
      </c>
      <c r="Q281">
        <v>-9.7002636382364615E-2</v>
      </c>
      <c r="R281">
        <v>-0.16795344587414429</v>
      </c>
      <c r="S281">
        <v>-0.44658321890771868</v>
      </c>
      <c r="T281">
        <v>-0.19205837697443939</v>
      </c>
      <c r="U281">
        <v>-0.23181733535745511</v>
      </c>
      <c r="V281">
        <v>-0.41951763547576643</v>
      </c>
      <c r="W281">
        <v>-0.1072701446954023</v>
      </c>
      <c r="X281" s="240">
        <v>0</v>
      </c>
    </row>
    <row r="282" spans="1:24" ht="15.75" customHeight="1">
      <c r="A282" s="63"/>
      <c r="B282" s="63"/>
      <c r="C282" s="197" t="s">
        <v>743</v>
      </c>
      <c r="D282">
        <v>-0.30484971812769079</v>
      </c>
      <c r="E282">
        <v>-0.30867247705550399</v>
      </c>
      <c r="F282">
        <v>-4.7407270503947753E-2</v>
      </c>
      <c r="G282">
        <v>-0.29247931301880792</v>
      </c>
      <c r="H282">
        <v>-0.17832711818646721</v>
      </c>
      <c r="I282">
        <v>-0.28221755410964428</v>
      </c>
      <c r="J282">
        <v>-0.28221755410964428</v>
      </c>
      <c r="K282">
        <v>-0.28221755410964428</v>
      </c>
      <c r="L282">
        <v>-0.43280213198387329</v>
      </c>
      <c r="M282">
        <v>-0.18669697205186009</v>
      </c>
      <c r="N282">
        <v>-4.6599186958718952E-2</v>
      </c>
      <c r="O282">
        <v>-0.28873378573199349</v>
      </c>
      <c r="P282">
        <v>-0.34341075264289189</v>
      </c>
      <c r="Q282">
        <v>-4.1918815072143963E-2</v>
      </c>
      <c r="R282">
        <v>-0.16057066202313819</v>
      </c>
      <c r="S282">
        <v>-0.8418010003633688</v>
      </c>
      <c r="T282">
        <v>-0.1541632900625676</v>
      </c>
      <c r="U282">
        <v>-0.24688447422190371</v>
      </c>
      <c r="V282">
        <v>-0.27903663581837829</v>
      </c>
      <c r="W282">
        <v>-6.4337677850090619E-2</v>
      </c>
      <c r="X282" s="240">
        <v>0</v>
      </c>
    </row>
    <row r="283" spans="1:24" ht="15.75" customHeight="1">
      <c r="A283" s="63"/>
      <c r="B283" s="63"/>
      <c r="C283" s="197" t="s">
        <v>744</v>
      </c>
      <c r="D283">
        <v>0.29873257027950662</v>
      </c>
      <c r="E283">
        <v>0.35985730862856963</v>
      </c>
      <c r="F283">
        <v>8.8367238514017177E-3</v>
      </c>
      <c r="G283">
        <v>0.26411707511063098</v>
      </c>
      <c r="H283">
        <v>7.3479609137138191E-2</v>
      </c>
      <c r="I283">
        <v>0.1577523478111317</v>
      </c>
      <c r="J283">
        <v>0.1577523478111317</v>
      </c>
      <c r="K283">
        <v>0.1577523478111317</v>
      </c>
      <c r="L283">
        <v>0.29790105681109852</v>
      </c>
      <c r="M283">
        <v>0.11480885549933929</v>
      </c>
      <c r="N283">
        <v>3.2803359446447543E-2</v>
      </c>
      <c r="O283">
        <v>0.16814937548662659</v>
      </c>
      <c r="P283">
        <v>0.16722479645647281</v>
      </c>
      <c r="Q283">
        <v>9.2910659987309588E-2</v>
      </c>
      <c r="R283">
        <v>0.13598612485266179</v>
      </c>
      <c r="S283">
        <v>0.51284351179989807</v>
      </c>
      <c r="T283">
        <v>0.1310452255610243</v>
      </c>
      <c r="U283">
        <v>0.10676350860321571</v>
      </c>
      <c r="V283">
        <v>0.27855025454822191</v>
      </c>
      <c r="W283">
        <v>8.9440283437789175E-2</v>
      </c>
      <c r="X283">
        <v>0</v>
      </c>
    </row>
    <row r="284" spans="1:24" ht="15.75" customHeight="1">
      <c r="A284" s="63"/>
      <c r="B284" s="63"/>
      <c r="X284" s="228" t="s">
        <v>763</v>
      </c>
    </row>
    <row r="285" spans="1:24" ht="15.75" customHeight="1">
      <c r="A285" s="63"/>
      <c r="B285" s="527" t="s">
        <v>830</v>
      </c>
      <c r="C285" s="527"/>
      <c r="D285" s="527"/>
      <c r="E285" s="527"/>
      <c r="F285" s="527"/>
      <c r="G285" s="527"/>
      <c r="H285" s="527"/>
      <c r="I285" s="527"/>
      <c r="J285" s="527"/>
      <c r="K285" s="527"/>
      <c r="L285" s="527"/>
      <c r="M285" s="527"/>
      <c r="N285" s="527"/>
      <c r="O285" s="527"/>
      <c r="P285" s="527"/>
      <c r="Q285" s="527"/>
      <c r="R285" s="527"/>
      <c r="S285" s="527"/>
      <c r="T285" s="527"/>
      <c r="U285" s="527"/>
      <c r="V285" s="527"/>
      <c r="W285" s="527"/>
      <c r="X285" s="527"/>
    </row>
    <row r="286" spans="1:24" ht="15.75" customHeight="1">
      <c r="A286" s="63"/>
      <c r="B286" s="63"/>
      <c r="D286" s="197" t="s">
        <v>139</v>
      </c>
      <c r="E286" s="197" t="s">
        <v>37</v>
      </c>
      <c r="F286" s="197" t="s">
        <v>140</v>
      </c>
      <c r="G286" s="197" t="s">
        <v>48</v>
      </c>
      <c r="H286" s="197" t="s">
        <v>141</v>
      </c>
      <c r="I286" s="197" t="s">
        <v>58</v>
      </c>
      <c r="J286" s="197" t="s">
        <v>58</v>
      </c>
      <c r="K286" s="197" t="s">
        <v>58</v>
      </c>
      <c r="L286" s="197" t="s">
        <v>61</v>
      </c>
      <c r="M286" s="197" t="s">
        <v>63</v>
      </c>
      <c r="N286" s="197" t="s">
        <v>65</v>
      </c>
      <c r="O286" s="197" t="s">
        <v>67</v>
      </c>
      <c r="P286" s="197" t="s">
        <v>69</v>
      </c>
      <c r="Q286" s="197" t="s">
        <v>145</v>
      </c>
      <c r="R286" s="197" t="s">
        <v>73</v>
      </c>
      <c r="S286" s="197" t="s">
        <v>75</v>
      </c>
      <c r="T286" s="197" t="s">
        <v>146</v>
      </c>
      <c r="U286" s="197" t="s">
        <v>83</v>
      </c>
      <c r="V286" s="197" t="s">
        <v>85</v>
      </c>
      <c r="W286" s="197" t="s">
        <v>88</v>
      </c>
      <c r="X286" s="228" t="s">
        <v>147</v>
      </c>
    </row>
    <row r="287" spans="1:24" ht="15.75" customHeight="1">
      <c r="A287" s="63"/>
      <c r="B287" s="63"/>
      <c r="C287" s="197" t="s">
        <v>742</v>
      </c>
      <c r="D287">
        <v>0.41636780372903348</v>
      </c>
      <c r="E287">
        <v>0.68466425066324699</v>
      </c>
      <c r="F287">
        <v>0.13217229888351989</v>
      </c>
      <c r="G287">
        <v>0.48365002919446681</v>
      </c>
      <c r="H287">
        <v>0.22682887844865321</v>
      </c>
      <c r="I287">
        <v>0.54170992559286124</v>
      </c>
      <c r="J287">
        <v>0.54170992559286124</v>
      </c>
      <c r="K287">
        <v>0.54170992559286124</v>
      </c>
      <c r="L287">
        <v>0.15141902262117529</v>
      </c>
      <c r="M287">
        <v>0.1207449542947783</v>
      </c>
      <c r="N287">
        <v>0.1950090157486801</v>
      </c>
      <c r="O287">
        <v>0.2344647517456209</v>
      </c>
      <c r="P287">
        <v>0.17687338702471569</v>
      </c>
      <c r="Q287">
        <v>9.5200497363430836E-2</v>
      </c>
      <c r="R287">
        <v>0.35144057257402911</v>
      </c>
      <c r="S287">
        <v>0.53909876363916687</v>
      </c>
      <c r="T287">
        <v>0.1009452154778039</v>
      </c>
      <c r="U287">
        <v>0.30403987924209891</v>
      </c>
      <c r="V287">
        <v>0.2427290280281087</v>
      </c>
      <c r="W287">
        <v>0.1027033363648711</v>
      </c>
      <c r="X287" s="240">
        <v>0</v>
      </c>
    </row>
    <row r="288" spans="1:24" ht="15.75" customHeight="1">
      <c r="A288" s="63"/>
      <c r="B288" s="63"/>
      <c r="C288" s="197" t="s">
        <v>743</v>
      </c>
      <c r="D288">
        <v>0.32842346899522351</v>
      </c>
      <c r="E288">
        <v>0.68617658110870772</v>
      </c>
      <c r="F288">
        <v>0.13293432472974689</v>
      </c>
      <c r="G288">
        <v>0.2442597756696526</v>
      </c>
      <c r="H288">
        <v>0.18642888163040069</v>
      </c>
      <c r="I288">
        <v>0.5619755865318905</v>
      </c>
      <c r="J288">
        <v>0.5619755865318905</v>
      </c>
      <c r="K288">
        <v>0.5619755865318905</v>
      </c>
      <c r="L288">
        <v>0.20188989230297461</v>
      </c>
      <c r="M288">
        <v>0.13332668168254039</v>
      </c>
      <c r="N288">
        <v>0.15155704707025289</v>
      </c>
      <c r="O288">
        <v>0.2781686967923041</v>
      </c>
      <c r="P288">
        <v>0.18438863281053131</v>
      </c>
      <c r="Q288">
        <v>5.8071555481028499E-2</v>
      </c>
      <c r="R288">
        <v>0.283705750730601</v>
      </c>
      <c r="S288">
        <v>0.35573930609595528</v>
      </c>
      <c r="T288">
        <v>5.5108420709410681E-2</v>
      </c>
      <c r="U288">
        <v>0.2489878329241573</v>
      </c>
      <c r="V288">
        <v>0.18888013632209269</v>
      </c>
      <c r="W288">
        <v>9.7866024780273037E-2</v>
      </c>
      <c r="X288" s="240">
        <v>0</v>
      </c>
    </row>
    <row r="289" spans="1:24" ht="15.75" customHeight="1">
      <c r="A289" s="63"/>
      <c r="B289" s="63"/>
      <c r="C289" s="197" t="s">
        <v>744</v>
      </c>
      <c r="D289">
        <v>0.45241743190712458</v>
      </c>
      <c r="E289">
        <v>0.6418005394190377</v>
      </c>
      <c r="F289">
        <v>7.6190446003051679E-2</v>
      </c>
      <c r="G289">
        <v>0.71422192948268293</v>
      </c>
      <c r="H289">
        <v>0.2085634022089973</v>
      </c>
      <c r="I289">
        <v>0.40392020110871929</v>
      </c>
      <c r="J289">
        <v>0.40392020110871929</v>
      </c>
      <c r="K289">
        <v>0.40392020110871929</v>
      </c>
      <c r="L289">
        <v>0.10396867802768039</v>
      </c>
      <c r="M289">
        <v>6.8429183585461295E-2</v>
      </c>
      <c r="N289">
        <v>0.16298244010253821</v>
      </c>
      <c r="O289">
        <v>0.1523082776763264</v>
      </c>
      <c r="P289">
        <v>0.14754094713639521</v>
      </c>
      <c r="Q289">
        <v>8.3312796502683403E-2</v>
      </c>
      <c r="R289">
        <v>0.27117449436289232</v>
      </c>
      <c r="S289">
        <v>0.44744643705309262</v>
      </c>
      <c r="T289">
        <v>0.1073975395444044</v>
      </c>
      <c r="U289">
        <v>0.32843372065892762</v>
      </c>
      <c r="V289">
        <v>0.1605690457712651</v>
      </c>
      <c r="W289">
        <v>7.1503258484297907E-2</v>
      </c>
      <c r="X289">
        <v>0</v>
      </c>
    </row>
    <row r="290" spans="1:24" ht="15.75" customHeight="1">
      <c r="A290" s="63"/>
      <c r="B290" s="63"/>
      <c r="X290" s="228" t="s">
        <v>763</v>
      </c>
    </row>
    <row r="291" spans="1:24" ht="15.7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row>
    <row r="292" spans="1:24" ht="15.7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row>
    <row r="293" spans="1:24" ht="15.7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row>
    <row r="294" spans="1:24" ht="15.7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row>
    <row r="295" spans="1:24" ht="15.7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row>
    <row r="296" spans="1:24" ht="15.7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row>
    <row r="297" spans="1:24" ht="15.7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row>
    <row r="298" spans="1:24" ht="15.7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row>
    <row r="299" spans="1:24" ht="15.7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row>
    <row r="300" spans="1:24" ht="15.7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row>
    <row r="301" spans="1:24" ht="15.7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row>
    <row r="302" spans="1:24" ht="15.7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row>
    <row r="303" spans="1:24" ht="15.7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row>
    <row r="304" spans="1:24" ht="15.7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row>
    <row r="305" spans="1:23" ht="15.7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row>
    <row r="306" spans="1:23" ht="15.7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row>
    <row r="307" spans="1:23" ht="15.7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row>
    <row r="308" spans="1:23" ht="15.7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row>
    <row r="309" spans="1:23" ht="15.7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row>
    <row r="310" spans="1:23" ht="15.7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row>
    <row r="311" spans="1:23" ht="15.7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row>
    <row r="312" spans="1:23" ht="15.7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row>
    <row r="313" spans="1:23" ht="15.7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row>
    <row r="314" spans="1:23" ht="15.7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row>
    <row r="315" spans="1:23" ht="15.7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row>
    <row r="316" spans="1:23" ht="15.7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row>
    <row r="317" spans="1:23" ht="15.7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row>
    <row r="318" spans="1:23" ht="15.7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row>
    <row r="319" spans="1:23" ht="15.7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row>
    <row r="320" spans="1:23" ht="15.7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row>
    <row r="321" spans="1:23" ht="15.7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row>
    <row r="322" spans="1:23" ht="15.7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row>
    <row r="323" spans="1:23" ht="15.7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row>
    <row r="324" spans="1:23" ht="15.7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row>
    <row r="325" spans="1:23" ht="15.7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row>
    <row r="326" spans="1:23" ht="15.7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row>
    <row r="327" spans="1:23" ht="15.7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row>
    <row r="328" spans="1:23" ht="15.7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row>
    <row r="329" spans="1:23" ht="15.7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row>
    <row r="330" spans="1:23" ht="15.7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row>
    <row r="331" spans="1:23" ht="15.7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row>
    <row r="332" spans="1:23" ht="15.7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row>
    <row r="333" spans="1:23" ht="15.7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row>
    <row r="334" spans="1:23" ht="15.7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row>
    <row r="335" spans="1:23" ht="15.7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row>
    <row r="336" spans="1:23" ht="15.7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row>
    <row r="337" spans="1:23" ht="15.7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row>
    <row r="338" spans="1:23" ht="15.7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row>
    <row r="339" spans="1:23" ht="15.7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row>
    <row r="340" spans="1:23" ht="15.7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row>
    <row r="341" spans="1:23" ht="15.7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row>
    <row r="342" spans="1:23" ht="15.7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row>
    <row r="343" spans="1:23" ht="15.7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row>
    <row r="344" spans="1:23" ht="15.7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row>
    <row r="345" spans="1:23" ht="15.7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row>
    <row r="346" spans="1:23" ht="15.7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row>
    <row r="347" spans="1:23" ht="15.7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row>
    <row r="348" spans="1:23" ht="15.7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row>
    <row r="349" spans="1:23" ht="15.7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row>
    <row r="350" spans="1:23" ht="15.7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row>
    <row r="351" spans="1:23" ht="15.7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row>
    <row r="352" spans="1:23" ht="15.7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row>
    <row r="353" spans="1:23" ht="15.7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row>
    <row r="354" spans="1:23" ht="15.7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row>
    <row r="355" spans="1:23" ht="15.7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row>
    <row r="356" spans="1:23" ht="15.7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row>
    <row r="357" spans="1:23" ht="15.7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row>
    <row r="358" spans="1:23" ht="15.7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row>
    <row r="359" spans="1:23" ht="15.7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row>
    <row r="360" spans="1:23" ht="15.7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row>
    <row r="361" spans="1:23" ht="15.7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row>
    <row r="362" spans="1:23" ht="15.7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row>
    <row r="363" spans="1:23" ht="15.7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row>
    <row r="364" spans="1:23" ht="15.7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row>
    <row r="365" spans="1:23" ht="15.7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row>
    <row r="366" spans="1:23" ht="15.7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row>
    <row r="367" spans="1:23" ht="15.7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row>
    <row r="368" spans="1:23" ht="15.7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row>
    <row r="369" spans="1:23" ht="15.7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row>
    <row r="370" spans="1:23" ht="15.7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row>
    <row r="371" spans="1:23" ht="15.75" customHeight="1"/>
    <row r="372" spans="1:23" ht="15.75" customHeight="1"/>
    <row r="373" spans="1:23" ht="15.75" customHeight="1"/>
    <row r="374" spans="1:23" ht="15.75" customHeight="1"/>
    <row r="375" spans="1:23" ht="15.75" customHeight="1"/>
    <row r="376" spans="1:23" ht="15.75" customHeight="1"/>
    <row r="377" spans="1:23" ht="15.75" customHeight="1"/>
    <row r="378" spans="1:23" ht="15.75" customHeight="1"/>
    <row r="379" spans="1:23" ht="15.75" customHeight="1"/>
    <row r="380" spans="1:23" ht="15.75" customHeight="1"/>
    <row r="381" spans="1:23" ht="15.75" customHeight="1"/>
    <row r="382" spans="1:23" ht="15.75" customHeight="1"/>
    <row r="383" spans="1:23" ht="15.75" customHeight="1"/>
    <row r="384" spans="1:23"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33">
    <mergeCell ref="BA2:BU2"/>
    <mergeCell ref="B147:X147"/>
    <mergeCell ref="B149:B167"/>
    <mergeCell ref="B279:X279"/>
    <mergeCell ref="B285:X285"/>
    <mergeCell ref="B168:B186"/>
    <mergeCell ref="B187:B205"/>
    <mergeCell ref="B207:X207"/>
    <mergeCell ref="B209:B227"/>
    <mergeCell ref="B228:B246"/>
    <mergeCell ref="AB70:AW70"/>
    <mergeCell ref="AB78:AW78"/>
    <mergeCell ref="AB87:AW87"/>
    <mergeCell ref="AB112:AW112"/>
    <mergeCell ref="AA4:AA24"/>
    <mergeCell ref="AA26:AA46"/>
    <mergeCell ref="B273:X273"/>
    <mergeCell ref="B1:X1"/>
    <mergeCell ref="B2:X2"/>
    <mergeCell ref="B68:X68"/>
    <mergeCell ref="B70:B90"/>
    <mergeCell ref="B91:B111"/>
    <mergeCell ref="B4:B24"/>
    <mergeCell ref="B25:B45"/>
    <mergeCell ref="B46:B66"/>
    <mergeCell ref="B112:B132"/>
    <mergeCell ref="B134:X134"/>
    <mergeCell ref="B140:X140"/>
    <mergeCell ref="AA48:AA68"/>
    <mergeCell ref="AA1:AW1"/>
    <mergeCell ref="AA2:AW2"/>
    <mergeCell ref="B247:B265"/>
    <mergeCell ref="B267:X267"/>
  </mergeCells>
  <phoneticPr fontId="26" type="noConversion"/>
  <pageMargins left="0.7" right="0.7" top="0.75" bottom="0.75" header="0" footer="0"/>
  <pageSetup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2472C-E550-4549-AFBD-0670C20DE952}">
  <sheetPr codeName="Sheet13">
    <tabColor theme="7" tint="0.79998168889431442"/>
  </sheetPr>
  <dimension ref="A1:Q1000"/>
  <sheetViews>
    <sheetView workbookViewId="0">
      <selection activeCell="D2" sqref="D2:H26"/>
    </sheetView>
  </sheetViews>
  <sheetFormatPr defaultColWidth="12.58203125" defaultRowHeight="15" customHeight="1"/>
  <cols>
    <col min="1" max="1" width="9.08203125" style="69" customWidth="1"/>
    <col min="2" max="2" width="7.58203125" style="69" customWidth="1"/>
    <col min="3" max="3" width="20.83203125" style="69" customWidth="1"/>
    <col min="4" max="8" width="13.08203125" style="69" customWidth="1"/>
    <col min="9" max="26" width="7.58203125" style="69" customWidth="1"/>
    <col min="27" max="16384" width="12.58203125" style="69"/>
  </cols>
  <sheetData>
    <row r="1" spans="1:17" ht="14">
      <c r="A1" s="121" t="s">
        <v>353</v>
      </c>
      <c r="B1" s="121" t="s">
        <v>352</v>
      </c>
      <c r="C1" s="121" t="s">
        <v>412</v>
      </c>
      <c r="D1" s="121" t="s">
        <v>413</v>
      </c>
      <c r="E1" s="121" t="s">
        <v>414</v>
      </c>
      <c r="F1" s="121" t="s">
        <v>415</v>
      </c>
      <c r="G1" s="121" t="s">
        <v>416</v>
      </c>
      <c r="H1" s="121" t="s">
        <v>417</v>
      </c>
      <c r="I1" s="77"/>
      <c r="M1" s="78"/>
      <c r="N1" s="78"/>
      <c r="O1" s="78"/>
      <c r="P1" s="78"/>
      <c r="Q1" s="78"/>
    </row>
    <row r="2" spans="1:17" ht="14">
      <c r="A2" s="119" t="s">
        <v>355</v>
      </c>
      <c r="B2" s="119" t="s">
        <v>345</v>
      </c>
      <c r="C2" s="119" t="s">
        <v>418</v>
      </c>
      <c r="D2" s="233">
        <v>11.383699999999999</v>
      </c>
      <c r="E2" s="42">
        <v>0.15451400000000001</v>
      </c>
      <c r="F2" s="42">
        <v>0.30555599999999999</v>
      </c>
      <c r="G2" s="42">
        <v>7.18316</v>
      </c>
      <c r="H2" s="234">
        <v>4.9375</v>
      </c>
      <c r="I2" s="79"/>
      <c r="M2" s="78"/>
      <c r="N2" s="80"/>
      <c r="O2" s="80"/>
      <c r="P2" s="80"/>
      <c r="Q2" s="80"/>
    </row>
    <row r="3" spans="1:17" ht="14">
      <c r="A3" s="119" t="s">
        <v>355</v>
      </c>
      <c r="B3" s="119" t="s">
        <v>345</v>
      </c>
      <c r="C3" s="119" t="s">
        <v>419</v>
      </c>
      <c r="D3" s="235">
        <v>10.4033</v>
      </c>
      <c r="E3">
        <v>7.2010199999999996E-2</v>
      </c>
      <c r="F3">
        <v>6.1358800000000002</v>
      </c>
      <c r="G3">
        <v>4.3341000000000003</v>
      </c>
      <c r="H3" s="159">
        <v>3.0277400000000001</v>
      </c>
      <c r="I3" s="79"/>
      <c r="J3" s="80"/>
      <c r="M3" s="78"/>
      <c r="N3" s="80"/>
      <c r="O3" s="80"/>
      <c r="P3" s="80"/>
      <c r="Q3" s="80"/>
    </row>
    <row r="4" spans="1:17" ht="14">
      <c r="A4" s="119" t="s">
        <v>355</v>
      </c>
      <c r="B4" s="119" t="s">
        <v>345</v>
      </c>
      <c r="C4" s="119" t="s">
        <v>420</v>
      </c>
      <c r="D4" s="235">
        <v>11.184200000000001</v>
      </c>
      <c r="E4">
        <v>1.60138</v>
      </c>
      <c r="F4">
        <v>3.3640499999999997E-2</v>
      </c>
      <c r="G4">
        <v>6.2568400000000004</v>
      </c>
      <c r="H4" s="159">
        <v>4.8961600000000001</v>
      </c>
      <c r="I4" s="79"/>
      <c r="J4" s="80"/>
      <c r="M4" s="78"/>
      <c r="N4" s="80"/>
      <c r="O4" s="80"/>
      <c r="P4" s="80"/>
      <c r="Q4" s="80"/>
    </row>
    <row r="5" spans="1:17" ht="14">
      <c r="A5" s="119" t="s">
        <v>355</v>
      </c>
      <c r="B5" s="119" t="s">
        <v>345</v>
      </c>
      <c r="C5" s="119" t="s">
        <v>421</v>
      </c>
      <c r="D5" s="235">
        <v>12.5375</v>
      </c>
      <c r="E5">
        <v>7.7881599999999997E-3</v>
      </c>
      <c r="F5">
        <v>7.3876300000000006E-2</v>
      </c>
      <c r="G5">
        <v>5.5286999999999997</v>
      </c>
      <c r="H5" s="159">
        <v>5.8284399999999996</v>
      </c>
      <c r="I5" s="79"/>
      <c r="M5" s="78"/>
      <c r="N5" s="80"/>
      <c r="O5" s="80"/>
      <c r="P5" s="80"/>
      <c r="Q5" s="80"/>
    </row>
    <row r="6" spans="1:17" ht="14">
      <c r="A6" s="119" t="s">
        <v>354</v>
      </c>
      <c r="B6" s="119" t="s">
        <v>345</v>
      </c>
      <c r="C6" s="119" t="s">
        <v>418</v>
      </c>
      <c r="D6" s="235">
        <v>11.759</v>
      </c>
      <c r="E6">
        <v>6.0060099999999998E-2</v>
      </c>
      <c r="F6">
        <v>1.69069</v>
      </c>
      <c r="G6">
        <v>3.47898</v>
      </c>
      <c r="H6" s="159">
        <v>6.9767299999999999</v>
      </c>
      <c r="I6" s="79"/>
      <c r="M6" s="78"/>
      <c r="N6" s="80"/>
      <c r="O6" s="80"/>
      <c r="P6" s="80"/>
      <c r="Q6" s="80"/>
    </row>
    <row r="7" spans="1:17" ht="14">
      <c r="A7" s="119" t="s">
        <v>354</v>
      </c>
      <c r="B7" s="119" t="s">
        <v>345</v>
      </c>
      <c r="C7" s="119" t="s">
        <v>419</v>
      </c>
      <c r="D7" s="235">
        <v>10.5426</v>
      </c>
      <c r="E7">
        <v>3.16612E-2</v>
      </c>
      <c r="F7">
        <v>8.2841299999999993</v>
      </c>
      <c r="G7">
        <v>1.3887100000000001</v>
      </c>
      <c r="H7" s="159">
        <v>3.7203900000000001</v>
      </c>
      <c r="I7" s="79"/>
      <c r="M7" s="78"/>
      <c r="N7" s="80"/>
      <c r="O7" s="80"/>
      <c r="P7" s="80"/>
      <c r="Q7" s="80"/>
    </row>
    <row r="8" spans="1:17" ht="14">
      <c r="A8" s="119" t="s">
        <v>354</v>
      </c>
      <c r="B8" s="119" t="s">
        <v>345</v>
      </c>
      <c r="C8" s="119" t="s">
        <v>420</v>
      </c>
      <c r="D8" s="235">
        <v>11.505000000000001</v>
      </c>
      <c r="E8">
        <v>2.6137700000000001</v>
      </c>
      <c r="F8">
        <v>0.194215</v>
      </c>
      <c r="G8">
        <v>2.2724500000000001</v>
      </c>
      <c r="H8" s="159">
        <v>7.3889800000000001</v>
      </c>
      <c r="I8" s="79"/>
      <c r="M8" s="78"/>
      <c r="N8" s="80"/>
      <c r="O8" s="80"/>
      <c r="P8" s="80"/>
      <c r="Q8" s="80"/>
    </row>
    <row r="9" spans="1:17" ht="14">
      <c r="A9" s="119" t="s">
        <v>354</v>
      </c>
      <c r="B9" s="119" t="s">
        <v>345</v>
      </c>
      <c r="C9" s="119" t="s">
        <v>421</v>
      </c>
      <c r="D9" s="235">
        <v>12.6685</v>
      </c>
      <c r="E9">
        <v>3.1045700000000001E-3</v>
      </c>
      <c r="F9">
        <v>0.43545800000000001</v>
      </c>
      <c r="G9">
        <v>3.3955899999999999</v>
      </c>
      <c r="H9" s="159">
        <v>7.4771200000000002</v>
      </c>
      <c r="I9" s="79"/>
    </row>
    <row r="10" spans="1:17" ht="14">
      <c r="A10" s="119" t="s">
        <v>355</v>
      </c>
      <c r="B10" s="119" t="s">
        <v>346</v>
      </c>
      <c r="C10" s="119" t="s">
        <v>418</v>
      </c>
      <c r="D10" s="235">
        <v>11.677899999999999</v>
      </c>
      <c r="E10">
        <v>0.60239200000000004</v>
      </c>
      <c r="F10">
        <v>0.59716000000000002</v>
      </c>
      <c r="G10">
        <v>5.6263100000000001</v>
      </c>
      <c r="H10" s="159">
        <v>5.4723499999999996</v>
      </c>
      <c r="I10" s="79"/>
    </row>
    <row r="11" spans="1:17" ht="14">
      <c r="A11" s="119" t="s">
        <v>355</v>
      </c>
      <c r="B11" s="119" t="s">
        <v>346</v>
      </c>
      <c r="C11" s="119" t="s">
        <v>419</v>
      </c>
      <c r="D11" s="235">
        <v>10.4434</v>
      </c>
      <c r="E11">
        <v>5.0883100000000001E-2</v>
      </c>
      <c r="F11">
        <v>6.4708399999999999</v>
      </c>
      <c r="G11">
        <v>3.8565999999999998</v>
      </c>
      <c r="H11" s="159">
        <v>3.1502699999999999</v>
      </c>
      <c r="I11" s="79"/>
    </row>
    <row r="12" spans="1:17" ht="14">
      <c r="A12" s="119" t="s">
        <v>355</v>
      </c>
      <c r="B12" s="119" t="s">
        <v>346</v>
      </c>
      <c r="C12" s="119" t="s">
        <v>420</v>
      </c>
      <c r="D12" s="235">
        <v>11.2257</v>
      </c>
      <c r="E12">
        <v>1.7977300000000001</v>
      </c>
      <c r="F12">
        <v>7.9827400000000007E-2</v>
      </c>
      <c r="G12">
        <v>5.6984899999999996</v>
      </c>
      <c r="H12" s="159">
        <v>5.1712499999999997</v>
      </c>
      <c r="I12" s="79"/>
    </row>
    <row r="13" spans="1:17" ht="14">
      <c r="A13" s="119" t="s">
        <v>355</v>
      </c>
      <c r="B13" s="119" t="s">
        <v>346</v>
      </c>
      <c r="C13" s="119" t="s">
        <v>421</v>
      </c>
      <c r="D13" s="235">
        <v>11.624000000000001</v>
      </c>
      <c r="E13">
        <v>1.0330600000000001E-2</v>
      </c>
      <c r="F13">
        <v>0.28650100000000001</v>
      </c>
      <c r="G13">
        <v>5.9428400000000003</v>
      </c>
      <c r="H13" s="159">
        <v>6.1143299999999998</v>
      </c>
      <c r="I13" s="79"/>
    </row>
    <row r="14" spans="1:17" ht="14">
      <c r="A14" s="119" t="s">
        <v>354</v>
      </c>
      <c r="B14" s="119" t="s">
        <v>346</v>
      </c>
      <c r="C14" s="119" t="s">
        <v>418</v>
      </c>
      <c r="D14" s="235">
        <v>11.775399999999999</v>
      </c>
      <c r="E14">
        <v>0.474603</v>
      </c>
      <c r="F14">
        <v>1.5103200000000001</v>
      </c>
      <c r="G14">
        <v>2.3174600000000001</v>
      </c>
      <c r="H14" s="159">
        <v>7.88809</v>
      </c>
      <c r="I14" s="79"/>
    </row>
    <row r="15" spans="1:17" ht="14">
      <c r="A15" s="119" t="s">
        <v>354</v>
      </c>
      <c r="B15" s="119" t="s">
        <v>346</v>
      </c>
      <c r="C15" s="119" t="s">
        <v>419</v>
      </c>
      <c r="D15" s="235">
        <v>10.366300000000001</v>
      </c>
      <c r="E15">
        <v>3.3092700000000003E-2</v>
      </c>
      <c r="F15">
        <v>8.5105900000000005</v>
      </c>
      <c r="G15">
        <v>1.45319</v>
      </c>
      <c r="H15" s="159">
        <v>3.6151599999999999</v>
      </c>
      <c r="I15" s="79"/>
    </row>
    <row r="16" spans="1:17" ht="14">
      <c r="A16" s="119" t="s">
        <v>354</v>
      </c>
      <c r="B16" s="119" t="s">
        <v>346</v>
      </c>
      <c r="C16" s="119" t="s">
        <v>420</v>
      </c>
      <c r="D16" s="235">
        <v>11.565200000000001</v>
      </c>
      <c r="E16">
        <v>2.54325</v>
      </c>
      <c r="F16">
        <v>0.12110700000000001</v>
      </c>
      <c r="G16">
        <v>2.4123399999999999</v>
      </c>
      <c r="H16" s="159">
        <v>7.3160299999999996</v>
      </c>
      <c r="I16" s="79"/>
    </row>
    <row r="17" spans="1:9" ht="14">
      <c r="A17" s="119" t="s">
        <v>354</v>
      </c>
      <c r="B17" s="119" t="s">
        <v>346</v>
      </c>
      <c r="C17" s="119" t="s">
        <v>421</v>
      </c>
      <c r="D17" s="235">
        <v>11.754899999999999</v>
      </c>
      <c r="E17">
        <v>1.3888899999999999E-2</v>
      </c>
      <c r="F17">
        <v>0.82430599999999998</v>
      </c>
      <c r="G17">
        <v>3.77569</v>
      </c>
      <c r="H17" s="159">
        <v>7.5972200000000001</v>
      </c>
      <c r="I17" s="79"/>
    </row>
    <row r="18" spans="1:9" ht="14">
      <c r="A18" s="119" t="s">
        <v>355</v>
      </c>
      <c r="B18" s="119" t="s">
        <v>347</v>
      </c>
      <c r="C18" s="119" t="s">
        <v>418</v>
      </c>
      <c r="D18" s="235">
        <v>11.5183</v>
      </c>
      <c r="E18">
        <v>1.0162599999999999</v>
      </c>
      <c r="F18">
        <v>0.46951199999999998</v>
      </c>
      <c r="G18">
        <v>5.1971499999999997</v>
      </c>
      <c r="H18" s="159">
        <v>5.7601599999999999</v>
      </c>
      <c r="I18" s="79"/>
    </row>
    <row r="19" spans="1:9" ht="14">
      <c r="A19" s="119" t="s">
        <v>355</v>
      </c>
      <c r="B19" s="119" t="s">
        <v>347</v>
      </c>
      <c r="C19" s="119" t="s">
        <v>419</v>
      </c>
      <c r="D19" s="235">
        <v>10.4618</v>
      </c>
      <c r="E19">
        <v>0.112487</v>
      </c>
      <c r="F19">
        <v>6.6181599999999996</v>
      </c>
      <c r="G19">
        <v>3.5807500000000001</v>
      </c>
      <c r="H19" s="159">
        <v>3.1857600000000001</v>
      </c>
      <c r="I19" s="79"/>
    </row>
    <row r="20" spans="1:9" ht="14">
      <c r="A20" s="119" t="s">
        <v>355</v>
      </c>
      <c r="B20" s="119" t="s">
        <v>347</v>
      </c>
      <c r="C20" s="119" t="s">
        <v>420</v>
      </c>
      <c r="D20" s="235">
        <v>10.9762</v>
      </c>
      <c r="E20">
        <v>1.96078</v>
      </c>
      <c r="F20">
        <v>0.44957999999999998</v>
      </c>
      <c r="G20">
        <v>5.3963599999999996</v>
      </c>
      <c r="H20" s="159">
        <v>5.1988799999999999</v>
      </c>
      <c r="I20" s="79"/>
    </row>
    <row r="21" spans="1:9" ht="15.75" customHeight="1">
      <c r="A21" s="119" t="s">
        <v>355</v>
      </c>
      <c r="B21" s="119" t="s">
        <v>347</v>
      </c>
      <c r="C21" s="119" t="s">
        <v>421</v>
      </c>
      <c r="D21" s="235">
        <v>11.8</v>
      </c>
      <c r="E21">
        <v>5.1666700000000003E-2</v>
      </c>
      <c r="F21">
        <v>0.23166700000000001</v>
      </c>
      <c r="G21">
        <v>5.2666700000000004</v>
      </c>
      <c r="H21" s="159">
        <v>6.5733300000000003</v>
      </c>
      <c r="I21" s="79"/>
    </row>
    <row r="22" spans="1:9" ht="15.75" customHeight="1">
      <c r="A22" s="119" t="s">
        <v>354</v>
      </c>
      <c r="B22" s="119" t="s">
        <v>347</v>
      </c>
      <c r="C22" s="119" t="s">
        <v>418</v>
      </c>
      <c r="D22" s="235">
        <v>11.438000000000001</v>
      </c>
      <c r="E22">
        <v>1.9612400000000001</v>
      </c>
      <c r="F22">
        <v>1.0465100000000001</v>
      </c>
      <c r="G22">
        <v>2.5310100000000002</v>
      </c>
      <c r="H22" s="159">
        <v>6.9728700000000003</v>
      </c>
      <c r="I22" s="79"/>
    </row>
    <row r="23" spans="1:9" ht="15.75" customHeight="1">
      <c r="A23" s="119" t="s">
        <v>354</v>
      </c>
      <c r="B23" s="119" t="s">
        <v>347</v>
      </c>
      <c r="C23" s="119" t="s">
        <v>419</v>
      </c>
      <c r="D23" s="235">
        <v>10.2468</v>
      </c>
      <c r="E23">
        <v>8.2692299999999996E-2</v>
      </c>
      <c r="F23">
        <v>8.2201900000000006</v>
      </c>
      <c r="G23">
        <v>1.46122</v>
      </c>
      <c r="H23" s="159">
        <v>3.9615399999999998</v>
      </c>
      <c r="I23" s="79"/>
    </row>
    <row r="24" spans="1:9" ht="15.75" customHeight="1">
      <c r="A24" s="119" t="s">
        <v>354</v>
      </c>
      <c r="B24" s="119" t="s">
        <v>347</v>
      </c>
      <c r="C24" s="119" t="s">
        <v>420</v>
      </c>
      <c r="D24" s="235">
        <v>11.231</v>
      </c>
      <c r="E24">
        <v>3.4035099999999998</v>
      </c>
      <c r="F24">
        <v>0.57602299999999995</v>
      </c>
      <c r="G24">
        <v>2.1023399999999999</v>
      </c>
      <c r="H24" s="159">
        <v>6.6578999999999997</v>
      </c>
      <c r="I24" s="79"/>
    </row>
    <row r="25" spans="1:9" ht="15.75" customHeight="1">
      <c r="A25" s="119" t="s">
        <v>354</v>
      </c>
      <c r="B25" s="119" t="s">
        <v>347</v>
      </c>
      <c r="C25" s="119" t="s">
        <v>421</v>
      </c>
      <c r="D25" s="235">
        <v>11.6349</v>
      </c>
      <c r="E25">
        <v>5.68783E-2</v>
      </c>
      <c r="F25">
        <v>1.4312199999999999</v>
      </c>
      <c r="G25">
        <v>3.15741</v>
      </c>
      <c r="H25" s="159">
        <v>7.6362399999999999</v>
      </c>
      <c r="I25" s="79"/>
    </row>
    <row r="26" spans="1:9" ht="15.75" customHeight="1">
      <c r="A26" s="140" t="s">
        <v>348</v>
      </c>
      <c r="B26" s="120"/>
      <c r="C26" s="120"/>
      <c r="D26" s="236">
        <v>0</v>
      </c>
      <c r="E26" s="237">
        <v>0</v>
      </c>
      <c r="F26" s="237">
        <v>0</v>
      </c>
      <c r="G26" s="237">
        <v>0</v>
      </c>
      <c r="H26" s="161">
        <v>0</v>
      </c>
    </row>
    <row r="27" spans="1:9" ht="15.75" customHeight="1">
      <c r="A27" s="70"/>
      <c r="B27" s="70"/>
      <c r="C27" s="70"/>
    </row>
    <row r="28" spans="1:9" ht="15.75" customHeight="1">
      <c r="B28" s="70"/>
      <c r="C28" s="70"/>
    </row>
    <row r="29" spans="1:9" ht="15.75" customHeight="1">
      <c r="B29" s="70" t="s">
        <v>353</v>
      </c>
      <c r="C29" s="70" t="s">
        <v>355</v>
      </c>
      <c r="D29" s="68" t="s">
        <v>354</v>
      </c>
    </row>
    <row r="30" spans="1:9" ht="15.75" customHeight="1">
      <c r="B30" s="70" t="s">
        <v>422</v>
      </c>
      <c r="C30" s="68">
        <f>D30-0.147</f>
        <v>-0.40210000000000001</v>
      </c>
      <c r="D30" s="68">
        <v>-0.25509999999999999</v>
      </c>
    </row>
    <row r="31" spans="1:9" ht="15.75" customHeight="1">
      <c r="A31" s="70"/>
    </row>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spans="1:3" ht="15.75" customHeight="1"/>
    <row r="50" spans="1:3" ht="15.75" customHeight="1"/>
    <row r="51" spans="1:3" ht="15.75" customHeight="1"/>
    <row r="52" spans="1:3" ht="15.75" customHeight="1"/>
    <row r="53" spans="1:3" ht="15.75" customHeight="1"/>
    <row r="54" spans="1:3" ht="15.75" customHeight="1"/>
    <row r="55" spans="1:3" ht="15.75" customHeight="1">
      <c r="A55" s="533"/>
      <c r="B55" s="534"/>
      <c r="C55" s="534"/>
    </row>
    <row r="56" spans="1:3" ht="15.75" customHeight="1">
      <c r="A56" s="70"/>
      <c r="B56" s="70"/>
      <c r="C56" s="70"/>
    </row>
    <row r="57" spans="1:3" ht="15.75" customHeight="1"/>
    <row r="58" spans="1:3" ht="15.75" customHeight="1"/>
    <row r="59" spans="1:3" ht="15.75" customHeight="1"/>
    <row r="60" spans="1:3" ht="15.75" customHeight="1"/>
    <row r="61" spans="1:3" ht="15.75" customHeight="1"/>
    <row r="62" spans="1:3" ht="15.75" customHeight="1"/>
    <row r="63" spans="1:3" ht="15.75" customHeight="1"/>
    <row r="64" spans="1: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1:3" ht="15.75" customHeight="1"/>
    <row r="82" spans="1:3" ht="15.75" customHeight="1">
      <c r="A82" s="534"/>
      <c r="B82" s="534"/>
      <c r="C82" s="534"/>
    </row>
    <row r="83" spans="1:3" ht="15.75" customHeight="1">
      <c r="A83" s="70"/>
      <c r="B83" s="70"/>
      <c r="C83" s="70"/>
    </row>
    <row r="84" spans="1:3" ht="15.75" customHeight="1"/>
    <row r="85" spans="1:3" ht="15.75" customHeight="1"/>
    <row r="86" spans="1:3" ht="15.75" customHeight="1"/>
    <row r="87" spans="1:3" ht="15.75" customHeight="1"/>
    <row r="88" spans="1:3" ht="15.75" customHeight="1"/>
    <row r="89" spans="1:3" ht="15.75" customHeight="1"/>
    <row r="90" spans="1:3" ht="15.75" customHeight="1"/>
    <row r="91" spans="1:3" ht="15.75" customHeight="1"/>
    <row r="92" spans="1:3" ht="15.75" customHeight="1"/>
    <row r="93" spans="1:3" ht="15.75" customHeight="1"/>
    <row r="94" spans="1:3" ht="15.75" customHeight="1"/>
    <row r="95" spans="1:3" ht="15.75" customHeight="1"/>
    <row r="96" spans="1:3" ht="15.75" customHeight="1"/>
    <row r="97" spans="1:3" ht="15.75" customHeight="1"/>
    <row r="98" spans="1:3" ht="15.75" customHeight="1"/>
    <row r="99" spans="1:3" ht="15.75" customHeight="1"/>
    <row r="100" spans="1:3" ht="15.75" customHeight="1"/>
    <row r="101" spans="1:3" ht="15.75" customHeight="1"/>
    <row r="102" spans="1:3" ht="15.75" customHeight="1"/>
    <row r="103" spans="1:3" ht="15.75" customHeight="1"/>
    <row r="104" spans="1:3" ht="15.75" customHeight="1"/>
    <row r="105" spans="1:3" ht="15.75" customHeight="1"/>
    <row r="106" spans="1:3" ht="15.75" customHeight="1"/>
    <row r="107" spans="1:3" ht="15.75" customHeight="1"/>
    <row r="108" spans="1:3" ht="15.75" customHeight="1"/>
    <row r="109" spans="1:3" ht="15.75" customHeight="1">
      <c r="A109" s="534"/>
      <c r="B109" s="534"/>
      <c r="C109" s="534"/>
    </row>
    <row r="110" spans="1:3" ht="15.75" customHeight="1">
      <c r="A110" s="70"/>
      <c r="B110" s="70"/>
      <c r="C110" s="70"/>
    </row>
    <row r="111" spans="1:3" ht="15.75" customHeight="1"/>
    <row r="112" spans="1:3"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55:C55"/>
    <mergeCell ref="A82:C82"/>
    <mergeCell ref="A109:C109"/>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917F1-48F6-4CCE-A69A-87274B71528B}">
  <sheetPr codeName="Sheet14">
    <tabColor theme="7" tint="0.79998168889431442"/>
  </sheetPr>
  <dimension ref="A1:P32"/>
  <sheetViews>
    <sheetView zoomScale="85" zoomScaleNormal="85" workbookViewId="0">
      <selection activeCell="I2" sqref="I2"/>
    </sheetView>
  </sheetViews>
  <sheetFormatPr defaultColWidth="8.75" defaultRowHeight="14"/>
  <cols>
    <col min="1" max="1" width="14.25" style="69" customWidth="1"/>
    <col min="2" max="4" width="8.75" style="69"/>
    <col min="5" max="5" width="13.83203125" style="69" bestFit="1" customWidth="1"/>
    <col min="6" max="7" width="8.75" style="69"/>
    <col min="8" max="8" width="12.75" style="69" customWidth="1"/>
    <col min="9" max="9" width="8.75" style="69"/>
    <col min="10" max="10" width="17.75" style="69" customWidth="1"/>
    <col min="11" max="11" width="15.25" style="69" bestFit="1" customWidth="1"/>
    <col min="12" max="16384" width="8.75" style="69"/>
  </cols>
  <sheetData>
    <row r="1" spans="1:16" ht="14.5">
      <c r="A1" s="122" t="s">
        <v>423</v>
      </c>
      <c r="B1" s="123"/>
      <c r="C1" s="123"/>
      <c r="D1" s="123"/>
      <c r="E1" s="123"/>
      <c r="F1" s="123"/>
      <c r="G1" s="123"/>
      <c r="H1" s="123"/>
      <c r="I1" s="69" t="s">
        <v>1533</v>
      </c>
    </row>
    <row r="2" spans="1:16" ht="14.5">
      <c r="A2" s="123"/>
      <c r="B2" s="128" t="s">
        <v>424</v>
      </c>
      <c r="C2" s="125" t="s">
        <v>425</v>
      </c>
      <c r="D2" s="125" t="s">
        <v>426</v>
      </c>
      <c r="E2" s="125" t="s">
        <v>427</v>
      </c>
      <c r="F2" s="125" t="s">
        <v>428</v>
      </c>
      <c r="G2" s="125" t="s">
        <v>429</v>
      </c>
      <c r="H2" s="125" t="s">
        <v>430</v>
      </c>
      <c r="J2" s="125" t="s">
        <v>431</v>
      </c>
      <c r="K2" s="72">
        <f>SUM(D3:F4)</f>
        <v>39121223</v>
      </c>
    </row>
    <row r="3" spans="1:16" ht="14.5">
      <c r="B3" s="70" t="s">
        <v>355</v>
      </c>
      <c r="C3" s="124">
        <v>4081202</v>
      </c>
      <c r="D3" s="124">
        <v>2923438</v>
      </c>
      <c r="E3" s="124">
        <v>8574715</v>
      </c>
      <c r="F3" s="124">
        <v>8180116</v>
      </c>
      <c r="G3" s="124">
        <v>7027818</v>
      </c>
      <c r="H3" s="120">
        <f>SUM(distr_init_pop_gc_F)</f>
        <v>30787289</v>
      </c>
      <c r="J3" s="125" t="s">
        <v>432</v>
      </c>
      <c r="K3" s="120">
        <f>SUM(C3:C4)</f>
        <v>8415305</v>
      </c>
    </row>
    <row r="4" spans="1:16" ht="14.5">
      <c r="B4" s="70" t="s">
        <v>354</v>
      </c>
      <c r="C4" s="124">
        <v>4334103</v>
      </c>
      <c r="D4" s="124">
        <v>3069079</v>
      </c>
      <c r="E4" s="124">
        <v>8546611</v>
      </c>
      <c r="F4" s="124">
        <v>7827264</v>
      </c>
      <c r="G4" s="124">
        <v>5125970</v>
      </c>
      <c r="H4" s="120">
        <f>SUM(distr_init_pop_gc_M)</f>
        <v>28903027</v>
      </c>
      <c r="J4" s="73"/>
    </row>
    <row r="6" spans="1:16" ht="14.5">
      <c r="A6" s="122" t="s">
        <v>433</v>
      </c>
      <c r="B6" s="123"/>
      <c r="C6" s="123"/>
      <c r="D6" s="123"/>
      <c r="E6" s="123"/>
      <c r="F6" s="123"/>
      <c r="G6" s="123"/>
      <c r="I6" s="129"/>
      <c r="J6" s="122" t="s">
        <v>434</v>
      </c>
      <c r="K6" s="123"/>
      <c r="L6" s="123"/>
      <c r="M6" s="123"/>
      <c r="N6" s="123"/>
      <c r="O6" s="123"/>
      <c r="P6" s="123"/>
    </row>
    <row r="7" spans="1:16" ht="14.5">
      <c r="A7" s="127" t="s">
        <v>435</v>
      </c>
      <c r="B7" s="128" t="s">
        <v>424</v>
      </c>
      <c r="C7" s="125" t="s">
        <v>425</v>
      </c>
      <c r="D7" s="125" t="s">
        <v>426</v>
      </c>
      <c r="E7" s="125" t="s">
        <v>427</v>
      </c>
      <c r="F7" s="125" t="s">
        <v>428</v>
      </c>
      <c r="G7" s="125" t="s">
        <v>429</v>
      </c>
      <c r="I7" s="129"/>
      <c r="J7" s="127" t="s">
        <v>435</v>
      </c>
      <c r="K7" s="126" t="s">
        <v>345</v>
      </c>
      <c r="L7" s="126" t="s">
        <v>346</v>
      </c>
      <c r="M7" s="126" t="s">
        <v>347</v>
      </c>
      <c r="N7" s="126" t="s">
        <v>345</v>
      </c>
      <c r="O7" s="126" t="s">
        <v>346</v>
      </c>
      <c r="P7" s="126" t="s">
        <v>347</v>
      </c>
    </row>
    <row r="8" spans="1:16" ht="14.5">
      <c r="A8" s="126" t="s">
        <v>345</v>
      </c>
      <c r="B8" s="70" t="s">
        <v>355</v>
      </c>
      <c r="C8" s="74">
        <v>0</v>
      </c>
      <c r="D8" s="74">
        <v>0.52</v>
      </c>
      <c r="E8" s="74">
        <v>7.5499999999999998E-2</v>
      </c>
      <c r="F8" s="74">
        <v>0.20599999999999999</v>
      </c>
      <c r="G8" s="74">
        <v>0.45400000000000001</v>
      </c>
      <c r="I8" s="129"/>
      <c r="J8" s="128" t="s">
        <v>424</v>
      </c>
      <c r="K8" s="70" t="s">
        <v>355</v>
      </c>
      <c r="L8" s="70" t="s">
        <v>355</v>
      </c>
      <c r="M8" s="70" t="s">
        <v>355</v>
      </c>
      <c r="N8" s="70" t="s">
        <v>354</v>
      </c>
      <c r="O8" s="70" t="s">
        <v>354</v>
      </c>
      <c r="P8" s="70" t="s">
        <v>354</v>
      </c>
    </row>
    <row r="9" spans="1:16" ht="14.5">
      <c r="A9" s="126" t="s">
        <v>346</v>
      </c>
      <c r="B9" s="70" t="s">
        <v>355</v>
      </c>
      <c r="C9" s="74">
        <v>0</v>
      </c>
      <c r="D9" s="74">
        <v>0.44500000000000001</v>
      </c>
      <c r="E9" s="74">
        <v>0.41499999999999998</v>
      </c>
      <c r="F9" s="74">
        <v>0.41099999999999998</v>
      </c>
      <c r="G9" s="74">
        <v>0.30199999999999999</v>
      </c>
      <c r="I9" s="129"/>
      <c r="J9" s="125" t="s">
        <v>425</v>
      </c>
      <c r="K9" s="74">
        <v>0</v>
      </c>
      <c r="L9" s="74">
        <v>0</v>
      </c>
      <c r="M9" s="74">
        <v>0</v>
      </c>
      <c r="N9" s="74">
        <v>0</v>
      </c>
      <c r="O9" s="74">
        <v>0</v>
      </c>
      <c r="P9" s="74">
        <v>0</v>
      </c>
    </row>
    <row r="10" spans="1:16" ht="14.5">
      <c r="A10" s="126" t="s">
        <v>347</v>
      </c>
      <c r="B10" s="70" t="s">
        <v>355</v>
      </c>
      <c r="C10" s="74">
        <v>0</v>
      </c>
      <c r="D10" s="74">
        <v>3.4000000000000002E-2</v>
      </c>
      <c r="E10" s="74">
        <v>0.50949999999999995</v>
      </c>
      <c r="F10" s="74">
        <v>0.38300000000000001</v>
      </c>
      <c r="G10" s="74">
        <v>0.24199999999999999</v>
      </c>
      <c r="I10" s="129"/>
      <c r="J10" s="125" t="s">
        <v>426</v>
      </c>
      <c r="K10" s="74">
        <v>0.52</v>
      </c>
      <c r="L10" s="74">
        <v>0.44500000000000001</v>
      </c>
      <c r="M10" s="74">
        <v>3.4000000000000002E-2</v>
      </c>
      <c r="N10" s="74">
        <v>0.55000000000000004</v>
      </c>
      <c r="O10" s="74">
        <v>0.44500000000000001</v>
      </c>
      <c r="P10" s="74">
        <v>7.0000000000000007E-2</v>
      </c>
    </row>
    <row r="11" spans="1:16" ht="14.5">
      <c r="A11" s="126" t="s">
        <v>345</v>
      </c>
      <c r="B11" s="70" t="s">
        <v>354</v>
      </c>
      <c r="C11" s="74">
        <v>0</v>
      </c>
      <c r="D11" s="74">
        <v>0.55000000000000004</v>
      </c>
      <c r="E11" s="74">
        <v>0.126</v>
      </c>
      <c r="F11" s="74">
        <v>0.2525</v>
      </c>
      <c r="G11" s="74">
        <v>0.42799999999999999</v>
      </c>
      <c r="I11" s="129"/>
      <c r="J11" s="125" t="s">
        <v>427</v>
      </c>
      <c r="K11" s="74">
        <v>7.5499999999999998E-2</v>
      </c>
      <c r="L11" s="74">
        <v>0.41499999999999998</v>
      </c>
      <c r="M11" s="74">
        <v>0.50949999999999995</v>
      </c>
      <c r="N11" s="74">
        <v>0.126</v>
      </c>
      <c r="O11" s="74">
        <v>0.53149999999999997</v>
      </c>
      <c r="P11" s="74">
        <v>0.34399999999999997</v>
      </c>
    </row>
    <row r="12" spans="1:16" ht="14.5">
      <c r="A12" s="126" t="s">
        <v>346</v>
      </c>
      <c r="B12" s="70" t="s">
        <v>354</v>
      </c>
      <c r="C12" s="74">
        <v>0</v>
      </c>
      <c r="D12" s="74">
        <v>0.44500000000000001</v>
      </c>
      <c r="E12" s="74">
        <v>0.53149999999999997</v>
      </c>
      <c r="F12" s="74">
        <v>0.4405</v>
      </c>
      <c r="G12" s="74">
        <v>0.30299999999999999</v>
      </c>
      <c r="I12" s="129"/>
      <c r="J12" s="125" t="s">
        <v>428</v>
      </c>
      <c r="K12" s="74">
        <v>0.20599999999999999</v>
      </c>
      <c r="L12" s="74">
        <v>0.41099999999999998</v>
      </c>
      <c r="M12" s="74">
        <v>0.38300000000000001</v>
      </c>
      <c r="N12" s="74">
        <v>0.2525</v>
      </c>
      <c r="O12" s="74">
        <v>0.4405</v>
      </c>
      <c r="P12" s="74">
        <v>0.3075</v>
      </c>
    </row>
    <row r="13" spans="1:16" ht="14.5">
      <c r="A13" s="126" t="s">
        <v>347</v>
      </c>
      <c r="B13" s="70" t="s">
        <v>354</v>
      </c>
      <c r="C13" s="74">
        <v>0</v>
      </c>
      <c r="D13" s="74">
        <v>7.0000000000000007E-2</v>
      </c>
      <c r="E13" s="74">
        <v>0.34399999999999997</v>
      </c>
      <c r="F13" s="74">
        <v>0.3075</v>
      </c>
      <c r="G13" s="74">
        <v>0.26900000000000002</v>
      </c>
      <c r="I13" s="129"/>
      <c r="J13" s="125" t="s">
        <v>429</v>
      </c>
      <c r="K13" s="74">
        <v>0.45400000000000001</v>
      </c>
      <c r="L13" s="74">
        <v>0.30199999999999999</v>
      </c>
      <c r="M13" s="74">
        <v>0.24199999999999999</v>
      </c>
      <c r="N13" s="74">
        <v>0.42799999999999999</v>
      </c>
      <c r="O13" s="74">
        <v>0.30299999999999999</v>
      </c>
      <c r="P13" s="74">
        <v>0.26900000000000002</v>
      </c>
    </row>
    <row r="14" spans="1:16">
      <c r="I14" s="129"/>
      <c r="M14" s="171"/>
      <c r="N14" s="171"/>
      <c r="O14" s="171"/>
    </row>
    <row r="15" spans="1:16" ht="14.5">
      <c r="A15" s="122" t="s">
        <v>436</v>
      </c>
      <c r="B15" s="123"/>
      <c r="C15" s="125" t="s">
        <v>426</v>
      </c>
      <c r="D15" s="123"/>
      <c r="E15" s="123"/>
      <c r="I15" s="129"/>
      <c r="M15" s="171"/>
      <c r="N15" s="171"/>
      <c r="O15" s="171"/>
    </row>
    <row r="16" spans="1:16" ht="14.5">
      <c r="A16" s="123"/>
      <c r="B16" s="123"/>
      <c r="C16" s="122" t="s">
        <v>345</v>
      </c>
      <c r="D16" s="122" t="s">
        <v>346</v>
      </c>
      <c r="E16" s="122" t="s">
        <v>347</v>
      </c>
      <c r="M16" s="171"/>
      <c r="N16" s="171"/>
      <c r="O16" s="171"/>
    </row>
    <row r="17" spans="1:15" ht="14.5">
      <c r="B17" s="70" t="s">
        <v>355</v>
      </c>
      <c r="C17" s="74">
        <v>-6.2893879307903385E-3</v>
      </c>
      <c r="D17" s="74">
        <v>7.2210762899966941E-3</v>
      </c>
      <c r="E17" s="74">
        <v>9.6823734601198218E-3</v>
      </c>
      <c r="J17" s="163" t="s">
        <v>437</v>
      </c>
      <c r="M17" s="171"/>
      <c r="N17" s="171"/>
      <c r="O17" s="171"/>
    </row>
    <row r="18" spans="1:15" ht="14.5">
      <c r="B18" s="70" t="s">
        <v>354</v>
      </c>
      <c r="C18" s="74">
        <v>-5.7097982465314128E-3</v>
      </c>
      <c r="D18" s="74">
        <v>5.9205059641700428E-3</v>
      </c>
      <c r="E18" s="74">
        <v>1.3314638595323799E-3</v>
      </c>
      <c r="J18" s="69" t="s">
        <v>438</v>
      </c>
    </row>
    <row r="19" spans="1:15" ht="14.5">
      <c r="A19" s="70"/>
      <c r="B19" s="70"/>
      <c r="J19" s="163" t="s">
        <v>439</v>
      </c>
    </row>
    <row r="20" spans="1:15">
      <c r="A20" s="128" t="s">
        <v>440</v>
      </c>
      <c r="B20" s="75">
        <v>1.8696699999999999</v>
      </c>
      <c r="J20" s="69" t="s">
        <v>441</v>
      </c>
    </row>
    <row r="23" spans="1:15" ht="14.5">
      <c r="A23" s="122" t="s">
        <v>442</v>
      </c>
      <c r="B23" s="68">
        <v>30</v>
      </c>
    </row>
    <row r="27" spans="1:15" ht="14.5">
      <c r="A27" s="122" t="s">
        <v>443</v>
      </c>
      <c r="B27" s="123"/>
      <c r="C27" s="125" t="s">
        <v>425</v>
      </c>
      <c r="D27" s="125" t="s">
        <v>426</v>
      </c>
      <c r="E27" s="125" t="s">
        <v>427</v>
      </c>
      <c r="F27" s="125" t="s">
        <v>428</v>
      </c>
      <c r="G27" s="125" t="s">
        <v>429</v>
      </c>
    </row>
    <row r="28" spans="1:15" ht="14.5">
      <c r="B28" s="70" t="s">
        <v>355</v>
      </c>
      <c r="C28" s="74">
        <v>2.3705244842958507E-4</v>
      </c>
      <c r="D28" s="74">
        <v>2.7283691483457711E-4</v>
      </c>
      <c r="E28" s="74">
        <v>5.9957484692672468E-4</v>
      </c>
      <c r="F28" s="74">
        <v>3.4998429723334052E-3</v>
      </c>
      <c r="G28" s="74">
        <v>2.2485554614111666E-2</v>
      </c>
    </row>
    <row r="29" spans="1:15" ht="14.5">
      <c r="B29" s="70" t="s">
        <v>354</v>
      </c>
      <c r="C29" s="74">
        <v>2.8425366885549339E-4</v>
      </c>
      <c r="D29" s="74">
        <v>8.1112157613103919E-4</v>
      </c>
      <c r="E29" s="74">
        <v>1.4458012485939584E-3</v>
      </c>
      <c r="F29" s="74">
        <v>7.8483222175906621E-3</v>
      </c>
      <c r="G29" s="74">
        <v>2.9922289440798458E-2</v>
      </c>
    </row>
    <row r="31" spans="1:15" ht="14.5">
      <c r="C31" s="71"/>
      <c r="D31" s="71"/>
      <c r="E31" s="71"/>
      <c r="F31" s="71"/>
      <c r="G31" s="71"/>
    </row>
    <row r="32" spans="1:15" ht="14.5">
      <c r="C32" s="71"/>
      <c r="E32" s="7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BF282-FFBC-4969-86FF-77F189EE2EBD}">
  <sheetPr codeName="Sheet15">
    <tabColor theme="7" tint="0.39997558519241921"/>
  </sheetPr>
  <dimension ref="A1:AQ13"/>
  <sheetViews>
    <sheetView workbookViewId="0">
      <selection activeCell="C9" sqref="C9"/>
    </sheetView>
  </sheetViews>
  <sheetFormatPr defaultColWidth="8.75" defaultRowHeight="14.5"/>
  <cols>
    <col min="1" max="1" width="9.58203125" style="154" bestFit="1" customWidth="1"/>
    <col min="2" max="2" width="11.08203125" style="154" customWidth="1"/>
    <col min="3" max="16384" width="8.75" style="154"/>
  </cols>
  <sheetData>
    <row r="1" spans="1:43">
      <c r="A1"/>
      <c r="B1"/>
      <c r="C1" s="535" t="s">
        <v>444</v>
      </c>
      <c r="D1" s="535"/>
      <c r="E1" s="535"/>
      <c r="F1" s="535"/>
      <c r="G1" s="535"/>
      <c r="H1" s="535"/>
      <c r="I1" s="535"/>
      <c r="J1" s="535"/>
      <c r="K1" s="535"/>
      <c r="L1" s="535"/>
      <c r="M1" s="535"/>
      <c r="N1" s="535"/>
      <c r="O1" s="536" t="s">
        <v>445</v>
      </c>
      <c r="P1" s="536"/>
      <c r="Q1" s="536"/>
      <c r="R1" s="536"/>
      <c r="S1" s="536"/>
      <c r="T1" s="536"/>
      <c r="U1" s="536"/>
      <c r="V1" s="536"/>
      <c r="W1" s="536"/>
      <c r="X1" s="536"/>
      <c r="Y1" s="536"/>
      <c r="Z1" s="536"/>
      <c r="AA1" s="536"/>
      <c r="AB1" s="536"/>
      <c r="AC1" s="536"/>
      <c r="AD1" s="536"/>
      <c r="AE1" s="536"/>
      <c r="AF1" s="536"/>
      <c r="AG1" s="536"/>
      <c r="AH1" s="536"/>
      <c r="AI1" s="536"/>
      <c r="AJ1" s="536"/>
      <c r="AK1" s="536"/>
      <c r="AL1" s="536"/>
      <c r="AM1" s="536"/>
      <c r="AN1" s="536"/>
      <c r="AO1" s="536"/>
      <c r="AP1" s="536"/>
      <c r="AQ1" s="536"/>
    </row>
    <row r="2" spans="1:43">
      <c r="A2"/>
      <c r="B2"/>
      <c r="C2">
        <v>0</v>
      </c>
      <c r="D2">
        <v>1</v>
      </c>
      <c r="E2">
        <v>2</v>
      </c>
      <c r="F2">
        <v>3</v>
      </c>
      <c r="G2">
        <v>4</v>
      </c>
      <c r="H2">
        <v>5</v>
      </c>
      <c r="I2">
        <v>6</v>
      </c>
      <c r="J2">
        <v>7</v>
      </c>
      <c r="K2">
        <v>8</v>
      </c>
      <c r="L2">
        <v>9</v>
      </c>
      <c r="M2">
        <v>10</v>
      </c>
      <c r="N2">
        <v>11</v>
      </c>
      <c r="O2">
        <v>12</v>
      </c>
      <c r="P2">
        <v>13</v>
      </c>
      <c r="Q2">
        <v>14</v>
      </c>
      <c r="R2">
        <v>15</v>
      </c>
      <c r="S2">
        <v>16</v>
      </c>
      <c r="T2">
        <v>17</v>
      </c>
      <c r="U2">
        <v>18</v>
      </c>
      <c r="V2">
        <v>19</v>
      </c>
      <c r="W2">
        <v>20</v>
      </c>
      <c r="X2">
        <v>21</v>
      </c>
      <c r="Y2">
        <v>22</v>
      </c>
      <c r="Z2">
        <v>23</v>
      </c>
      <c r="AA2">
        <v>24</v>
      </c>
      <c r="AB2">
        <v>25</v>
      </c>
      <c r="AC2">
        <v>26</v>
      </c>
      <c r="AD2">
        <v>27</v>
      </c>
      <c r="AE2">
        <v>28</v>
      </c>
      <c r="AF2">
        <v>29</v>
      </c>
      <c r="AG2">
        <v>30</v>
      </c>
      <c r="AH2">
        <v>31</v>
      </c>
      <c r="AI2">
        <v>32</v>
      </c>
      <c r="AJ2">
        <v>33</v>
      </c>
      <c r="AK2">
        <v>34</v>
      </c>
      <c r="AL2">
        <v>35</v>
      </c>
      <c r="AM2">
        <v>36</v>
      </c>
      <c r="AN2">
        <v>37</v>
      </c>
      <c r="AO2">
        <v>38</v>
      </c>
      <c r="AP2">
        <v>39</v>
      </c>
      <c r="AQ2">
        <v>40</v>
      </c>
    </row>
    <row r="3" spans="1:43">
      <c r="A3" t="s">
        <v>192</v>
      </c>
      <c r="B3" t="s">
        <v>425</v>
      </c>
      <c r="C3">
        <v>52143.49320639814</v>
      </c>
      <c r="D3">
        <v>41293.842090803417</v>
      </c>
      <c r="E3">
        <v>32643.644493746808</v>
      </c>
      <c r="F3">
        <v>21733</v>
      </c>
      <c r="G3">
        <v>14743</v>
      </c>
      <c r="H3">
        <v>12220</v>
      </c>
      <c r="I3">
        <v>13328</v>
      </c>
      <c r="J3">
        <v>18738</v>
      </c>
      <c r="K3">
        <v>22068</v>
      </c>
      <c r="L3">
        <v>28137</v>
      </c>
      <c r="M3">
        <v>14612</v>
      </c>
      <c r="N3" s="193">
        <v>23900</v>
      </c>
      <c r="O3">
        <v>71426</v>
      </c>
      <c r="P3">
        <v>34711</v>
      </c>
      <c r="Q3">
        <v>24840</v>
      </c>
      <c r="R3">
        <v>27492</v>
      </c>
      <c r="S3">
        <v>30255</v>
      </c>
      <c r="T3">
        <v>32707</v>
      </c>
      <c r="U3">
        <v>33851</v>
      </c>
      <c r="V3">
        <v>35111</v>
      </c>
      <c r="W3">
        <v>35406</v>
      </c>
      <c r="X3">
        <v>35803</v>
      </c>
      <c r="Y3">
        <v>36033</v>
      </c>
      <c r="Z3">
        <v>36349</v>
      </c>
      <c r="AA3">
        <v>37523</v>
      </c>
      <c r="AB3">
        <v>37308</v>
      </c>
      <c r="AC3">
        <v>37397</v>
      </c>
      <c r="AD3">
        <v>37288</v>
      </c>
      <c r="AE3">
        <v>37146</v>
      </c>
      <c r="AF3">
        <v>37138</v>
      </c>
      <c r="AG3">
        <v>36567</v>
      </c>
      <c r="AH3">
        <v>35927</v>
      </c>
      <c r="AI3">
        <v>35359</v>
      </c>
      <c r="AJ3">
        <v>34916</v>
      </c>
      <c r="AK3">
        <v>34289</v>
      </c>
      <c r="AL3">
        <v>33900</v>
      </c>
      <c r="AM3">
        <v>33588</v>
      </c>
      <c r="AN3">
        <v>33474</v>
      </c>
      <c r="AO3">
        <v>33091</v>
      </c>
      <c r="AP3">
        <v>32889</v>
      </c>
      <c r="AQ3">
        <v>32684</v>
      </c>
    </row>
    <row r="4" spans="1:43">
      <c r="A4"/>
      <c r="B4" t="s">
        <v>426</v>
      </c>
      <c r="C4">
        <v>88467.421116644444</v>
      </c>
      <c r="D4">
        <v>72551.831767156502</v>
      </c>
      <c r="E4">
        <v>62445.719140441877</v>
      </c>
      <c r="F4">
        <v>48564</v>
      </c>
      <c r="G4">
        <v>39418</v>
      </c>
      <c r="H4">
        <v>46366</v>
      </c>
      <c r="I4">
        <v>55493</v>
      </c>
      <c r="J4">
        <v>76619</v>
      </c>
      <c r="K4">
        <v>64810</v>
      </c>
      <c r="L4">
        <v>38307</v>
      </c>
      <c r="M4">
        <v>23431</v>
      </c>
      <c r="N4" s="193">
        <v>36378</v>
      </c>
      <c r="O4">
        <v>75098</v>
      </c>
      <c r="P4">
        <v>62185</v>
      </c>
      <c r="Q4">
        <v>59447</v>
      </c>
      <c r="R4">
        <v>60969</v>
      </c>
      <c r="S4">
        <v>62778</v>
      </c>
      <c r="T4">
        <v>64269</v>
      </c>
      <c r="U4">
        <v>65370</v>
      </c>
      <c r="V4">
        <v>66757</v>
      </c>
      <c r="W4">
        <v>66738</v>
      </c>
      <c r="X4">
        <v>67032</v>
      </c>
      <c r="Y4">
        <v>67121</v>
      </c>
      <c r="Z4">
        <v>67475</v>
      </c>
      <c r="AA4">
        <v>69316</v>
      </c>
      <c r="AB4">
        <v>69007</v>
      </c>
      <c r="AC4">
        <v>69190</v>
      </c>
      <c r="AD4">
        <v>69057</v>
      </c>
      <c r="AE4">
        <v>68863</v>
      </c>
      <c r="AF4">
        <v>68882</v>
      </c>
      <c r="AG4">
        <v>68022</v>
      </c>
      <c r="AH4">
        <v>67057</v>
      </c>
      <c r="AI4">
        <v>66197</v>
      </c>
      <c r="AJ4">
        <v>65546</v>
      </c>
      <c r="AK4">
        <v>64582</v>
      </c>
      <c r="AL4">
        <v>64007</v>
      </c>
      <c r="AM4">
        <v>63515</v>
      </c>
      <c r="AN4">
        <v>63336</v>
      </c>
      <c r="AO4">
        <v>62745</v>
      </c>
      <c r="AP4">
        <v>62415</v>
      </c>
      <c r="AQ4">
        <v>62082</v>
      </c>
    </row>
    <row r="5" spans="1:43">
      <c r="A5"/>
      <c r="B5" t="s">
        <v>427</v>
      </c>
      <c r="C5">
        <v>168973.46821226049</v>
      </c>
      <c r="D5">
        <v>134100.91804658476</v>
      </c>
      <c r="E5">
        <v>106594.47909372963</v>
      </c>
      <c r="F5">
        <v>82811</v>
      </c>
      <c r="G5">
        <v>67783</v>
      </c>
      <c r="H5">
        <v>59902</v>
      </c>
      <c r="I5">
        <v>56975</v>
      </c>
      <c r="J5">
        <v>71204</v>
      </c>
      <c r="K5">
        <v>65708</v>
      </c>
      <c r="L5">
        <v>52667</v>
      </c>
      <c r="M5">
        <v>33727</v>
      </c>
      <c r="N5" s="193">
        <v>71247</v>
      </c>
      <c r="O5">
        <v>127206</v>
      </c>
      <c r="P5">
        <v>101171</v>
      </c>
      <c r="Q5">
        <v>97931</v>
      </c>
      <c r="R5">
        <v>104248</v>
      </c>
      <c r="S5">
        <v>111128</v>
      </c>
      <c r="T5">
        <v>117256</v>
      </c>
      <c r="U5">
        <v>119410</v>
      </c>
      <c r="V5">
        <v>122114</v>
      </c>
      <c r="W5">
        <v>121848</v>
      </c>
      <c r="X5">
        <v>122035</v>
      </c>
      <c r="Y5">
        <v>121796</v>
      </c>
      <c r="Z5">
        <v>122025</v>
      </c>
      <c r="AA5">
        <v>124165</v>
      </c>
      <c r="AB5">
        <v>123198</v>
      </c>
      <c r="AC5">
        <v>123235</v>
      </c>
      <c r="AD5">
        <v>122619</v>
      </c>
      <c r="AE5">
        <v>121911</v>
      </c>
      <c r="AF5">
        <v>121619</v>
      </c>
      <c r="AG5">
        <v>119541</v>
      </c>
      <c r="AH5">
        <v>117240</v>
      </c>
      <c r="AI5">
        <v>115182</v>
      </c>
      <c r="AJ5">
        <v>113541</v>
      </c>
      <c r="AK5">
        <v>111297</v>
      </c>
      <c r="AL5">
        <v>109839</v>
      </c>
      <c r="AM5">
        <v>108602</v>
      </c>
      <c r="AN5">
        <v>108005</v>
      </c>
      <c r="AO5">
        <v>106572</v>
      </c>
      <c r="AP5">
        <v>105694</v>
      </c>
      <c r="AQ5">
        <v>104829</v>
      </c>
    </row>
    <row r="6" spans="1:43">
      <c r="A6"/>
      <c r="B6" t="s">
        <v>428</v>
      </c>
      <c r="C6">
        <v>55365.965306667313</v>
      </c>
      <c r="D6">
        <v>43587.636326545195</v>
      </c>
      <c r="E6">
        <v>33929.431772094176</v>
      </c>
      <c r="F6">
        <v>24188</v>
      </c>
      <c r="G6">
        <v>16212</v>
      </c>
      <c r="H6">
        <v>12406</v>
      </c>
      <c r="I6">
        <v>13717</v>
      </c>
      <c r="J6">
        <v>16855</v>
      </c>
      <c r="K6">
        <v>17199</v>
      </c>
      <c r="L6">
        <v>25608</v>
      </c>
      <c r="M6">
        <v>13840</v>
      </c>
      <c r="N6" s="193">
        <v>24473</v>
      </c>
      <c r="O6">
        <v>58178</v>
      </c>
      <c r="P6">
        <v>33829</v>
      </c>
      <c r="Q6">
        <v>27860</v>
      </c>
      <c r="R6">
        <v>30367</v>
      </c>
      <c r="S6">
        <v>32997</v>
      </c>
      <c r="T6">
        <v>35378</v>
      </c>
      <c r="U6">
        <v>36108</v>
      </c>
      <c r="V6">
        <v>36971</v>
      </c>
      <c r="W6">
        <v>36962</v>
      </c>
      <c r="X6">
        <v>37074</v>
      </c>
      <c r="Y6">
        <v>37067</v>
      </c>
      <c r="Z6">
        <v>37166</v>
      </c>
      <c r="AA6">
        <v>38650</v>
      </c>
      <c r="AB6">
        <v>38316</v>
      </c>
      <c r="AC6">
        <v>38262</v>
      </c>
      <c r="AD6">
        <v>38028</v>
      </c>
      <c r="AE6">
        <v>37778</v>
      </c>
      <c r="AF6">
        <v>37634</v>
      </c>
      <c r="AG6">
        <v>36987</v>
      </c>
      <c r="AH6">
        <v>36279</v>
      </c>
      <c r="AI6">
        <v>35643</v>
      </c>
      <c r="AJ6">
        <v>35121</v>
      </c>
      <c r="AK6">
        <v>34437</v>
      </c>
      <c r="AL6">
        <v>33971</v>
      </c>
      <c r="AM6">
        <v>33585</v>
      </c>
      <c r="AN6">
        <v>33376</v>
      </c>
      <c r="AO6">
        <v>32923</v>
      </c>
      <c r="AP6">
        <v>32643</v>
      </c>
      <c r="AQ6">
        <v>32365</v>
      </c>
    </row>
    <row r="7" spans="1:43">
      <c r="A7"/>
      <c r="B7" t="s">
        <v>429</v>
      </c>
      <c r="C7">
        <v>15134.652158029607</v>
      </c>
      <c r="D7">
        <v>11797.771768910115</v>
      </c>
      <c r="E7">
        <v>8942.7254999875186</v>
      </c>
      <c r="F7">
        <v>4423</v>
      </c>
      <c r="G7">
        <v>3147</v>
      </c>
      <c r="H7">
        <v>2229</v>
      </c>
      <c r="I7">
        <v>4253</v>
      </c>
      <c r="J7">
        <v>4914</v>
      </c>
      <c r="K7">
        <v>5579</v>
      </c>
      <c r="L7">
        <v>8554</v>
      </c>
      <c r="M7">
        <v>2032</v>
      </c>
      <c r="N7" s="193">
        <v>4056</v>
      </c>
      <c r="O7">
        <v>16573</v>
      </c>
      <c r="P7">
        <v>9138</v>
      </c>
      <c r="Q7">
        <v>7154</v>
      </c>
      <c r="R7">
        <v>7757</v>
      </c>
      <c r="S7">
        <v>8419</v>
      </c>
      <c r="T7">
        <v>9047</v>
      </c>
      <c r="U7">
        <v>9162</v>
      </c>
      <c r="V7">
        <v>9338</v>
      </c>
      <c r="W7">
        <v>9268</v>
      </c>
      <c r="X7">
        <v>9257</v>
      </c>
      <c r="Y7">
        <v>9229</v>
      </c>
      <c r="Z7">
        <v>9235</v>
      </c>
      <c r="AA7">
        <v>10375</v>
      </c>
      <c r="AB7">
        <v>10235</v>
      </c>
      <c r="AC7">
        <v>10184</v>
      </c>
      <c r="AD7">
        <v>10073</v>
      </c>
      <c r="AE7">
        <v>9959</v>
      </c>
      <c r="AF7">
        <v>9884</v>
      </c>
      <c r="AG7">
        <v>9646</v>
      </c>
      <c r="AH7">
        <v>9394</v>
      </c>
      <c r="AI7">
        <v>9160</v>
      </c>
      <c r="AJ7">
        <v>8958</v>
      </c>
      <c r="AK7">
        <v>8718</v>
      </c>
      <c r="AL7">
        <v>8545</v>
      </c>
      <c r="AM7">
        <v>8387</v>
      </c>
      <c r="AN7">
        <v>8287</v>
      </c>
      <c r="AO7">
        <v>8113</v>
      </c>
      <c r="AP7">
        <v>7990</v>
      </c>
      <c r="AQ7">
        <v>7873</v>
      </c>
    </row>
    <row r="8" spans="1:43">
      <c r="A8" s="194"/>
      <c r="B8" s="194"/>
      <c r="C8" s="194"/>
      <c r="D8" s="194"/>
      <c r="E8" s="194"/>
      <c r="F8" s="194"/>
      <c r="G8" s="194"/>
      <c r="H8" s="194"/>
      <c r="I8" s="194"/>
      <c r="J8" s="194"/>
      <c r="K8" s="194"/>
      <c r="L8" s="194"/>
      <c r="M8" s="194"/>
      <c r="N8" s="195"/>
      <c r="O8" s="194"/>
      <c r="P8" s="194"/>
      <c r="Q8" s="194"/>
      <c r="R8" s="194"/>
      <c r="S8" s="194"/>
      <c r="T8" s="194"/>
      <c r="U8" s="194"/>
      <c r="V8" s="194"/>
      <c r="W8" s="194"/>
      <c r="X8" s="194"/>
      <c r="Y8" s="194"/>
      <c r="Z8" s="194"/>
      <c r="AA8" s="194"/>
      <c r="AB8" s="194"/>
      <c r="AC8" s="194"/>
      <c r="AD8" s="194"/>
      <c r="AE8" s="194"/>
      <c r="AF8" s="194"/>
      <c r="AG8" s="194"/>
      <c r="AH8" s="194"/>
      <c r="AI8" s="194"/>
      <c r="AJ8" s="194"/>
      <c r="AK8" s="194"/>
      <c r="AL8" s="194"/>
      <c r="AM8" s="194"/>
      <c r="AN8" s="194"/>
      <c r="AO8" s="194"/>
      <c r="AP8" s="194"/>
      <c r="AQ8" s="194"/>
    </row>
    <row r="9" spans="1:43">
      <c r="A9" t="s">
        <v>446</v>
      </c>
      <c r="B9" t="s">
        <v>425</v>
      </c>
      <c r="C9">
        <v>0.43343226695597636</v>
      </c>
      <c r="D9">
        <v>0.46624280334933621</v>
      </c>
      <c r="E9">
        <v>0.46827670919004932</v>
      </c>
      <c r="F9">
        <v>0.53683338701513827</v>
      </c>
      <c r="G9">
        <v>0.52987858644780572</v>
      </c>
      <c r="H9">
        <v>0.5463993453355156</v>
      </c>
      <c r="I9">
        <v>0.55019507803121248</v>
      </c>
      <c r="J9">
        <v>0.54749706478813109</v>
      </c>
      <c r="K9">
        <v>0.54051114736269712</v>
      </c>
      <c r="L9">
        <v>0.53520275793439243</v>
      </c>
      <c r="M9">
        <v>0.56255132767588278</v>
      </c>
      <c r="N9" s="193">
        <v>0.53167364016736407</v>
      </c>
      <c r="O9">
        <v>0.51432251561056197</v>
      </c>
      <c r="P9">
        <v>0.51652213995563367</v>
      </c>
      <c r="Q9">
        <v>0.51521739130434785</v>
      </c>
      <c r="R9">
        <v>0.51396769969445655</v>
      </c>
      <c r="S9">
        <v>0.51307221946785653</v>
      </c>
      <c r="T9">
        <v>0.51282600055034089</v>
      </c>
      <c r="U9">
        <v>0.51189034297361968</v>
      </c>
      <c r="V9">
        <v>0.51097946512488968</v>
      </c>
      <c r="W9">
        <v>0.51104332598994517</v>
      </c>
      <c r="X9">
        <v>0.51090690724240984</v>
      </c>
      <c r="Y9">
        <v>0.50978269919240693</v>
      </c>
      <c r="Z9">
        <v>0.50975267545186942</v>
      </c>
      <c r="AA9">
        <v>0.51003384590784318</v>
      </c>
      <c r="AB9">
        <v>0.5098906400771952</v>
      </c>
      <c r="AC9">
        <v>0.50953285022862793</v>
      </c>
      <c r="AD9">
        <v>0.5096545805621111</v>
      </c>
      <c r="AE9">
        <v>0.50912615086415769</v>
      </c>
      <c r="AF9">
        <v>0.50907426355754215</v>
      </c>
      <c r="AG9">
        <v>0.5095031038914869</v>
      </c>
      <c r="AH9">
        <v>0.5101177387480168</v>
      </c>
      <c r="AI9">
        <v>0.51053480019231312</v>
      </c>
      <c r="AJ9">
        <v>0.5112555848321686</v>
      </c>
      <c r="AK9">
        <v>0.51168013065414564</v>
      </c>
      <c r="AL9">
        <v>0.51268436578171095</v>
      </c>
      <c r="AM9">
        <v>0.51223651304037154</v>
      </c>
      <c r="AN9">
        <v>0.51245742964689012</v>
      </c>
      <c r="AO9">
        <v>0.51300957964401195</v>
      </c>
      <c r="AP9">
        <v>0.51299826689774697</v>
      </c>
      <c r="AQ9">
        <v>0.51309509239995099</v>
      </c>
    </row>
    <row r="10" spans="1:43">
      <c r="A10"/>
      <c r="B10" t="s">
        <v>426</v>
      </c>
      <c r="C10">
        <v>0.51726280766433497</v>
      </c>
      <c r="D10">
        <v>0.55412272017721298</v>
      </c>
      <c r="E10">
        <v>0.56535931760892144</v>
      </c>
      <c r="F10">
        <v>0.4855448480355819</v>
      </c>
      <c r="G10">
        <v>0.5395504591810848</v>
      </c>
      <c r="H10">
        <v>0.6448259500496053</v>
      </c>
      <c r="I10">
        <v>0.72863244012758366</v>
      </c>
      <c r="J10">
        <v>0.75444733029666267</v>
      </c>
      <c r="K10">
        <v>0.71164943681530624</v>
      </c>
      <c r="L10">
        <v>0.57007857571723186</v>
      </c>
      <c r="M10">
        <v>0.64354914429601806</v>
      </c>
      <c r="N10" s="193">
        <v>0.64544504920556378</v>
      </c>
      <c r="O10">
        <v>0.56528802364909847</v>
      </c>
      <c r="P10">
        <v>0.62468440942349446</v>
      </c>
      <c r="Q10">
        <v>0.64459098020085115</v>
      </c>
      <c r="R10">
        <v>0.63966934015647292</v>
      </c>
      <c r="S10">
        <v>0.63530217592150118</v>
      </c>
      <c r="T10">
        <v>0.63173536230531047</v>
      </c>
      <c r="U10">
        <v>0.62981489980113203</v>
      </c>
      <c r="V10">
        <v>0.62811390565783365</v>
      </c>
      <c r="W10">
        <v>0.62716892924570711</v>
      </c>
      <c r="X10">
        <v>0.62632772407208492</v>
      </c>
      <c r="Y10">
        <v>0.62479700838783692</v>
      </c>
      <c r="Z10">
        <v>0.62417191552426821</v>
      </c>
      <c r="AA10">
        <v>0.62141496912689709</v>
      </c>
      <c r="AB10">
        <v>0.62090802382367005</v>
      </c>
      <c r="AC10">
        <v>0.62029194970371437</v>
      </c>
      <c r="AD10">
        <v>0.61999507653098163</v>
      </c>
      <c r="AE10">
        <v>0.61921496304256274</v>
      </c>
      <c r="AF10">
        <v>0.61888446909207051</v>
      </c>
      <c r="AG10">
        <v>0.61878509893857869</v>
      </c>
      <c r="AH10">
        <v>0.61883174016135523</v>
      </c>
      <c r="AI10">
        <v>0.61874405184524983</v>
      </c>
      <c r="AJ10">
        <v>0.61896988374576634</v>
      </c>
      <c r="AK10">
        <v>0.6188721315536837</v>
      </c>
      <c r="AL10">
        <v>0.61929163997687753</v>
      </c>
      <c r="AM10">
        <v>0.61859403290561288</v>
      </c>
      <c r="AN10">
        <v>0.61844764430971333</v>
      </c>
      <c r="AO10">
        <v>0.61853534146147104</v>
      </c>
      <c r="AP10">
        <v>0.61818473123447892</v>
      </c>
      <c r="AQ10">
        <v>0.61790857253310139</v>
      </c>
    </row>
    <row r="11" spans="1:43">
      <c r="A11"/>
      <c r="B11" t="s">
        <v>427</v>
      </c>
      <c r="C11">
        <v>0.44441034801482548</v>
      </c>
      <c r="D11">
        <v>0.4769836577383848</v>
      </c>
      <c r="E11">
        <v>0.47626894467636377</v>
      </c>
      <c r="F11">
        <v>0.48459745685959593</v>
      </c>
      <c r="G11">
        <v>0.51554224510570501</v>
      </c>
      <c r="H11">
        <v>0.58375346399118555</v>
      </c>
      <c r="I11">
        <v>0.61023255813953492</v>
      </c>
      <c r="J11">
        <v>0.62461378574237403</v>
      </c>
      <c r="K11">
        <v>0.56641504839593348</v>
      </c>
      <c r="L11">
        <v>0.45402244289593102</v>
      </c>
      <c r="M11">
        <v>0.49758353841136183</v>
      </c>
      <c r="N11" s="193">
        <v>0.53015565567673029</v>
      </c>
      <c r="O11">
        <v>0.41831360155967484</v>
      </c>
      <c r="P11">
        <v>0.50826817961668858</v>
      </c>
      <c r="Q11">
        <v>0.5450470229038813</v>
      </c>
      <c r="R11">
        <v>0.5425811526360218</v>
      </c>
      <c r="S11">
        <v>0.54068281621193581</v>
      </c>
      <c r="T11">
        <v>0.5395630074367197</v>
      </c>
      <c r="U11">
        <v>0.53779415459341762</v>
      </c>
      <c r="V11">
        <v>0.53629395482909414</v>
      </c>
      <c r="W11">
        <v>0.53538835270172669</v>
      </c>
      <c r="X11">
        <v>0.5342483713688696</v>
      </c>
      <c r="Y11">
        <v>0.53224243817530958</v>
      </c>
      <c r="Z11">
        <v>0.53152222905142388</v>
      </c>
      <c r="AA11">
        <v>0.52713727701042967</v>
      </c>
      <c r="AB11">
        <v>0.52682673420023052</v>
      </c>
      <c r="AC11">
        <v>0.52644946646650703</v>
      </c>
      <c r="AD11">
        <v>0.52643554424681327</v>
      </c>
      <c r="AE11">
        <v>0.52578520396026607</v>
      </c>
      <c r="AF11">
        <v>0.52569910951413845</v>
      </c>
      <c r="AG11">
        <v>0.52563555600170653</v>
      </c>
      <c r="AH11">
        <v>0.52571647901740015</v>
      </c>
      <c r="AI11">
        <v>0.52563768644406239</v>
      </c>
      <c r="AJ11">
        <v>0.52598620762543924</v>
      </c>
      <c r="AK11">
        <v>0.52582729094225356</v>
      </c>
      <c r="AL11">
        <v>0.52642504028623716</v>
      </c>
      <c r="AM11">
        <v>0.52564409495221087</v>
      </c>
      <c r="AN11">
        <v>0.52569788435720566</v>
      </c>
      <c r="AO11">
        <v>0.52586983447809932</v>
      </c>
      <c r="AP11">
        <v>0.52559274887883889</v>
      </c>
      <c r="AQ11">
        <v>0.5254080454835971</v>
      </c>
    </row>
    <row r="12" spans="1:43">
      <c r="A12"/>
      <c r="B12" t="s">
        <v>428</v>
      </c>
      <c r="C12">
        <v>0.30123785386260987</v>
      </c>
      <c r="D12">
        <v>0.3161086201565132</v>
      </c>
      <c r="E12">
        <v>0.28731185045047125</v>
      </c>
      <c r="F12">
        <v>0.15664792459070614</v>
      </c>
      <c r="G12">
        <v>8.3395016037503086E-2</v>
      </c>
      <c r="H12">
        <v>3.9497017572142509E-2</v>
      </c>
      <c r="I12">
        <v>0.12284027119632572</v>
      </c>
      <c r="J12">
        <v>0.23506377929397804</v>
      </c>
      <c r="K12">
        <v>0.25623582766439912</v>
      </c>
      <c r="L12">
        <v>0.38585598250546704</v>
      </c>
      <c r="M12">
        <v>0.30440751445086706</v>
      </c>
      <c r="N12" s="193">
        <v>0.31814652882768768</v>
      </c>
      <c r="O12">
        <v>0.19655196122245522</v>
      </c>
      <c r="P12">
        <v>0.26539359720949479</v>
      </c>
      <c r="Q12">
        <v>0.32447954055994255</v>
      </c>
      <c r="R12">
        <v>0.33602265617281918</v>
      </c>
      <c r="S12">
        <v>0.34660726732733277</v>
      </c>
      <c r="T12">
        <v>0.3558426140539318</v>
      </c>
      <c r="U12">
        <v>0.35493519441674976</v>
      </c>
      <c r="V12">
        <v>0.35454815936815343</v>
      </c>
      <c r="W12">
        <v>0.35349818732752558</v>
      </c>
      <c r="X12">
        <v>0.35261908615202031</v>
      </c>
      <c r="Y12">
        <v>0.35104000863301588</v>
      </c>
      <c r="Z12">
        <v>0.35077759242318246</v>
      </c>
      <c r="AA12">
        <v>0.34408796895213456</v>
      </c>
      <c r="AB12">
        <v>0.34385113268608414</v>
      </c>
      <c r="AC12">
        <v>0.34410119701008834</v>
      </c>
      <c r="AD12">
        <v>0.34427264121173873</v>
      </c>
      <c r="AE12">
        <v>0.34393032982158928</v>
      </c>
      <c r="AF12">
        <v>0.34423659456874101</v>
      </c>
      <c r="AG12">
        <v>0.34368832292427071</v>
      </c>
      <c r="AH12">
        <v>0.34309104440585464</v>
      </c>
      <c r="AI12">
        <v>0.34250764525993882</v>
      </c>
      <c r="AJ12">
        <v>0.34247316420375273</v>
      </c>
      <c r="AK12">
        <v>0.34166739263002005</v>
      </c>
      <c r="AL12">
        <v>0.34187983868593802</v>
      </c>
      <c r="AM12">
        <v>0.34122376060741405</v>
      </c>
      <c r="AN12">
        <v>0.34162272291466922</v>
      </c>
      <c r="AO12">
        <v>0.34161528414786013</v>
      </c>
      <c r="AP12">
        <v>0.34160463192721258</v>
      </c>
      <c r="AQ12">
        <v>0.34172717441680828</v>
      </c>
    </row>
    <row r="13" spans="1:43">
      <c r="A13"/>
      <c r="B13" t="s">
        <v>429</v>
      </c>
      <c r="C13">
        <v>0.36667763893665284</v>
      </c>
      <c r="D13">
        <v>0.39465511369943651</v>
      </c>
      <c r="E13">
        <v>0.39121233523202203</v>
      </c>
      <c r="F13">
        <v>0.36558896676463937</v>
      </c>
      <c r="G13">
        <v>0.37368922783603431</v>
      </c>
      <c r="H13">
        <v>0.2902646926873037</v>
      </c>
      <c r="I13">
        <v>0.38208323536327299</v>
      </c>
      <c r="J13">
        <v>0.37240537240537241</v>
      </c>
      <c r="K13">
        <v>0.41010933859114534</v>
      </c>
      <c r="L13">
        <v>0.45791442599953236</v>
      </c>
      <c r="M13">
        <v>0.81840551181102361</v>
      </c>
      <c r="N13" s="193">
        <v>0.74654832347140043</v>
      </c>
      <c r="O13">
        <v>0.31370301092137814</v>
      </c>
      <c r="P13">
        <v>0.39899321514554609</v>
      </c>
      <c r="Q13">
        <v>0.46952753704221417</v>
      </c>
      <c r="R13">
        <v>0.4706716514116282</v>
      </c>
      <c r="S13">
        <v>0.47107732509799266</v>
      </c>
      <c r="T13">
        <v>0.47109539073726098</v>
      </c>
      <c r="U13">
        <v>0.47085789129011135</v>
      </c>
      <c r="V13">
        <v>0.46969372456628827</v>
      </c>
      <c r="W13">
        <v>0.47011221406991799</v>
      </c>
      <c r="X13">
        <v>0.46948255374311332</v>
      </c>
      <c r="Y13">
        <v>0.46743959258857948</v>
      </c>
      <c r="Z13">
        <v>0.46648619382782891</v>
      </c>
      <c r="AA13">
        <v>0.43306024096385543</v>
      </c>
      <c r="AB13">
        <v>0.43331704934049831</v>
      </c>
      <c r="AC13">
        <v>0.43352317360565595</v>
      </c>
      <c r="AD13">
        <v>0.43393229425196067</v>
      </c>
      <c r="AE13">
        <v>0.43397931519228838</v>
      </c>
      <c r="AF13">
        <v>0.43433832456495347</v>
      </c>
      <c r="AG13">
        <v>0.43551731287580342</v>
      </c>
      <c r="AH13">
        <v>0.43666169895678092</v>
      </c>
      <c r="AI13">
        <v>0.43766375545851527</v>
      </c>
      <c r="AJ13">
        <v>0.43927215896405447</v>
      </c>
      <c r="AK13">
        <v>0.44012388162422572</v>
      </c>
      <c r="AL13">
        <v>0.44212990052662376</v>
      </c>
      <c r="AM13">
        <v>0.44223202575414333</v>
      </c>
      <c r="AN13">
        <v>0.4431036563291903</v>
      </c>
      <c r="AO13">
        <v>0.44471835326019971</v>
      </c>
      <c r="AP13">
        <v>0.44568210262828534</v>
      </c>
      <c r="AQ13">
        <v>0.44633557728947032</v>
      </c>
    </row>
  </sheetData>
  <mergeCells count="2">
    <mergeCell ref="C1:N1"/>
    <mergeCell ref="O1:AQ1"/>
  </mergeCells>
  <phoneticPr fontId="66"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61809-5D46-44D6-BF5F-80933CAF6C51}">
  <sheetPr codeName="Sheet16">
    <tabColor theme="9" tint="0.79998168889431442"/>
  </sheetPr>
  <dimension ref="A1:DY1013"/>
  <sheetViews>
    <sheetView zoomScale="25" zoomScaleNormal="25" workbookViewId="0">
      <selection activeCell="AB3" sqref="AB3:AB23"/>
    </sheetView>
  </sheetViews>
  <sheetFormatPr defaultColWidth="12.58203125" defaultRowHeight="15" customHeight="1"/>
  <cols>
    <col min="1" max="1" width="16" style="69" bestFit="1" customWidth="1"/>
    <col min="2" max="4" width="9.33203125" style="69" bestFit="1" customWidth="1"/>
    <col min="5" max="5" width="10.33203125" style="69" bestFit="1" customWidth="1"/>
    <col min="6" max="9" width="9.33203125" style="69" bestFit="1" customWidth="1"/>
    <col min="10" max="19" width="11.83203125" style="69" bestFit="1" customWidth="1"/>
    <col min="20" max="20" width="7.58203125" style="69" customWidth="1"/>
    <col min="21" max="21" width="6" style="69" bestFit="1" customWidth="1"/>
    <col min="22" max="22" width="10.75" style="69" bestFit="1" customWidth="1"/>
    <col min="23" max="23" width="8.33203125" style="69" customWidth="1"/>
    <col min="24" max="25" width="7.58203125" style="69" customWidth="1"/>
    <col min="26" max="59" width="12.58203125" style="69"/>
    <col min="60" max="60" width="14.08203125" style="69" bestFit="1" customWidth="1"/>
    <col min="61" max="16384" width="12.58203125" style="69"/>
  </cols>
  <sheetData>
    <row r="1" spans="1:129" ht="14.25" customHeight="1">
      <c r="A1" s="550" t="s">
        <v>629</v>
      </c>
      <c r="B1" s="551"/>
      <c r="C1" s="551"/>
      <c r="D1" s="551"/>
      <c r="E1" s="551"/>
      <c r="F1" s="551"/>
      <c r="G1" s="551"/>
      <c r="H1" s="551"/>
      <c r="I1" s="551"/>
      <c r="J1" s="551"/>
      <c r="K1" s="551"/>
      <c r="L1" s="551"/>
      <c r="M1" s="551"/>
      <c r="N1" s="551"/>
      <c r="O1" s="551"/>
      <c r="P1" s="551"/>
      <c r="Q1" s="551"/>
      <c r="R1" s="551"/>
      <c r="S1" s="551"/>
      <c r="T1" s="551"/>
      <c r="U1" s="551"/>
      <c r="V1" s="551"/>
      <c r="W1" s="552"/>
      <c r="AA1" s="547" t="s">
        <v>607</v>
      </c>
      <c r="AB1" s="548"/>
      <c r="AC1" s="548"/>
      <c r="AD1" s="548"/>
      <c r="AE1" s="548"/>
      <c r="AF1" s="548"/>
      <c r="AG1" s="548"/>
      <c r="AH1" s="548"/>
      <c r="AI1" s="548"/>
      <c r="AJ1" s="548"/>
      <c r="AK1" s="548"/>
      <c r="AL1" s="548"/>
      <c r="AM1" s="548"/>
      <c r="AN1" s="548"/>
      <c r="AO1" s="548"/>
      <c r="AP1" s="548"/>
      <c r="AQ1" s="548"/>
      <c r="AR1" s="548"/>
      <c r="AS1" s="548"/>
      <c r="AT1" s="548"/>
      <c r="AU1" s="548"/>
      <c r="AV1" s="548"/>
      <c r="AW1" s="549"/>
      <c r="BF1" s="542" t="s">
        <v>1377</v>
      </c>
      <c r="BG1" s="542"/>
      <c r="BH1" s="542"/>
      <c r="BI1" s="542"/>
      <c r="BJ1" s="542"/>
      <c r="BK1" s="542"/>
      <c r="BL1" s="542"/>
      <c r="BM1" s="542"/>
      <c r="BN1" s="542"/>
      <c r="BO1" s="542"/>
      <c r="BP1" s="542"/>
      <c r="BQ1" s="542"/>
      <c r="BR1" s="542"/>
      <c r="BS1" s="542"/>
      <c r="BT1" s="542"/>
      <c r="BU1" s="542"/>
      <c r="BV1" s="542"/>
      <c r="BW1" s="542"/>
      <c r="BX1" s="542"/>
      <c r="BY1" s="542"/>
      <c r="BZ1" s="542"/>
      <c r="CA1" s="542"/>
      <c r="CB1" s="542"/>
      <c r="CD1"/>
      <c r="CE1" s="196" t="s">
        <v>139</v>
      </c>
      <c r="CF1" s="196" t="s">
        <v>37</v>
      </c>
      <c r="CG1" s="196" t="s">
        <v>140</v>
      </c>
      <c r="CH1" s="196" t="s">
        <v>48</v>
      </c>
      <c r="CI1" s="196" t="s">
        <v>141</v>
      </c>
      <c r="CJ1" s="365" t="s">
        <v>142</v>
      </c>
      <c r="CK1" s="365" t="s">
        <v>143</v>
      </c>
      <c r="CL1" s="365" t="s">
        <v>144</v>
      </c>
      <c r="CM1" s="196" t="s">
        <v>61</v>
      </c>
      <c r="CN1" s="196" t="s">
        <v>63</v>
      </c>
      <c r="CO1" s="196" t="s">
        <v>65</v>
      </c>
      <c r="CP1" s="196" t="s">
        <v>67</v>
      </c>
      <c r="CQ1" s="196" t="s">
        <v>69</v>
      </c>
      <c r="CR1" s="196" t="s">
        <v>145</v>
      </c>
      <c r="CS1" s="196" t="s">
        <v>73</v>
      </c>
      <c r="CT1" s="196" t="s">
        <v>75</v>
      </c>
      <c r="CU1" s="196" t="s">
        <v>146</v>
      </c>
      <c r="CV1" s="196" t="s">
        <v>83</v>
      </c>
      <c r="CW1" s="196" t="s">
        <v>85</v>
      </c>
      <c r="CX1" s="196" t="s">
        <v>88</v>
      </c>
      <c r="CY1" s="196" t="s">
        <v>147</v>
      </c>
      <c r="DA1" s="542" t="s">
        <v>1436</v>
      </c>
      <c r="DB1" s="542"/>
      <c r="DC1" s="542"/>
      <c r="DD1" s="542"/>
      <c r="DE1" s="542"/>
      <c r="DF1" s="542"/>
      <c r="DG1" s="542"/>
      <c r="DH1" s="542"/>
      <c r="DI1" s="542"/>
      <c r="DJ1" s="542"/>
      <c r="DK1" s="542"/>
      <c r="DL1" s="542"/>
      <c r="DM1" s="542"/>
      <c r="DN1" s="542"/>
      <c r="DO1" s="542"/>
      <c r="DP1" s="542"/>
      <c r="DQ1" s="542"/>
      <c r="DR1" s="542"/>
      <c r="DS1" s="542"/>
      <c r="DT1" s="542"/>
      <c r="DU1" s="542"/>
      <c r="DV1" s="542"/>
      <c r="DW1" s="542"/>
    </row>
    <row r="2" spans="1:129" ht="14.25" customHeight="1">
      <c r="A2" s="198"/>
      <c r="B2" s="156"/>
      <c r="C2" s="196" t="s">
        <v>139</v>
      </c>
      <c r="D2" s="196" t="s">
        <v>37</v>
      </c>
      <c r="E2" s="196" t="s">
        <v>140</v>
      </c>
      <c r="F2" s="196" t="s">
        <v>48</v>
      </c>
      <c r="G2" s="196" t="s">
        <v>141</v>
      </c>
      <c r="H2" s="196" t="s">
        <v>142</v>
      </c>
      <c r="I2" s="196" t="s">
        <v>143</v>
      </c>
      <c r="J2" s="196" t="s">
        <v>144</v>
      </c>
      <c r="K2" s="196" t="s">
        <v>61</v>
      </c>
      <c r="L2" s="196" t="s">
        <v>63</v>
      </c>
      <c r="M2" s="196" t="s">
        <v>65</v>
      </c>
      <c r="N2" s="196" t="s">
        <v>67</v>
      </c>
      <c r="O2" s="196" t="s">
        <v>69</v>
      </c>
      <c r="P2" s="196" t="s">
        <v>145</v>
      </c>
      <c r="Q2" s="196" t="s">
        <v>73</v>
      </c>
      <c r="R2" s="196" t="s">
        <v>75</v>
      </c>
      <c r="S2" s="196" t="s">
        <v>146</v>
      </c>
      <c r="T2" s="196" t="s">
        <v>83</v>
      </c>
      <c r="U2" s="196" t="s">
        <v>85</v>
      </c>
      <c r="V2" s="196" t="s">
        <v>88</v>
      </c>
      <c r="W2" s="218" t="s">
        <v>147</v>
      </c>
      <c r="AA2" s="198"/>
      <c r="AB2" s="156"/>
      <c r="AC2" s="196" t="s">
        <v>139</v>
      </c>
      <c r="AD2" s="196" t="s">
        <v>37</v>
      </c>
      <c r="AE2" s="196" t="s">
        <v>140</v>
      </c>
      <c r="AF2" s="196" t="s">
        <v>48</v>
      </c>
      <c r="AG2" s="196" t="s">
        <v>141</v>
      </c>
      <c r="AH2" s="196" t="s">
        <v>142</v>
      </c>
      <c r="AI2" s="196" t="s">
        <v>143</v>
      </c>
      <c r="AJ2" s="196" t="s">
        <v>144</v>
      </c>
      <c r="AK2" s="196" t="s">
        <v>61</v>
      </c>
      <c r="AL2" s="196" t="s">
        <v>63</v>
      </c>
      <c r="AM2" s="196" t="s">
        <v>65</v>
      </c>
      <c r="AN2" s="196" t="s">
        <v>67</v>
      </c>
      <c r="AO2" s="196" t="s">
        <v>69</v>
      </c>
      <c r="AP2" s="196" t="s">
        <v>145</v>
      </c>
      <c r="AQ2" s="196" t="s">
        <v>73</v>
      </c>
      <c r="AR2" s="196" t="s">
        <v>75</v>
      </c>
      <c r="AS2" s="196" t="s">
        <v>146</v>
      </c>
      <c r="AT2" s="196" t="s">
        <v>83</v>
      </c>
      <c r="AU2" s="196" t="s">
        <v>85</v>
      </c>
      <c r="AV2" s="196" t="s">
        <v>88</v>
      </c>
      <c r="AW2" s="218" t="s">
        <v>147</v>
      </c>
      <c r="BF2"/>
      <c r="BG2" s="360"/>
      <c r="BH2" s="361" t="s">
        <v>139</v>
      </c>
      <c r="BI2" s="361" t="s">
        <v>37</v>
      </c>
      <c r="BJ2" s="361" t="s">
        <v>140</v>
      </c>
      <c r="BK2" s="361" t="s">
        <v>48</v>
      </c>
      <c r="BL2" s="361" t="s">
        <v>141</v>
      </c>
      <c r="BM2" s="362" t="s">
        <v>142</v>
      </c>
      <c r="BN2" s="362" t="s">
        <v>143</v>
      </c>
      <c r="BO2" s="362" t="s">
        <v>144</v>
      </c>
      <c r="BP2" s="361" t="s">
        <v>61</v>
      </c>
      <c r="BQ2" s="361" t="s">
        <v>63</v>
      </c>
      <c r="BR2" s="361" t="s">
        <v>65</v>
      </c>
      <c r="BS2" s="361" t="s">
        <v>67</v>
      </c>
      <c r="BT2" s="361" t="s">
        <v>69</v>
      </c>
      <c r="BU2" s="361" t="s">
        <v>145</v>
      </c>
      <c r="BV2" s="361" t="s">
        <v>73</v>
      </c>
      <c r="BW2" s="361" t="s">
        <v>75</v>
      </c>
      <c r="BX2" s="361" t="s">
        <v>146</v>
      </c>
      <c r="BY2" s="361" t="s">
        <v>83</v>
      </c>
      <c r="BZ2" s="361" t="s">
        <v>85</v>
      </c>
      <c r="CA2" s="361" t="s">
        <v>88</v>
      </c>
      <c r="CB2" s="361" t="s">
        <v>147</v>
      </c>
      <c r="CD2" s="196" t="s">
        <v>139</v>
      </c>
      <c r="CE2">
        <v>1.498708856992647E-2</v>
      </c>
      <c r="CF2">
        <v>1.21719974056987</v>
      </c>
      <c r="CG2">
        <v>0.67158697901541764</v>
      </c>
      <c r="CH2">
        <v>2.6147911752771851</v>
      </c>
      <c r="CI2">
        <v>1.504180182783486</v>
      </c>
      <c r="CJ2" s="165">
        <v>0.81455227716105771</v>
      </c>
      <c r="CK2" s="165">
        <v>0.81455227716105771</v>
      </c>
      <c r="CL2" s="165">
        <v>0.81455227716105771</v>
      </c>
      <c r="CM2">
        <v>0.90645638386495386</v>
      </c>
      <c r="CN2">
        <v>1.273020925550493</v>
      </c>
      <c r="CO2">
        <v>0.48222549698850181</v>
      </c>
      <c r="CP2">
        <v>0.53459175539976966</v>
      </c>
      <c r="CQ2">
        <v>0.35235518149562461</v>
      </c>
      <c r="CR2">
        <v>0.92676680659052391</v>
      </c>
      <c r="CS2">
        <v>0.9837115758879923</v>
      </c>
      <c r="CT2">
        <v>0.88292806114527433</v>
      </c>
      <c r="CU2">
        <v>0.75514354251688143</v>
      </c>
      <c r="CV2">
        <v>0.72901785663182761</v>
      </c>
      <c r="CW2">
        <v>0.69690226387962451</v>
      </c>
      <c r="CX2">
        <v>0.92708144456616359</v>
      </c>
      <c r="CY2">
        <v>0</v>
      </c>
      <c r="DA2"/>
      <c r="DB2" s="360"/>
      <c r="DC2" s="361" t="s">
        <v>139</v>
      </c>
      <c r="DD2" s="361" t="s">
        <v>37</v>
      </c>
      <c r="DE2" s="361" t="s">
        <v>140</v>
      </c>
      <c r="DF2" s="361" t="s">
        <v>48</v>
      </c>
      <c r="DG2" s="361" t="s">
        <v>141</v>
      </c>
      <c r="DH2" s="389" t="s">
        <v>142</v>
      </c>
      <c r="DI2" s="389" t="s">
        <v>143</v>
      </c>
      <c r="DJ2" s="389" t="s">
        <v>144</v>
      </c>
      <c r="DK2" s="361" t="s">
        <v>61</v>
      </c>
      <c r="DL2" s="361" t="s">
        <v>63</v>
      </c>
      <c r="DM2" s="361" t="s">
        <v>65</v>
      </c>
      <c r="DN2" s="361" t="s">
        <v>67</v>
      </c>
      <c r="DO2" s="361" t="s">
        <v>69</v>
      </c>
      <c r="DP2" s="361" t="s">
        <v>145</v>
      </c>
      <c r="DQ2" s="361" t="s">
        <v>73</v>
      </c>
      <c r="DR2" s="361" t="s">
        <v>75</v>
      </c>
      <c r="DS2" s="361" t="s">
        <v>146</v>
      </c>
      <c r="DT2" s="361" t="s">
        <v>83</v>
      </c>
      <c r="DU2" s="361" t="s">
        <v>85</v>
      </c>
      <c r="DV2" s="361" t="s">
        <v>88</v>
      </c>
      <c r="DW2" s="361" t="s">
        <v>147</v>
      </c>
    </row>
    <row r="3" spans="1:129" ht="14.25" customHeight="1">
      <c r="A3" s="543" t="s">
        <v>608</v>
      </c>
      <c r="B3" s="196" t="s">
        <v>139</v>
      </c>
      <c r="C3" s="156">
        <v>0</v>
      </c>
      <c r="D3" s="156">
        <v>0</v>
      </c>
      <c r="E3" s="156">
        <v>0</v>
      </c>
      <c r="F3" s="156">
        <v>0</v>
      </c>
      <c r="G3" s="156">
        <v>0</v>
      </c>
      <c r="H3" s="156">
        <v>0</v>
      </c>
      <c r="I3" s="156">
        <v>0</v>
      </c>
      <c r="J3" s="156">
        <v>0</v>
      </c>
      <c r="K3" s="156">
        <v>0</v>
      </c>
      <c r="L3" s="156">
        <v>0</v>
      </c>
      <c r="M3" s="156">
        <v>0</v>
      </c>
      <c r="N3" s="156">
        <v>0</v>
      </c>
      <c r="O3" s="156">
        <v>0</v>
      </c>
      <c r="P3" s="156">
        <v>0</v>
      </c>
      <c r="Q3" s="156">
        <v>0</v>
      </c>
      <c r="R3" s="156">
        <v>0</v>
      </c>
      <c r="S3" s="156">
        <v>0</v>
      </c>
      <c r="T3" s="156">
        <v>0</v>
      </c>
      <c r="U3" s="156">
        <v>0</v>
      </c>
      <c r="V3" s="156">
        <v>0</v>
      </c>
      <c r="W3" s="200">
        <v>0</v>
      </c>
      <c r="AA3" s="543" t="s">
        <v>608</v>
      </c>
      <c r="AB3" s="196" t="s">
        <v>139</v>
      </c>
      <c r="AC3" s="156">
        <v>0</v>
      </c>
      <c r="AD3" s="156">
        <v>0</v>
      </c>
      <c r="AE3" s="156">
        <v>0</v>
      </c>
      <c r="AF3" s="156">
        <v>0</v>
      </c>
      <c r="AG3" s="156">
        <v>0</v>
      </c>
      <c r="AH3" s="156">
        <v>0</v>
      </c>
      <c r="AI3" s="156">
        <v>0</v>
      </c>
      <c r="AJ3" s="156">
        <v>0</v>
      </c>
      <c r="AK3" s="156">
        <v>0</v>
      </c>
      <c r="AL3" s="156">
        <v>0</v>
      </c>
      <c r="AM3" s="156">
        <v>0</v>
      </c>
      <c r="AN3" s="156">
        <v>0</v>
      </c>
      <c r="AO3" s="156">
        <v>0</v>
      </c>
      <c r="AP3" s="156">
        <v>0</v>
      </c>
      <c r="AQ3" s="156">
        <v>0</v>
      </c>
      <c r="AR3" s="156">
        <v>0</v>
      </c>
      <c r="AS3" s="156">
        <v>0</v>
      </c>
      <c r="AT3" s="156">
        <v>0</v>
      </c>
      <c r="AU3" s="156">
        <v>0</v>
      </c>
      <c r="AV3" s="156">
        <v>0</v>
      </c>
      <c r="AW3" s="200">
        <v>0</v>
      </c>
      <c r="BF3" s="538" t="s">
        <v>608</v>
      </c>
      <c r="BG3" s="363" t="s">
        <v>139</v>
      </c>
      <c r="BH3" s="385">
        <v>6.1971836031797453E-8</v>
      </c>
      <c r="BI3" s="385">
        <v>1.4403414688949249E-7</v>
      </c>
      <c r="BJ3" s="385">
        <v>8.5726485067039794E-8</v>
      </c>
      <c r="BK3" s="385">
        <v>1.2737291378234871E-7</v>
      </c>
      <c r="BL3" s="385">
        <v>2.220643972552834E-7</v>
      </c>
      <c r="BM3" s="386">
        <v>1.4512095683176599E-7</v>
      </c>
      <c r="BN3" s="386">
        <v>1.4512095683176599E-7</v>
      </c>
      <c r="BO3" s="386">
        <v>1.4512095683176599E-7</v>
      </c>
      <c r="BP3" s="385">
        <v>1.4426604840773079E-7</v>
      </c>
      <c r="BQ3" s="385">
        <v>1.86653187342783E-7</v>
      </c>
      <c r="BR3" s="385">
        <v>1.049758717047393E-7</v>
      </c>
      <c r="BS3" s="385">
        <v>1.3078639227326891E-7</v>
      </c>
      <c r="BT3" s="385">
        <v>6.2550647559198584E-8</v>
      </c>
      <c r="BU3" s="385">
        <v>1.528323567942688E-7</v>
      </c>
      <c r="BV3" s="385">
        <v>1.464697597001143E-7</v>
      </c>
      <c r="BW3" s="385">
        <v>1.5983345108210271E-7</v>
      </c>
      <c r="BX3" s="385">
        <v>1.3550147476790481E-7</v>
      </c>
      <c r="BY3" s="385">
        <v>1.4575253681497209E-7</v>
      </c>
      <c r="BZ3" s="385">
        <v>1.43312384127988E-7</v>
      </c>
      <c r="CA3" s="385">
        <v>1.7654731022756939E-7</v>
      </c>
      <c r="CB3" s="385">
        <v>0</v>
      </c>
      <c r="CD3" s="196" t="s">
        <v>37</v>
      </c>
      <c r="CE3">
        <v>12.40006763267824</v>
      </c>
      <c r="CF3">
        <v>7.2275956750871728E-2</v>
      </c>
      <c r="CG3">
        <v>13.55877009865552</v>
      </c>
      <c r="CH3">
        <v>8.8044425801737383</v>
      </c>
      <c r="CI3">
        <v>16.11614240659911</v>
      </c>
      <c r="CJ3" s="165">
        <v>9.4153356134060768</v>
      </c>
      <c r="CK3" s="165">
        <v>9.4153356134060768</v>
      </c>
      <c r="CL3" s="165">
        <v>9.4153356134060768</v>
      </c>
      <c r="CM3">
        <v>10.57272842707598</v>
      </c>
      <c r="CN3">
        <v>9.455338225865372</v>
      </c>
      <c r="CO3">
        <v>10.41357109338596</v>
      </c>
      <c r="CP3">
        <v>11.898790625167271</v>
      </c>
      <c r="CQ3">
        <v>9.5893801031275672</v>
      </c>
      <c r="CR3">
        <v>9.6804010900111592</v>
      </c>
      <c r="CS3">
        <v>8.9974949907097734</v>
      </c>
      <c r="CT3">
        <v>7.4950352030162222</v>
      </c>
      <c r="CU3">
        <v>9.3105502355784324</v>
      </c>
      <c r="CV3">
        <v>10.16665750016767</v>
      </c>
      <c r="CW3">
        <v>7.2803373024508407</v>
      </c>
      <c r="CX3">
        <v>10.20460098513939</v>
      </c>
      <c r="CY3">
        <v>0</v>
      </c>
      <c r="DA3" s="538" t="s">
        <v>608</v>
      </c>
      <c r="DB3" s="363" t="s">
        <v>139</v>
      </c>
      <c r="DC3" s="385">
        <v>-3.054399120646123E-2</v>
      </c>
      <c r="DD3" s="385">
        <v>7.714954004431207E-2</v>
      </c>
      <c r="DE3" s="385">
        <v>-1.0582116797939412E-2</v>
      </c>
      <c r="DF3" s="385">
        <v>8.595410916667201E-2</v>
      </c>
      <c r="DG3" s="385">
        <v>8.1228547402161011E-2</v>
      </c>
      <c r="DH3" s="386">
        <v>6.921774683621007E-2</v>
      </c>
      <c r="DI3" s="386">
        <v>6.921774683621007E-2</v>
      </c>
      <c r="DJ3" s="386">
        <v>6.921774683621007E-2</v>
      </c>
      <c r="DK3" s="386">
        <v>7.1107016507395926E-2</v>
      </c>
      <c r="DL3" s="386">
        <v>8.0900865463600979E-2</v>
      </c>
      <c r="DM3" s="385">
        <v>2.2535504076778956E-2</v>
      </c>
      <c r="DN3" s="385">
        <v>6.9270787745465912E-2</v>
      </c>
      <c r="DO3" s="385">
        <v>-1.5080787623914071E-2</v>
      </c>
      <c r="DP3" s="385">
        <v>6.2624918730080914E-2</v>
      </c>
      <c r="DQ3" s="385">
        <v>7.2152907168048008E-2</v>
      </c>
      <c r="DR3" s="385">
        <v>8.2938613049007959E-2</v>
      </c>
      <c r="DS3" s="385">
        <v>5.5325028758359096E-2</v>
      </c>
      <c r="DT3" s="385">
        <v>7.2012123511725923E-2</v>
      </c>
      <c r="DU3" s="385">
        <v>5.3167623172607037E-2</v>
      </c>
      <c r="DV3" s="385">
        <v>6.3577227142628034E-2</v>
      </c>
      <c r="DW3" s="385">
        <v>0</v>
      </c>
      <c r="DY3" s="69" t="s">
        <v>1437</v>
      </c>
    </row>
    <row r="4" spans="1:129" ht="14.25" customHeight="1">
      <c r="A4" s="544"/>
      <c r="B4" s="196" t="s">
        <v>37</v>
      </c>
      <c r="C4" s="156">
        <v>0</v>
      </c>
      <c r="D4" s="156">
        <v>0</v>
      </c>
      <c r="E4" s="69">
        <v>1.8202615180949049E-2</v>
      </c>
      <c r="F4" s="69">
        <v>1.5477698967780559E-3</v>
      </c>
      <c r="G4" s="69">
        <v>3.8553608505893393E-4</v>
      </c>
      <c r="H4" s="69">
        <v>1.4685233207030241E-2</v>
      </c>
      <c r="I4" s="156">
        <v>0</v>
      </c>
      <c r="J4" s="156">
        <v>0</v>
      </c>
      <c r="K4" s="156">
        <v>9.95926912981874E-5</v>
      </c>
      <c r="L4" s="156">
        <v>2.7439944458932109E-5</v>
      </c>
      <c r="M4" s="156">
        <v>0</v>
      </c>
      <c r="N4" s="156">
        <v>0</v>
      </c>
      <c r="O4" s="156">
        <v>0</v>
      </c>
      <c r="P4" s="156">
        <v>0</v>
      </c>
      <c r="Q4" s="156">
        <v>0</v>
      </c>
      <c r="R4" s="156">
        <v>0</v>
      </c>
      <c r="S4" s="156">
        <v>0</v>
      </c>
      <c r="T4" s="156">
        <v>0</v>
      </c>
      <c r="U4" s="156">
        <v>0</v>
      </c>
      <c r="V4" s="156">
        <v>0</v>
      </c>
      <c r="W4" s="200">
        <v>0</v>
      </c>
      <c r="AA4" s="544"/>
      <c r="AB4" s="196" t="s">
        <v>37</v>
      </c>
      <c r="AC4" s="156">
        <v>0</v>
      </c>
      <c r="AD4" s="156">
        <v>0</v>
      </c>
      <c r="AE4" s="156">
        <v>0.28842949196759449</v>
      </c>
      <c r="AF4" s="156">
        <v>2.095880483073792E-2</v>
      </c>
      <c r="AG4" s="156">
        <v>8.3533219025919425E-3</v>
      </c>
      <c r="AH4" s="156">
        <v>0.25030666067931617</v>
      </c>
      <c r="AI4" s="156">
        <v>0</v>
      </c>
      <c r="AJ4" s="156">
        <v>0</v>
      </c>
      <c r="AK4" s="156">
        <v>2.170684659113473E-3</v>
      </c>
      <c r="AL4" s="156">
        <v>5.9896947868582869E-4</v>
      </c>
      <c r="AM4" s="156">
        <v>0</v>
      </c>
      <c r="AN4" s="156">
        <v>0</v>
      </c>
      <c r="AO4" s="156">
        <v>0</v>
      </c>
      <c r="AP4" s="156">
        <v>0</v>
      </c>
      <c r="AQ4" s="156">
        <v>0</v>
      </c>
      <c r="AR4" s="156">
        <v>0</v>
      </c>
      <c r="AS4" s="156">
        <v>0</v>
      </c>
      <c r="AT4" s="156">
        <v>0</v>
      </c>
      <c r="AU4" s="156">
        <v>0</v>
      </c>
      <c r="AV4" s="156">
        <v>0</v>
      </c>
      <c r="AW4" s="200">
        <v>0</v>
      </c>
      <c r="BF4" s="538"/>
      <c r="BG4" s="363" t="s">
        <v>37</v>
      </c>
      <c r="BH4" s="385">
        <v>1.1701227550907091E-6</v>
      </c>
      <c r="BI4" s="385">
        <v>1.11236687710988E-6</v>
      </c>
      <c r="BJ4" s="385">
        <v>1.2732117251062719E-6</v>
      </c>
      <c r="BK4" s="385">
        <v>1.030357465148713E-6</v>
      </c>
      <c r="BL4" s="385">
        <v>1.390731825991086E-6</v>
      </c>
      <c r="BM4" s="386">
        <v>1.0604779694549601E-6</v>
      </c>
      <c r="BN4" s="386">
        <v>1.0604779694549601E-6</v>
      </c>
      <c r="BO4" s="386">
        <v>1.0604779694549601E-6</v>
      </c>
      <c r="BP4" s="385">
        <v>1.122836352287468E-6</v>
      </c>
      <c r="BQ4" s="385">
        <v>1.24164362511889E-6</v>
      </c>
      <c r="BR4" s="385">
        <v>1.1859605287155431E-6</v>
      </c>
      <c r="BS4" s="385">
        <v>1.126454563184801E-6</v>
      </c>
      <c r="BT4" s="385">
        <v>1.1842047098414269E-6</v>
      </c>
      <c r="BU4" s="385">
        <v>1.292022443907836E-6</v>
      </c>
      <c r="BV4" s="385">
        <v>1.2607946988664401E-6</v>
      </c>
      <c r="BW4" s="385">
        <v>1.2918741689359701E-6</v>
      </c>
      <c r="BX4" s="385">
        <v>1.25101106233043E-6</v>
      </c>
      <c r="BY4" s="385">
        <v>1.166894664676516E-6</v>
      </c>
      <c r="BZ4" s="385">
        <v>1.2362386000936001E-6</v>
      </c>
      <c r="CA4" s="385">
        <v>1.284075618817802E-6</v>
      </c>
      <c r="CB4" s="385">
        <v>0</v>
      </c>
      <c r="CD4" s="196" t="s">
        <v>140</v>
      </c>
      <c r="CE4">
        <v>0.49351989269006841</v>
      </c>
      <c r="CF4">
        <v>0.84438013262154288</v>
      </c>
      <c r="CG4">
        <v>0.2132128163287505</v>
      </c>
      <c r="CH4">
        <v>1.6515759378297781</v>
      </c>
      <c r="CI4">
        <v>0.70051829199368365</v>
      </c>
      <c r="CJ4" s="165">
        <v>1.202174318706356</v>
      </c>
      <c r="CK4" s="165">
        <v>1.202174318706356</v>
      </c>
      <c r="CL4" s="165">
        <v>1.202174318706356</v>
      </c>
      <c r="CM4">
        <v>0.65513866716998548</v>
      </c>
      <c r="CN4">
        <v>0.55914724914476299</v>
      </c>
      <c r="CO4">
        <v>0.69765038173431515</v>
      </c>
      <c r="CP4">
        <v>0.69569665141896853</v>
      </c>
      <c r="CQ4">
        <v>0.27254837559165168</v>
      </c>
      <c r="CR4">
        <v>0.58605203961597396</v>
      </c>
      <c r="CS4">
        <v>0.56753941665360264</v>
      </c>
      <c r="CT4">
        <v>0.60380477174044311</v>
      </c>
      <c r="CU4">
        <v>0.70025341357465209</v>
      </c>
      <c r="CV4">
        <v>0.64469761696725936</v>
      </c>
      <c r="CW4">
        <v>0.59932363935000665</v>
      </c>
      <c r="CX4">
        <v>0.90868230801753103</v>
      </c>
      <c r="CY4">
        <v>0</v>
      </c>
      <c r="DA4" s="538"/>
      <c r="DB4" s="363" t="s">
        <v>37</v>
      </c>
      <c r="DC4" s="385">
        <v>-1.1508941880678414E-2</v>
      </c>
      <c r="DD4" s="385">
        <v>-1.4796210034365043E-2</v>
      </c>
      <c r="DE4" s="385">
        <v>-2.2155109764113279E-2</v>
      </c>
      <c r="DF4" s="385">
        <v>-2.0905618116936031E-2</v>
      </c>
      <c r="DG4" s="385">
        <v>-2.1475535299790183E-2</v>
      </c>
      <c r="DH4" s="386">
        <v>-1.8466799039999926E-2</v>
      </c>
      <c r="DI4" s="386">
        <v>-1.8466799039999926E-2</v>
      </c>
      <c r="DJ4" s="386">
        <v>-1.8466799039999926E-2</v>
      </c>
      <c r="DK4" s="386">
        <v>-1.1822432027219776E-2</v>
      </c>
      <c r="DL4" s="386">
        <v>-1.7837170279669579E-2</v>
      </c>
      <c r="DM4" s="385">
        <v>-1.6755357255362924E-2</v>
      </c>
      <c r="DN4" s="385">
        <v>-1.0317088580817924E-2</v>
      </c>
      <c r="DO4" s="385">
        <v>-9.5921288562077489E-3</v>
      </c>
      <c r="DP4" s="385">
        <v>-1.5000347824877025E-2</v>
      </c>
      <c r="DQ4" s="385">
        <v>-4.5599878111651782E-3</v>
      </c>
      <c r="DR4" s="385">
        <v>-3.413882905708876E-3</v>
      </c>
      <c r="DS4" s="385">
        <v>-1.4153647595654406E-2</v>
      </c>
      <c r="DT4" s="385">
        <v>-1.0242002207007439E-2</v>
      </c>
      <c r="DU4" s="385">
        <v>-1.3087590593591214E-2</v>
      </c>
      <c r="DV4" s="385">
        <v>-1.4662878858486161E-2</v>
      </c>
      <c r="DW4" s="385">
        <v>0</v>
      </c>
      <c r="DY4" s="69" t="s">
        <v>1438</v>
      </c>
    </row>
    <row r="5" spans="1:129" ht="14.25" customHeight="1">
      <c r="A5" s="544"/>
      <c r="B5" s="196" t="s">
        <v>140</v>
      </c>
      <c r="C5" s="156">
        <v>0</v>
      </c>
      <c r="D5" s="156">
        <v>0</v>
      </c>
      <c r="E5" s="156">
        <v>0.41861536766133361</v>
      </c>
      <c r="F5" s="69">
        <v>0</v>
      </c>
      <c r="G5" s="69">
        <v>0</v>
      </c>
      <c r="H5" s="69">
        <v>0</v>
      </c>
      <c r="I5" s="156">
        <v>0</v>
      </c>
      <c r="J5" s="156">
        <v>0</v>
      </c>
      <c r="K5" s="156">
        <v>0</v>
      </c>
      <c r="L5" s="156">
        <v>0</v>
      </c>
      <c r="M5" s="156">
        <v>0</v>
      </c>
      <c r="N5" s="156">
        <v>0</v>
      </c>
      <c r="O5" s="156">
        <v>0</v>
      </c>
      <c r="P5" s="156">
        <v>0</v>
      </c>
      <c r="Q5" s="156">
        <v>0</v>
      </c>
      <c r="R5" s="156">
        <v>0</v>
      </c>
      <c r="S5" s="156">
        <v>0</v>
      </c>
      <c r="T5" s="156">
        <v>0</v>
      </c>
      <c r="U5" s="156">
        <v>0</v>
      </c>
      <c r="V5" s="156">
        <v>0</v>
      </c>
      <c r="W5" s="200">
        <v>0</v>
      </c>
      <c r="AA5" s="544"/>
      <c r="AB5" s="196" t="s">
        <v>140</v>
      </c>
      <c r="AC5" s="156">
        <v>0</v>
      </c>
      <c r="AD5" s="156">
        <v>0</v>
      </c>
      <c r="AE5" s="156">
        <v>1</v>
      </c>
      <c r="AF5" s="156">
        <v>0</v>
      </c>
      <c r="AG5" s="156">
        <v>0</v>
      </c>
      <c r="AH5" s="156">
        <v>0</v>
      </c>
      <c r="AI5" s="156">
        <v>0</v>
      </c>
      <c r="AJ5" s="156">
        <v>0</v>
      </c>
      <c r="AK5" s="156">
        <v>0</v>
      </c>
      <c r="AL5" s="156">
        <v>0</v>
      </c>
      <c r="AM5" s="156">
        <v>0</v>
      </c>
      <c r="AN5" s="156">
        <v>0</v>
      </c>
      <c r="AO5" s="156">
        <v>0</v>
      </c>
      <c r="AP5" s="156">
        <v>0</v>
      </c>
      <c r="AQ5" s="156">
        <v>0</v>
      </c>
      <c r="AR5" s="156">
        <v>0</v>
      </c>
      <c r="AS5" s="156">
        <v>0</v>
      </c>
      <c r="AT5" s="156">
        <v>0</v>
      </c>
      <c r="AU5" s="156">
        <v>0</v>
      </c>
      <c r="AV5" s="156">
        <v>0</v>
      </c>
      <c r="AW5" s="200">
        <v>0</v>
      </c>
      <c r="BF5" s="538"/>
      <c r="BG5" s="363" t="s">
        <v>140</v>
      </c>
      <c r="BH5" s="385">
        <v>9.3094420721935486E-7</v>
      </c>
      <c r="BI5" s="385">
        <v>1.164099562120931E-6</v>
      </c>
      <c r="BJ5" s="385">
        <v>1.2775770042466789E-6</v>
      </c>
      <c r="BK5" s="385">
        <v>1.459237994963213E-6</v>
      </c>
      <c r="BL5" s="385">
        <v>1.589821810591579E-6</v>
      </c>
      <c r="BM5" s="386">
        <v>1.301446122244632E-6</v>
      </c>
      <c r="BN5" s="386">
        <v>1.301446122244632E-6</v>
      </c>
      <c r="BO5" s="386">
        <v>1.301446122244632E-6</v>
      </c>
      <c r="BP5" s="385">
        <v>1.388459591972693E-6</v>
      </c>
      <c r="BQ5" s="385">
        <v>1.445893351162043E-6</v>
      </c>
      <c r="BR5" s="385">
        <v>1.2253425002709719E-6</v>
      </c>
      <c r="BS5" s="385">
        <v>1.288424496669359E-6</v>
      </c>
      <c r="BT5" s="385">
        <v>8.7261018156297346E-7</v>
      </c>
      <c r="BU5" s="385">
        <v>1.049255448366487E-6</v>
      </c>
      <c r="BV5" s="385">
        <v>1.082505328416407E-6</v>
      </c>
      <c r="BW5" s="385">
        <v>1.4220745335015121E-6</v>
      </c>
      <c r="BX5" s="385">
        <v>1.065410513359021E-6</v>
      </c>
      <c r="BY5" s="385">
        <v>1.17519515392501E-6</v>
      </c>
      <c r="BZ5" s="385">
        <v>1.1208142678990059E-6</v>
      </c>
      <c r="CA5" s="385">
        <v>6.7175123750254486E-7</v>
      </c>
      <c r="CB5" s="385">
        <v>0</v>
      </c>
      <c r="CD5" s="196" t="s">
        <v>48</v>
      </c>
      <c r="CE5">
        <v>0.44731205251902112</v>
      </c>
      <c r="CF5">
        <v>0.63491036658378874</v>
      </c>
      <c r="CG5">
        <v>0.89648690322243407</v>
      </c>
      <c r="CH5">
        <v>5.929832140707305E-2</v>
      </c>
      <c r="CI5">
        <v>1.260039972254229</v>
      </c>
      <c r="CJ5" s="165">
        <v>0.4916872960628641</v>
      </c>
      <c r="CK5" s="165">
        <v>0.4916872960628641</v>
      </c>
      <c r="CL5" s="165">
        <v>0.4916872960628641</v>
      </c>
      <c r="CM5">
        <v>0.44295986561969047</v>
      </c>
      <c r="CN5">
        <v>0.6577588483144734</v>
      </c>
      <c r="CO5">
        <v>0.73708873312695</v>
      </c>
      <c r="CP5">
        <v>0.366183497224633</v>
      </c>
      <c r="CQ5">
        <v>0.76875041933286015</v>
      </c>
      <c r="CR5">
        <v>0.94811336308311223</v>
      </c>
      <c r="CS5">
        <v>0.91378992453279484</v>
      </c>
      <c r="CT5">
        <v>0.98887498834143495</v>
      </c>
      <c r="CU5">
        <v>0.7094449786726289</v>
      </c>
      <c r="CV5">
        <v>0.59686449993751189</v>
      </c>
      <c r="CW5">
        <v>0.78457291294292475</v>
      </c>
      <c r="CX5">
        <v>1.108713481131995</v>
      </c>
      <c r="CY5">
        <v>0</v>
      </c>
      <c r="DA5" s="538"/>
      <c r="DB5" s="363" t="s">
        <v>140</v>
      </c>
      <c r="DC5" s="385">
        <v>9.0989452997329856E-3</v>
      </c>
      <c r="DD5" s="385">
        <v>6.3908562947001535E-4</v>
      </c>
      <c r="DE5" s="385">
        <v>-1.2255511770373428E-2</v>
      </c>
      <c r="DF5" s="385">
        <v>3.9570702654070367E-3</v>
      </c>
      <c r="DG5" s="385">
        <v>-1.566888078798756E-2</v>
      </c>
      <c r="DH5" s="386">
        <v>2.1605999330920334E-3</v>
      </c>
      <c r="DI5" s="386">
        <v>2.1605999330920334E-3</v>
      </c>
      <c r="DJ5" s="386">
        <v>2.1605999330920334E-3</v>
      </c>
      <c r="DK5" s="386">
        <v>5.507882596367919E-3</v>
      </c>
      <c r="DL5" s="386">
        <v>-1.2505972682141153E-2</v>
      </c>
      <c r="DM5" s="385">
        <v>-4.2014587466753239E-3</v>
      </c>
      <c r="DN5" s="385">
        <v>1.0620808800295034E-2</v>
      </c>
      <c r="DO5" s="385">
        <v>2.4349912391810058E-3</v>
      </c>
      <c r="DP5" s="385">
        <v>-4.9823755896852839E-3</v>
      </c>
      <c r="DQ5" s="385">
        <v>8.3660251739070546E-3</v>
      </c>
      <c r="DR5" s="385">
        <v>7.1079188054739006E-3</v>
      </c>
      <c r="DS5" s="385">
        <v>-5.5986483746940374E-3</v>
      </c>
      <c r="DT5" s="385">
        <v>4.0592172157118966E-3</v>
      </c>
      <c r="DU5" s="385">
        <v>-1.6562341131893477E-2</v>
      </c>
      <c r="DV5" s="385">
        <v>-2.6624369134165549E-2</v>
      </c>
      <c r="DW5" s="385">
        <v>0</v>
      </c>
      <c r="DY5" s="69" t="s">
        <v>1439</v>
      </c>
    </row>
    <row r="6" spans="1:129" ht="14.25" customHeight="1">
      <c r="A6" s="544"/>
      <c r="B6" s="196" t="s">
        <v>48</v>
      </c>
      <c r="C6" s="156">
        <v>0</v>
      </c>
      <c r="D6" s="156">
        <v>0</v>
      </c>
      <c r="E6" s="69">
        <v>3.7522943884753752E-2</v>
      </c>
      <c r="F6" s="69">
        <v>1.472703824202404E-6</v>
      </c>
      <c r="G6" s="69">
        <v>0</v>
      </c>
      <c r="H6" s="69">
        <v>1.318075279638469E-2</v>
      </c>
      <c r="I6" s="156">
        <v>0</v>
      </c>
      <c r="J6" s="156">
        <v>1.2925704183428371E-17</v>
      </c>
      <c r="K6" s="156">
        <v>0</v>
      </c>
      <c r="L6" s="156">
        <v>0</v>
      </c>
      <c r="M6" s="156">
        <v>0</v>
      </c>
      <c r="N6" s="156">
        <v>0</v>
      </c>
      <c r="O6" s="156">
        <v>0</v>
      </c>
      <c r="P6" s="156">
        <v>0</v>
      </c>
      <c r="Q6" s="156">
        <v>0</v>
      </c>
      <c r="R6" s="156">
        <v>0</v>
      </c>
      <c r="S6" s="156">
        <v>0</v>
      </c>
      <c r="T6" s="156">
        <v>0</v>
      </c>
      <c r="U6" s="156">
        <v>0</v>
      </c>
      <c r="V6" s="156">
        <v>0</v>
      </c>
      <c r="W6" s="200">
        <v>0</v>
      </c>
      <c r="AA6" s="544"/>
      <c r="AB6" s="196" t="s">
        <v>48</v>
      </c>
      <c r="AC6" s="156">
        <v>0</v>
      </c>
      <c r="AD6" s="156">
        <v>0</v>
      </c>
      <c r="AE6" s="156">
        <v>4.7785321647737978E-4</v>
      </c>
      <c r="AF6" s="156">
        <v>8.2714752893711785E-9</v>
      </c>
      <c r="AG6" s="156">
        <v>0</v>
      </c>
      <c r="AH6" s="156">
        <v>7.0069476110410926E-5</v>
      </c>
      <c r="AI6" s="156">
        <v>0</v>
      </c>
      <c r="AJ6" s="156">
        <v>1.079246981334207E-19</v>
      </c>
      <c r="AK6" s="156">
        <v>0</v>
      </c>
      <c r="AL6" s="156">
        <v>0</v>
      </c>
      <c r="AM6" s="156">
        <v>0</v>
      </c>
      <c r="AN6" s="156">
        <v>0</v>
      </c>
      <c r="AO6" s="156">
        <v>0</v>
      </c>
      <c r="AP6" s="156">
        <v>0</v>
      </c>
      <c r="AQ6" s="156">
        <v>0</v>
      </c>
      <c r="AR6" s="156">
        <v>0</v>
      </c>
      <c r="AS6" s="156">
        <v>0</v>
      </c>
      <c r="AT6" s="156">
        <v>0</v>
      </c>
      <c r="AU6" s="156">
        <v>0</v>
      </c>
      <c r="AV6" s="156">
        <v>0</v>
      </c>
      <c r="AW6" s="200">
        <v>0</v>
      </c>
      <c r="BF6" s="538"/>
      <c r="BG6" s="363" t="s">
        <v>48</v>
      </c>
      <c r="BH6" s="385">
        <v>1.0523059991388699E-6</v>
      </c>
      <c r="BI6" s="385">
        <v>1.0493367758066811E-6</v>
      </c>
      <c r="BJ6" s="385">
        <v>1.010503625362279E-6</v>
      </c>
      <c r="BK6" s="385">
        <v>1.1888386847196931E-6</v>
      </c>
      <c r="BL6" s="385">
        <v>1.043610258201997E-6</v>
      </c>
      <c r="BM6" s="386">
        <v>1.1710041372863831E-6</v>
      </c>
      <c r="BN6" s="386">
        <v>1.1710041372863831E-6</v>
      </c>
      <c r="BO6" s="386">
        <v>1.1710041372863831E-6</v>
      </c>
      <c r="BP6" s="385">
        <v>1.124938501823128E-6</v>
      </c>
      <c r="BQ6" s="385">
        <v>1.123855464405971E-6</v>
      </c>
      <c r="BR6" s="385">
        <v>1.076255649352351E-6</v>
      </c>
      <c r="BS6" s="385">
        <v>1.1765992739254501E-6</v>
      </c>
      <c r="BT6" s="385">
        <v>1.020092520819848E-6</v>
      </c>
      <c r="BU6" s="385">
        <v>1.0490965297751379E-6</v>
      </c>
      <c r="BV6" s="385">
        <v>1.0206064696401789E-6</v>
      </c>
      <c r="BW6" s="385">
        <v>1.064477177148933E-6</v>
      </c>
      <c r="BX6" s="385">
        <v>1.066922617997291E-6</v>
      </c>
      <c r="BY6" s="385">
        <v>1.0991308977548681E-6</v>
      </c>
      <c r="BZ6" s="385">
        <v>1.06331416796731E-6</v>
      </c>
      <c r="CA6" s="385">
        <v>9.6877708690489296E-7</v>
      </c>
      <c r="CB6" s="385">
        <v>0</v>
      </c>
      <c r="CD6" s="196" t="s">
        <v>141</v>
      </c>
      <c r="CE6">
        <v>0.89272989154027382</v>
      </c>
      <c r="CF6">
        <v>1.3819455041690749</v>
      </c>
      <c r="CG6">
        <v>1.3615498357251281</v>
      </c>
      <c r="CH6">
        <v>3.681958032621043</v>
      </c>
      <c r="CI6">
        <v>8.17870038763817E-2</v>
      </c>
      <c r="CJ6" s="165">
        <v>1.902628868032685</v>
      </c>
      <c r="CK6" s="165">
        <v>1.902628868032685</v>
      </c>
      <c r="CL6" s="165">
        <v>1.902628868032685</v>
      </c>
      <c r="CM6">
        <v>1.4048500889575739</v>
      </c>
      <c r="CN6">
        <v>1.240851695278987</v>
      </c>
      <c r="CO6">
        <v>1.669844354388238</v>
      </c>
      <c r="CP6">
        <v>0.88330013348747927</v>
      </c>
      <c r="CQ6">
        <v>1.217277656155509</v>
      </c>
      <c r="CR6">
        <v>1.0988196464087621</v>
      </c>
      <c r="CS6">
        <v>1.3008971861267471</v>
      </c>
      <c r="CT6">
        <v>1.3542122826243059</v>
      </c>
      <c r="CU6">
        <v>1.2048792462380069</v>
      </c>
      <c r="CV6">
        <v>0.99738087925767427</v>
      </c>
      <c r="CW6">
        <v>0.95681808472832675</v>
      </c>
      <c r="CX6">
        <v>1.099430981871649</v>
      </c>
      <c r="CY6">
        <v>0</v>
      </c>
      <c r="DA6" s="538"/>
      <c r="DB6" s="363" t="s">
        <v>48</v>
      </c>
      <c r="DC6" s="385">
        <v>3.546010032734892E-2</v>
      </c>
      <c r="DD6" s="385">
        <v>3.7562463643687982E-2</v>
      </c>
      <c r="DE6" s="385">
        <v>2.2837249366036039E-2</v>
      </c>
      <c r="DF6" s="385">
        <v>3.8902860287008068E-2</v>
      </c>
      <c r="DG6" s="385">
        <v>1.7702559856678013E-2</v>
      </c>
      <c r="DH6" s="386">
        <v>3.9968538611633075E-2</v>
      </c>
      <c r="DI6" s="386">
        <v>3.9968538611633075E-2</v>
      </c>
      <c r="DJ6" s="386">
        <v>3.9968538611633075E-2</v>
      </c>
      <c r="DK6" s="386">
        <v>4.6259337021383962E-2</v>
      </c>
      <c r="DL6" s="386">
        <v>2.9880015738459109E-2</v>
      </c>
      <c r="DM6" s="385">
        <v>2.6806916723763008E-2</v>
      </c>
      <c r="DN6" s="385">
        <v>4.3623850107167961E-2</v>
      </c>
      <c r="DO6" s="385">
        <v>3.3376263819139051E-2</v>
      </c>
      <c r="DP6" s="385">
        <v>2.4551605832255019E-2</v>
      </c>
      <c r="DQ6" s="385">
        <v>3.6512269033605049E-2</v>
      </c>
      <c r="DR6" s="385">
        <v>3.5373514918787041E-2</v>
      </c>
      <c r="DS6" s="385">
        <v>3.0187006265173899E-2</v>
      </c>
      <c r="DT6" s="385">
        <v>4.26522322122731E-2</v>
      </c>
      <c r="DU6" s="385">
        <v>2.9796189814327967E-2</v>
      </c>
      <c r="DV6" s="385">
        <v>1.9854314899053982E-2</v>
      </c>
      <c r="DW6" s="385">
        <v>0</v>
      </c>
      <c r="DY6" s="69" t="s">
        <v>1440</v>
      </c>
    </row>
    <row r="7" spans="1:129" ht="14.25" customHeight="1">
      <c r="A7" s="544"/>
      <c r="B7" s="196" t="s">
        <v>141</v>
      </c>
      <c r="C7" s="156">
        <v>0</v>
      </c>
      <c r="D7" s="156">
        <v>0</v>
      </c>
      <c r="E7" s="69">
        <v>0</v>
      </c>
      <c r="F7" s="156">
        <v>0</v>
      </c>
      <c r="G7" s="156">
        <v>0</v>
      </c>
      <c r="H7" s="156">
        <v>0</v>
      </c>
      <c r="I7" s="156">
        <v>0</v>
      </c>
      <c r="J7" s="156">
        <v>0</v>
      </c>
      <c r="K7" s="156">
        <v>0</v>
      </c>
      <c r="L7" s="156">
        <v>0</v>
      </c>
      <c r="M7" s="156">
        <v>0</v>
      </c>
      <c r="N7" s="156">
        <v>0</v>
      </c>
      <c r="O7" s="156">
        <v>0</v>
      </c>
      <c r="P7" s="156">
        <v>0</v>
      </c>
      <c r="Q7" s="156">
        <v>0</v>
      </c>
      <c r="R7" s="156">
        <v>0</v>
      </c>
      <c r="S7" s="156">
        <v>0</v>
      </c>
      <c r="T7" s="156">
        <v>0</v>
      </c>
      <c r="U7" s="156">
        <v>0</v>
      </c>
      <c r="V7" s="156">
        <v>0</v>
      </c>
      <c r="W7" s="200">
        <v>0</v>
      </c>
      <c r="AA7" s="544"/>
      <c r="AB7" s="196" t="s">
        <v>141</v>
      </c>
      <c r="AC7" s="156">
        <v>0</v>
      </c>
      <c r="AD7" s="156">
        <v>0</v>
      </c>
      <c r="AE7" s="156">
        <v>0</v>
      </c>
      <c r="AF7" s="156">
        <v>0</v>
      </c>
      <c r="AG7" s="156">
        <v>0</v>
      </c>
      <c r="AH7" s="156">
        <v>0</v>
      </c>
      <c r="AI7" s="156">
        <v>0</v>
      </c>
      <c r="AJ7" s="156">
        <v>0</v>
      </c>
      <c r="AK7" s="156">
        <v>0</v>
      </c>
      <c r="AL7" s="156">
        <v>0</v>
      </c>
      <c r="AM7" s="156">
        <v>0</v>
      </c>
      <c r="AN7" s="156">
        <v>0</v>
      </c>
      <c r="AO7" s="156">
        <v>0</v>
      </c>
      <c r="AP7" s="156">
        <v>0</v>
      </c>
      <c r="AQ7" s="156">
        <v>0</v>
      </c>
      <c r="AR7" s="156">
        <v>0</v>
      </c>
      <c r="AS7" s="156">
        <v>0</v>
      </c>
      <c r="AT7" s="156">
        <v>0</v>
      </c>
      <c r="AU7" s="156">
        <v>0</v>
      </c>
      <c r="AV7" s="156">
        <v>0</v>
      </c>
      <c r="AW7" s="200">
        <v>0</v>
      </c>
      <c r="BF7" s="538"/>
      <c r="BG7" s="363" t="s">
        <v>141</v>
      </c>
      <c r="BH7" s="385">
        <v>3.7481279618508192E-8</v>
      </c>
      <c r="BI7" s="385">
        <v>3.1918961412150913E-8</v>
      </c>
      <c r="BJ7" s="385">
        <v>3.7823050383749663E-8</v>
      </c>
      <c r="BK7" s="385">
        <v>3.2304868308207372E-8</v>
      </c>
      <c r="BL7" s="385">
        <v>2.947236902449295E-8</v>
      </c>
      <c r="BM7" s="386">
        <v>3.6425672566335823E-8</v>
      </c>
      <c r="BN7" s="386">
        <v>3.6425672566335823E-8</v>
      </c>
      <c r="BO7" s="386">
        <v>3.6425672566335823E-8</v>
      </c>
      <c r="BP7" s="385">
        <v>3.1303437316960473E-8</v>
      </c>
      <c r="BQ7" s="385">
        <v>3.6544990655092533E-8</v>
      </c>
      <c r="BR7" s="385">
        <v>2.8934664057174161E-8</v>
      </c>
      <c r="BS7" s="385">
        <v>3.4325654755325042E-8</v>
      </c>
      <c r="BT7" s="385">
        <v>3.3603550889861768E-8</v>
      </c>
      <c r="BU7" s="385">
        <v>3.6037239440488261E-8</v>
      </c>
      <c r="BV7" s="385">
        <v>3.6169779343088397E-8</v>
      </c>
      <c r="BW7" s="385">
        <v>3.2157215023137718E-8</v>
      </c>
      <c r="BX7" s="385">
        <v>3.3337096130389691E-8</v>
      </c>
      <c r="BY7" s="385">
        <v>3.8786053033351162E-8</v>
      </c>
      <c r="BZ7" s="385">
        <v>3.8420100501183123E-8</v>
      </c>
      <c r="CA7" s="385">
        <v>4.1192475287985218E-8</v>
      </c>
      <c r="CB7" s="385">
        <v>0</v>
      </c>
      <c r="CD7" s="365" t="s">
        <v>142</v>
      </c>
      <c r="CE7" s="165">
        <v>0.35193578492318878</v>
      </c>
      <c r="CF7" s="165">
        <v>0.46775885381673887</v>
      </c>
      <c r="CG7" s="165">
        <v>0.52726920628231899</v>
      </c>
      <c r="CH7" s="165">
        <v>2.155783684948871</v>
      </c>
      <c r="CI7" s="165">
        <v>0.82823975410995143</v>
      </c>
      <c r="CJ7" s="165">
        <v>4.0666982090979367E-2</v>
      </c>
      <c r="CK7" s="165">
        <v>4.0666982090979367E-2</v>
      </c>
      <c r="CL7" s="165">
        <v>4.0666982090979367E-2</v>
      </c>
      <c r="CM7" s="165">
        <v>0.2446367355380375</v>
      </c>
      <c r="CN7" s="165">
        <v>0.6578829170637589</v>
      </c>
      <c r="CO7" s="165">
        <v>0.37083521894751797</v>
      </c>
      <c r="CP7" s="165">
        <v>0.8278404836162101</v>
      </c>
      <c r="CQ7" s="165">
        <v>0.24044811910082031</v>
      </c>
      <c r="CR7" s="165">
        <v>0.3659601115626489</v>
      </c>
      <c r="CS7" s="165">
        <v>0.31222949039959341</v>
      </c>
      <c r="CT7" s="165">
        <v>0.47680085503445541</v>
      </c>
      <c r="CU7" s="165">
        <v>0.3339234197222572</v>
      </c>
      <c r="CV7" s="165">
        <v>0.17615512079176129</v>
      </c>
      <c r="CW7" s="165">
        <v>0.19946639272158101</v>
      </c>
      <c r="CX7" s="165">
        <v>0.34198469383636021</v>
      </c>
      <c r="CY7" s="165">
        <v>0</v>
      </c>
      <c r="DA7" s="538"/>
      <c r="DB7" s="363" t="s">
        <v>141</v>
      </c>
      <c r="DC7" s="385">
        <v>-5.2372232829906218E-2</v>
      </c>
      <c r="DD7" s="385">
        <v>-4.9872073376033388E-2</v>
      </c>
      <c r="DE7" s="385">
        <v>-5.9267795441088511E-2</v>
      </c>
      <c r="DF7" s="385">
        <v>-1.9637938065013016E-2</v>
      </c>
      <c r="DG7" s="385">
        <v>-5.0071053027505252E-2</v>
      </c>
      <c r="DH7" s="386">
        <v>-3.4763466566050449E-2</v>
      </c>
      <c r="DI7" s="386">
        <v>-3.4763466566050449E-2</v>
      </c>
      <c r="DJ7" s="386">
        <v>-3.4763466566050449E-2</v>
      </c>
      <c r="DK7" s="386">
        <v>-3.7829990975931094E-2</v>
      </c>
      <c r="DL7" s="386">
        <v>-6.0833794847390488E-2</v>
      </c>
      <c r="DM7" s="385">
        <v>-4.4337774191215207E-2</v>
      </c>
      <c r="DN7" s="385">
        <v>-4.6748025119822567E-2</v>
      </c>
      <c r="DO7" s="385">
        <v>-4.8797933169894669E-2</v>
      </c>
      <c r="DP7" s="385">
        <v>-6.0972957181506193E-2</v>
      </c>
      <c r="DQ7" s="385">
        <v>-5.3085755638779819E-2</v>
      </c>
      <c r="DR7" s="385">
        <v>-5.824540268114009E-2</v>
      </c>
      <c r="DS7" s="385">
        <v>-5.7712627378210812E-2</v>
      </c>
      <c r="DT7" s="385">
        <v>-5.0407246607149458E-2</v>
      </c>
      <c r="DU7" s="385">
        <v>-5.2760699977417835E-2</v>
      </c>
      <c r="DV7" s="385">
        <v>-5.2847967294226916E-2</v>
      </c>
      <c r="DW7" s="385">
        <v>0</v>
      </c>
      <c r="DY7" s="69" t="s">
        <v>1441</v>
      </c>
    </row>
    <row r="8" spans="1:129" ht="14.25" customHeight="1">
      <c r="A8" s="544"/>
      <c r="B8" s="196" t="s">
        <v>142</v>
      </c>
      <c r="C8" s="156">
        <v>0</v>
      </c>
      <c r="D8" s="156">
        <v>0</v>
      </c>
      <c r="E8" s="156">
        <v>0</v>
      </c>
      <c r="F8" s="156">
        <v>0</v>
      </c>
      <c r="G8" s="156">
        <v>0</v>
      </c>
      <c r="H8" s="156">
        <v>0</v>
      </c>
      <c r="I8" s="156">
        <v>0</v>
      </c>
      <c r="J8" s="156">
        <v>0</v>
      </c>
      <c r="K8" s="156">
        <v>0</v>
      </c>
      <c r="L8" s="156">
        <v>0</v>
      </c>
      <c r="M8" s="156">
        <v>0</v>
      </c>
      <c r="N8" s="156">
        <v>0</v>
      </c>
      <c r="O8" s="156">
        <v>0</v>
      </c>
      <c r="P8" s="156">
        <v>0</v>
      </c>
      <c r="Q8" s="156">
        <v>0</v>
      </c>
      <c r="R8" s="156">
        <v>0</v>
      </c>
      <c r="S8" s="156">
        <v>0</v>
      </c>
      <c r="T8" s="156">
        <v>0</v>
      </c>
      <c r="U8" s="156">
        <v>0</v>
      </c>
      <c r="V8" s="156">
        <v>0</v>
      </c>
      <c r="W8" s="200">
        <v>0</v>
      </c>
      <c r="AA8" s="544"/>
      <c r="AB8" s="196" t="s">
        <v>142</v>
      </c>
      <c r="AC8" s="156">
        <v>0</v>
      </c>
      <c r="AD8" s="156">
        <v>0</v>
      </c>
      <c r="AE8" s="156">
        <v>0</v>
      </c>
      <c r="AF8" s="156">
        <v>0</v>
      </c>
      <c r="AG8" s="156">
        <v>0</v>
      </c>
      <c r="AH8" s="156">
        <v>0</v>
      </c>
      <c r="AI8" s="156">
        <v>0</v>
      </c>
      <c r="AJ8" s="156">
        <v>0</v>
      </c>
      <c r="AK8" s="156">
        <v>0</v>
      </c>
      <c r="AL8" s="156">
        <v>0</v>
      </c>
      <c r="AM8" s="156">
        <v>0</v>
      </c>
      <c r="AN8" s="156">
        <v>0</v>
      </c>
      <c r="AO8" s="156">
        <v>0</v>
      </c>
      <c r="AP8" s="156">
        <v>0</v>
      </c>
      <c r="AQ8" s="156">
        <v>0</v>
      </c>
      <c r="AR8" s="156">
        <v>0</v>
      </c>
      <c r="AS8" s="156">
        <v>0</v>
      </c>
      <c r="AT8" s="156">
        <v>0</v>
      </c>
      <c r="AU8" s="156">
        <v>0</v>
      </c>
      <c r="AV8" s="156">
        <v>0</v>
      </c>
      <c r="AW8" s="200">
        <v>0</v>
      </c>
      <c r="BF8" s="538"/>
      <c r="BG8" s="363" t="s">
        <v>142</v>
      </c>
      <c r="BH8" s="385">
        <v>2.7289046945682082E-5</v>
      </c>
      <c r="BI8" s="385">
        <v>2.8925534095514358E-5</v>
      </c>
      <c r="BJ8" s="385">
        <v>2.766328342817445E-5</v>
      </c>
      <c r="BK8" s="385">
        <v>2.7780091291622253E-5</v>
      </c>
      <c r="BL8" s="385">
        <v>2.8493185835972251E-5</v>
      </c>
      <c r="BM8" s="386">
        <v>2.1269279395757817E-5</v>
      </c>
      <c r="BN8" s="386">
        <v>2.3092187817595172E-4</v>
      </c>
      <c r="BO8" s="386">
        <v>2.6704982593093432E-4</v>
      </c>
      <c r="BP8" s="385">
        <v>2.5806850816647976E-5</v>
      </c>
      <c r="BQ8" s="385">
        <v>2.8775248280289938E-5</v>
      </c>
      <c r="BR8" s="385">
        <v>2.5145322783670212E-5</v>
      </c>
      <c r="BS8" s="385">
        <v>2.6925801953910289E-5</v>
      </c>
      <c r="BT8" s="385">
        <v>2.5295367046995453E-5</v>
      </c>
      <c r="BU8" s="385">
        <v>2.7889903517969098E-5</v>
      </c>
      <c r="BV8" s="385">
        <v>2.6963520016303597E-5</v>
      </c>
      <c r="BW8" s="385">
        <v>2.8265239237637199E-5</v>
      </c>
      <c r="BX8" s="385">
        <v>2.7198723827938738E-5</v>
      </c>
      <c r="BY8" s="385">
        <v>2.5447667786049746E-5</v>
      </c>
      <c r="BZ8" s="385">
        <v>2.6083551620130515E-5</v>
      </c>
      <c r="CA8" s="385">
        <v>2.7816416481056012E-5</v>
      </c>
      <c r="CB8" s="385">
        <v>0</v>
      </c>
      <c r="CD8" s="365" t="s">
        <v>143</v>
      </c>
      <c r="CE8" s="165">
        <v>0.35193578492318878</v>
      </c>
      <c r="CF8" s="165">
        <v>0.46775885381673887</v>
      </c>
      <c r="CG8" s="165">
        <v>0.52726920628231899</v>
      </c>
      <c r="CH8" s="165">
        <v>2.155783684948871</v>
      </c>
      <c r="CI8" s="165">
        <v>0.82823975410995143</v>
      </c>
      <c r="CJ8" s="165">
        <v>4.0666982090979367E-2</v>
      </c>
      <c r="CK8" s="165">
        <v>4.0666982090979367E-2</v>
      </c>
      <c r="CL8" s="165">
        <v>4.0666982090979367E-2</v>
      </c>
      <c r="CM8" s="165">
        <v>0.2446367355380375</v>
      </c>
      <c r="CN8" s="165">
        <v>0.6578829170637589</v>
      </c>
      <c r="CO8" s="165">
        <v>0.37083521894751797</v>
      </c>
      <c r="CP8" s="165">
        <v>0.8278404836162101</v>
      </c>
      <c r="CQ8" s="165">
        <v>0.24044811910082031</v>
      </c>
      <c r="CR8" s="165">
        <v>0.3659601115626489</v>
      </c>
      <c r="CS8" s="165">
        <v>0.31222949039959341</v>
      </c>
      <c r="CT8" s="165">
        <v>0.47680085503445541</v>
      </c>
      <c r="CU8" s="165">
        <v>0.3339234197222572</v>
      </c>
      <c r="CV8" s="165">
        <v>0.17615512079176129</v>
      </c>
      <c r="CW8" s="165">
        <v>0.19946639272158101</v>
      </c>
      <c r="CX8" s="165">
        <v>0.34198469383636021</v>
      </c>
      <c r="CY8" s="165">
        <v>0</v>
      </c>
      <c r="DA8" s="538"/>
      <c r="DB8" s="363" t="s">
        <v>142</v>
      </c>
      <c r="DC8" s="385">
        <v>2.4166630768709396E-3</v>
      </c>
      <c r="DD8" s="385">
        <v>5.4170501081840516E-3</v>
      </c>
      <c r="DE8" s="385">
        <v>-8.4231791860933658E-3</v>
      </c>
      <c r="DF8" s="385">
        <v>9.3145608795470736E-3</v>
      </c>
      <c r="DG8" s="385">
        <v>-6.3589624646120946E-3</v>
      </c>
      <c r="DH8" s="386">
        <v>-8.0003825425413178E-3</v>
      </c>
      <c r="DI8" s="386">
        <v>-8.0003825425413178E-3</v>
      </c>
      <c r="DJ8" s="386">
        <v>-8.0003825425413178E-3</v>
      </c>
      <c r="DK8" s="386">
        <v>6.5005699159290664E-3</v>
      </c>
      <c r="DL8" s="386">
        <v>-4.5050123630541172E-4</v>
      </c>
      <c r="DM8" s="385">
        <v>-1.8418369261153922E-3</v>
      </c>
      <c r="DN8" s="385">
        <v>9.9882066079450826E-3</v>
      </c>
      <c r="DO8" s="385">
        <v>2.4187008320839531E-3</v>
      </c>
      <c r="DP8" s="385">
        <v>-5.0425680081244151E-3</v>
      </c>
      <c r="DQ8" s="385">
        <v>7.3525918253989353E-3</v>
      </c>
      <c r="DR8" s="385">
        <v>9.3203969682109644E-3</v>
      </c>
      <c r="DS8" s="385">
        <v>-4.9039758154478807E-4</v>
      </c>
      <c r="DT8" s="385">
        <v>9.0105662730310954E-4</v>
      </c>
      <c r="DU8" s="385">
        <v>-3.6373974562955436E-3</v>
      </c>
      <c r="DV8" s="385">
        <v>-3.260597096839124E-3</v>
      </c>
      <c r="DW8" s="385">
        <v>0</v>
      </c>
      <c r="DY8" s="69" t="s">
        <v>1442</v>
      </c>
    </row>
    <row r="9" spans="1:129" ht="14.25" customHeight="1">
      <c r="A9" s="544"/>
      <c r="B9" s="196" t="s">
        <v>143</v>
      </c>
      <c r="C9" s="156">
        <v>0</v>
      </c>
      <c r="D9" s="156">
        <v>0</v>
      </c>
      <c r="E9" s="156">
        <v>0</v>
      </c>
      <c r="F9" s="156">
        <v>0</v>
      </c>
      <c r="G9" s="156">
        <v>0</v>
      </c>
      <c r="H9" s="156">
        <v>0</v>
      </c>
      <c r="I9" s="156">
        <v>0</v>
      </c>
      <c r="J9" s="156">
        <v>0</v>
      </c>
      <c r="K9" s="156">
        <v>0</v>
      </c>
      <c r="L9" s="156">
        <v>0</v>
      </c>
      <c r="M9" s="156">
        <v>0</v>
      </c>
      <c r="N9" s="156">
        <v>0</v>
      </c>
      <c r="O9" s="156">
        <v>0</v>
      </c>
      <c r="P9" s="156">
        <v>0</v>
      </c>
      <c r="Q9" s="156">
        <v>0</v>
      </c>
      <c r="R9" s="156">
        <v>0</v>
      </c>
      <c r="S9" s="156">
        <v>0</v>
      </c>
      <c r="T9" s="156">
        <v>0</v>
      </c>
      <c r="U9" s="156">
        <v>0</v>
      </c>
      <c r="V9" s="156">
        <v>0</v>
      </c>
      <c r="W9" s="200">
        <v>0</v>
      </c>
      <c r="AA9" s="544"/>
      <c r="AB9" s="196" t="s">
        <v>143</v>
      </c>
      <c r="AC9" s="156">
        <v>0</v>
      </c>
      <c r="AD9" s="156">
        <v>0</v>
      </c>
      <c r="AE9" s="156">
        <v>0</v>
      </c>
      <c r="AF9" s="156">
        <v>0</v>
      </c>
      <c r="AG9" s="156">
        <v>0</v>
      </c>
      <c r="AH9" s="156">
        <v>0</v>
      </c>
      <c r="AI9" s="156">
        <v>0</v>
      </c>
      <c r="AJ9" s="156">
        <v>0</v>
      </c>
      <c r="AK9" s="156">
        <v>0</v>
      </c>
      <c r="AL9" s="156">
        <v>0</v>
      </c>
      <c r="AM9" s="156">
        <v>0</v>
      </c>
      <c r="AN9" s="156">
        <v>0</v>
      </c>
      <c r="AO9" s="156">
        <v>0</v>
      </c>
      <c r="AP9" s="156">
        <v>0</v>
      </c>
      <c r="AQ9" s="156">
        <v>0</v>
      </c>
      <c r="AR9" s="156">
        <v>0</v>
      </c>
      <c r="AS9" s="156">
        <v>0</v>
      </c>
      <c r="AT9" s="156">
        <v>0</v>
      </c>
      <c r="AU9" s="156">
        <v>0</v>
      </c>
      <c r="AV9" s="156">
        <v>0</v>
      </c>
      <c r="AW9" s="200">
        <v>0</v>
      </c>
      <c r="BF9" s="538"/>
      <c r="BG9" s="363" t="s">
        <v>143</v>
      </c>
      <c r="BH9" s="385">
        <v>0</v>
      </c>
      <c r="BI9" s="385">
        <v>0</v>
      </c>
      <c r="BJ9" s="385">
        <v>0</v>
      </c>
      <c r="BK9" s="385">
        <v>0</v>
      </c>
      <c r="BL9" s="385">
        <v>0</v>
      </c>
      <c r="BM9" s="386">
        <v>0</v>
      </c>
      <c r="BN9" s="386">
        <v>0</v>
      </c>
      <c r="BO9" s="386">
        <v>0</v>
      </c>
      <c r="BP9" s="385">
        <v>0</v>
      </c>
      <c r="BQ9" s="385">
        <v>0</v>
      </c>
      <c r="BR9" s="385">
        <v>0</v>
      </c>
      <c r="BS9" s="385">
        <v>0</v>
      </c>
      <c r="BT9" s="385">
        <v>0</v>
      </c>
      <c r="BU9" s="385">
        <v>0</v>
      </c>
      <c r="BV9" s="385">
        <v>0</v>
      </c>
      <c r="BW9" s="385">
        <v>0</v>
      </c>
      <c r="BX9" s="385">
        <v>0</v>
      </c>
      <c r="BY9" s="385">
        <v>0</v>
      </c>
      <c r="BZ9" s="385">
        <v>0</v>
      </c>
      <c r="CA9" s="385">
        <v>0</v>
      </c>
      <c r="CB9" s="385">
        <v>0</v>
      </c>
      <c r="CD9" s="365" t="s">
        <v>144</v>
      </c>
      <c r="CE9" s="165">
        <v>0.35193578492318878</v>
      </c>
      <c r="CF9" s="165">
        <v>0.46775885381673887</v>
      </c>
      <c r="CG9" s="165">
        <v>0.52726920628231899</v>
      </c>
      <c r="CH9" s="165">
        <v>2.155783684948871</v>
      </c>
      <c r="CI9" s="165">
        <v>0.82823975410995143</v>
      </c>
      <c r="CJ9" s="165">
        <v>4.0666982090979367E-2</v>
      </c>
      <c r="CK9" s="165">
        <v>4.0666982090979367E-2</v>
      </c>
      <c r="CL9" s="165">
        <v>4.0666982090979367E-2</v>
      </c>
      <c r="CM9" s="165">
        <v>0.2446367355380375</v>
      </c>
      <c r="CN9" s="165">
        <v>0.6578829170637589</v>
      </c>
      <c r="CO9" s="165">
        <v>0.37083521894751797</v>
      </c>
      <c r="CP9" s="165">
        <v>0.8278404836162101</v>
      </c>
      <c r="CQ9" s="165">
        <v>0.24044811910082031</v>
      </c>
      <c r="CR9" s="165">
        <v>0.3659601115626489</v>
      </c>
      <c r="CS9" s="165">
        <v>0.31222949039959341</v>
      </c>
      <c r="CT9" s="165">
        <v>0.47680085503445541</v>
      </c>
      <c r="CU9" s="165">
        <v>0.3339234197222572</v>
      </c>
      <c r="CV9" s="165">
        <v>0.17615512079176129</v>
      </c>
      <c r="CW9" s="165">
        <v>0.19946639272158101</v>
      </c>
      <c r="CX9" s="165">
        <v>0.34198469383636021</v>
      </c>
      <c r="CY9" s="165">
        <v>0</v>
      </c>
      <c r="DA9" s="538"/>
      <c r="DB9" s="363" t="s">
        <v>143</v>
      </c>
      <c r="DC9" s="385">
        <v>2.4166630768709396E-3</v>
      </c>
      <c r="DD9" s="385">
        <v>5.4170501081840516E-3</v>
      </c>
      <c r="DE9" s="385">
        <v>-8.4231791860933658E-3</v>
      </c>
      <c r="DF9" s="385">
        <v>9.3145608795470736E-3</v>
      </c>
      <c r="DG9" s="385">
        <v>-6.3589624646120946E-3</v>
      </c>
      <c r="DH9" s="386">
        <v>-8.0003825425413178E-3</v>
      </c>
      <c r="DI9" s="386">
        <v>-8.0003825425413178E-3</v>
      </c>
      <c r="DJ9" s="386">
        <v>-8.0003825425413178E-3</v>
      </c>
      <c r="DK9" s="386">
        <v>6.5005699159290664E-3</v>
      </c>
      <c r="DL9" s="386">
        <v>-4.5050123630541172E-4</v>
      </c>
      <c r="DM9" s="385">
        <v>-1.8418369261153922E-3</v>
      </c>
      <c r="DN9" s="385">
        <v>9.9882066079450826E-3</v>
      </c>
      <c r="DO9" s="385">
        <v>2.4187008320839531E-3</v>
      </c>
      <c r="DP9" s="385">
        <v>-5.0425680081244151E-3</v>
      </c>
      <c r="DQ9" s="385">
        <v>7.3525918253989353E-3</v>
      </c>
      <c r="DR9" s="385">
        <v>9.3203969682109644E-3</v>
      </c>
      <c r="DS9" s="385">
        <v>-4.9039758154478807E-4</v>
      </c>
      <c r="DT9" s="385">
        <v>9.0105662730310954E-4</v>
      </c>
      <c r="DU9" s="385">
        <v>-3.6373974562955436E-3</v>
      </c>
      <c r="DV9" s="385">
        <v>-3.260597096839124E-3</v>
      </c>
      <c r="DW9" s="385">
        <v>0</v>
      </c>
      <c r="DY9" s="69" t="s">
        <v>1443</v>
      </c>
    </row>
    <row r="10" spans="1:129" ht="14.25" customHeight="1">
      <c r="A10" s="544"/>
      <c r="B10" s="196" t="s">
        <v>144</v>
      </c>
      <c r="C10" s="156">
        <v>0</v>
      </c>
      <c r="D10" s="156">
        <v>0</v>
      </c>
      <c r="E10" s="156">
        <v>0</v>
      </c>
      <c r="F10" s="156">
        <v>0</v>
      </c>
      <c r="G10" s="156">
        <v>0</v>
      </c>
      <c r="H10" s="156">
        <v>0</v>
      </c>
      <c r="I10" s="156">
        <v>0</v>
      </c>
      <c r="J10" s="156">
        <v>0</v>
      </c>
      <c r="K10" s="156">
        <v>0</v>
      </c>
      <c r="L10" s="156">
        <v>0</v>
      </c>
      <c r="M10" s="156">
        <v>0</v>
      </c>
      <c r="N10" s="156">
        <v>0</v>
      </c>
      <c r="O10" s="156">
        <v>0</v>
      </c>
      <c r="P10" s="156">
        <v>0</v>
      </c>
      <c r="Q10" s="156">
        <v>0</v>
      </c>
      <c r="R10" s="156">
        <v>0</v>
      </c>
      <c r="S10" s="156">
        <v>0</v>
      </c>
      <c r="T10" s="156">
        <v>0</v>
      </c>
      <c r="U10" s="156">
        <v>0</v>
      </c>
      <c r="V10" s="156">
        <v>0</v>
      </c>
      <c r="W10" s="200">
        <v>0</v>
      </c>
      <c r="AA10" s="544"/>
      <c r="AB10" s="196" t="s">
        <v>144</v>
      </c>
      <c r="AC10" s="156">
        <v>0</v>
      </c>
      <c r="AD10" s="156">
        <v>0</v>
      </c>
      <c r="AE10" s="156">
        <v>0</v>
      </c>
      <c r="AF10" s="156">
        <v>0</v>
      </c>
      <c r="AG10" s="156">
        <v>0</v>
      </c>
      <c r="AH10" s="156">
        <v>0</v>
      </c>
      <c r="AI10" s="156">
        <v>0</v>
      </c>
      <c r="AJ10" s="156">
        <v>0</v>
      </c>
      <c r="AK10" s="156">
        <v>0</v>
      </c>
      <c r="AL10" s="156">
        <v>0</v>
      </c>
      <c r="AM10" s="156">
        <v>0</v>
      </c>
      <c r="AN10" s="156">
        <v>0</v>
      </c>
      <c r="AO10" s="156">
        <v>0</v>
      </c>
      <c r="AP10" s="156">
        <v>0</v>
      </c>
      <c r="AQ10" s="156">
        <v>0</v>
      </c>
      <c r="AR10" s="156">
        <v>0</v>
      </c>
      <c r="AS10" s="156">
        <v>0</v>
      </c>
      <c r="AT10" s="156">
        <v>0</v>
      </c>
      <c r="AU10" s="156">
        <v>0</v>
      </c>
      <c r="AV10" s="156">
        <v>0</v>
      </c>
      <c r="AW10" s="200">
        <v>0</v>
      </c>
      <c r="BF10" s="538"/>
      <c r="BG10" s="363" t="s">
        <v>144</v>
      </c>
      <c r="BH10" s="385">
        <v>1.0768365758283E-23</v>
      </c>
      <c r="BI10" s="385">
        <v>1.1414130054236634E-23</v>
      </c>
      <c r="BJ10" s="385">
        <v>1.0916040953081577E-23</v>
      </c>
      <c r="BK10" s="385">
        <v>1.0962133797567982E-23</v>
      </c>
      <c r="BL10" s="385">
        <v>1.1243523722583738E-23</v>
      </c>
      <c r="BM10" s="386">
        <v>8.3929416957843833E-24</v>
      </c>
      <c r="BN10" s="386">
        <v>9.1122685623206693E-23</v>
      </c>
      <c r="BO10" s="386">
        <v>1.0537891656803083E-22</v>
      </c>
      <c r="BP10" s="385">
        <v>1.0183485308822088E-23</v>
      </c>
      <c r="BQ10" s="385">
        <v>1.1354826677690008E-23</v>
      </c>
      <c r="BR10" s="385">
        <v>9.9224437329604862E-24</v>
      </c>
      <c r="BS10" s="385">
        <v>1.0625027849155981E-23</v>
      </c>
      <c r="BT10" s="385">
        <v>9.9816517921731946E-24</v>
      </c>
      <c r="BU10" s="385">
        <v>1.1005466136010871E-23</v>
      </c>
      <c r="BV10" s="385">
        <v>1.0639911545620475E-23</v>
      </c>
      <c r="BW10" s="385">
        <v>1.115357509414266E-23</v>
      </c>
      <c r="BX10" s="385">
        <v>1.0732723899106871E-23</v>
      </c>
      <c r="BY10" s="385">
        <v>1.0041750265625122E-23</v>
      </c>
      <c r="BZ10" s="385">
        <v>1.0292672539268119E-23</v>
      </c>
      <c r="CA10" s="385">
        <v>1.0976467860858657E-23</v>
      </c>
      <c r="CB10" s="385">
        <v>0</v>
      </c>
      <c r="CD10" s="196" t="s">
        <v>61</v>
      </c>
      <c r="CE10">
        <v>0.25130298512626809</v>
      </c>
      <c r="CF10">
        <v>0.178897118702112</v>
      </c>
      <c r="CG10">
        <v>0.29456364250875028</v>
      </c>
      <c r="CH10">
        <v>0.56057076584605303</v>
      </c>
      <c r="CI10">
        <v>0.34607886594691029</v>
      </c>
      <c r="CJ10" s="165">
        <v>0.16396997820360079</v>
      </c>
      <c r="CK10" s="165">
        <v>0.16396997820360079</v>
      </c>
      <c r="CL10" s="165">
        <v>0.16396997820360079</v>
      </c>
      <c r="CM10">
        <v>2.501780451589888E-2</v>
      </c>
      <c r="CN10">
        <v>0.28467342562150427</v>
      </c>
      <c r="CO10">
        <v>0.27030864451763381</v>
      </c>
      <c r="CP10">
        <v>0.27678974375970788</v>
      </c>
      <c r="CQ10">
        <v>0.21341567106800061</v>
      </c>
      <c r="CR10">
        <v>0.21452308713426191</v>
      </c>
      <c r="CS10">
        <v>0.22764414571338021</v>
      </c>
      <c r="CT10">
        <v>0.25004682711387161</v>
      </c>
      <c r="CU10">
        <v>0.23311715824755849</v>
      </c>
      <c r="CV10">
        <v>0.1586163173524725</v>
      </c>
      <c r="CW10">
        <v>0.1711811876396582</v>
      </c>
      <c r="CX10">
        <v>0.2268829973553215</v>
      </c>
      <c r="CY10">
        <v>0</v>
      </c>
      <c r="DA10" s="538"/>
      <c r="DB10" s="363" t="s">
        <v>144</v>
      </c>
      <c r="DC10" s="385">
        <v>2.4166630768709396E-3</v>
      </c>
      <c r="DD10" s="385">
        <v>5.4170501081840516E-3</v>
      </c>
      <c r="DE10" s="385">
        <v>-8.4231791860933658E-3</v>
      </c>
      <c r="DF10" s="385">
        <v>9.3145608795470736E-3</v>
      </c>
      <c r="DG10" s="385">
        <v>-6.3589624646120946E-3</v>
      </c>
      <c r="DH10" s="386">
        <v>-8.0003825425413178E-3</v>
      </c>
      <c r="DI10" s="386">
        <v>-8.0003825425413178E-3</v>
      </c>
      <c r="DJ10" s="386">
        <v>-8.0003825425413178E-3</v>
      </c>
      <c r="DK10" s="386">
        <v>6.5005699159290664E-3</v>
      </c>
      <c r="DL10" s="386">
        <v>-4.5050123630541172E-4</v>
      </c>
      <c r="DM10" s="385">
        <v>-1.8418369261153922E-3</v>
      </c>
      <c r="DN10" s="385">
        <v>9.9882066079450826E-3</v>
      </c>
      <c r="DO10" s="385">
        <v>2.4187008320839531E-3</v>
      </c>
      <c r="DP10" s="385">
        <v>-5.0425680081244151E-3</v>
      </c>
      <c r="DQ10" s="385">
        <v>7.3525918253989353E-3</v>
      </c>
      <c r="DR10" s="385">
        <v>9.3203969682109644E-3</v>
      </c>
      <c r="DS10" s="385">
        <v>-4.9039758154478807E-4</v>
      </c>
      <c r="DT10" s="385">
        <v>9.0105662730310954E-4</v>
      </c>
      <c r="DU10" s="385">
        <v>-3.6373974562955436E-3</v>
      </c>
      <c r="DV10" s="385">
        <v>-3.260597096839124E-3</v>
      </c>
      <c r="DW10" s="385">
        <v>0</v>
      </c>
    </row>
    <row r="11" spans="1:129" ht="14.25" customHeight="1">
      <c r="A11" s="544"/>
      <c r="B11" s="196" t="s">
        <v>61</v>
      </c>
      <c r="C11" s="156">
        <v>0</v>
      </c>
      <c r="D11" s="156">
        <v>0</v>
      </c>
      <c r="E11" s="156">
        <v>0</v>
      </c>
      <c r="F11" s="156">
        <v>0</v>
      </c>
      <c r="G11" s="156">
        <v>0</v>
      </c>
      <c r="H11" s="156">
        <v>0</v>
      </c>
      <c r="I11" s="156">
        <v>0</v>
      </c>
      <c r="J11" s="156">
        <v>0</v>
      </c>
      <c r="K11" s="156">
        <v>0</v>
      </c>
      <c r="L11" s="156">
        <v>0</v>
      </c>
      <c r="M11" s="156">
        <v>0</v>
      </c>
      <c r="N11" s="156">
        <v>0</v>
      </c>
      <c r="O11" s="156">
        <v>0</v>
      </c>
      <c r="P11" s="156">
        <v>0</v>
      </c>
      <c r="Q11" s="156">
        <v>0</v>
      </c>
      <c r="R11" s="156">
        <v>0</v>
      </c>
      <c r="S11" s="156">
        <v>0</v>
      </c>
      <c r="T11" s="156">
        <v>0</v>
      </c>
      <c r="U11" s="156">
        <v>0</v>
      </c>
      <c r="V11" s="156">
        <v>0</v>
      </c>
      <c r="W11" s="200">
        <v>0</v>
      </c>
      <c r="AA11" s="544"/>
      <c r="AB11" s="196" t="s">
        <v>61</v>
      </c>
      <c r="AC11" s="156">
        <v>0</v>
      </c>
      <c r="AD11" s="156">
        <v>0</v>
      </c>
      <c r="AE11" s="156">
        <v>0</v>
      </c>
      <c r="AF11" s="156">
        <v>0</v>
      </c>
      <c r="AG11" s="156">
        <v>0</v>
      </c>
      <c r="AH11" s="156">
        <v>0</v>
      </c>
      <c r="AI11" s="156">
        <v>0</v>
      </c>
      <c r="AJ11" s="156">
        <v>0</v>
      </c>
      <c r="AK11" s="156">
        <v>0</v>
      </c>
      <c r="AL11" s="156">
        <v>0</v>
      </c>
      <c r="AM11" s="156">
        <v>0</v>
      </c>
      <c r="AN11" s="156">
        <v>0</v>
      </c>
      <c r="AO11" s="156">
        <v>0</v>
      </c>
      <c r="AP11" s="156">
        <v>0</v>
      </c>
      <c r="AQ11" s="156">
        <v>0</v>
      </c>
      <c r="AR11" s="156">
        <v>0</v>
      </c>
      <c r="AS11" s="156">
        <v>0</v>
      </c>
      <c r="AT11" s="156">
        <v>0</v>
      </c>
      <c r="AU11" s="156">
        <v>0</v>
      </c>
      <c r="AV11" s="156">
        <v>0</v>
      </c>
      <c r="AW11" s="200">
        <v>0</v>
      </c>
      <c r="BF11" s="538"/>
      <c r="BG11" s="363" t="s">
        <v>61</v>
      </c>
      <c r="BH11" s="385">
        <v>3.628961237435258E-7</v>
      </c>
      <c r="BI11" s="385">
        <v>3.2433038236023512E-7</v>
      </c>
      <c r="BJ11" s="385">
        <v>3.1310325342404969E-7</v>
      </c>
      <c r="BK11" s="385">
        <v>7.4217940948957522E-7</v>
      </c>
      <c r="BL11" s="385">
        <v>2.8781863046254341E-7</v>
      </c>
      <c r="BM11" s="386">
        <v>4.1684753947048132E-7</v>
      </c>
      <c r="BN11" s="386">
        <v>4.1684753947048132E-7</v>
      </c>
      <c r="BO11" s="386">
        <v>4.1684753947048132E-7</v>
      </c>
      <c r="BP11" s="385">
        <v>2.6072928869980262E-7</v>
      </c>
      <c r="BQ11" s="385">
        <v>3.4272014831878969E-7</v>
      </c>
      <c r="BR11" s="385">
        <v>3.4481333599253701E-7</v>
      </c>
      <c r="BS11" s="385">
        <v>4.0711068596141389E-7</v>
      </c>
      <c r="BT11" s="385">
        <v>3.4239000536445652E-7</v>
      </c>
      <c r="BU11" s="385">
        <v>3.2174589923798633E-7</v>
      </c>
      <c r="BV11" s="385">
        <v>3.3919487949248759E-7</v>
      </c>
      <c r="BW11" s="385">
        <v>3.2358419722633448E-7</v>
      </c>
      <c r="BX11" s="385">
        <v>3.4174965683740808E-7</v>
      </c>
      <c r="BY11" s="385">
        <v>3.763452578355097E-7</v>
      </c>
      <c r="BZ11" s="385">
        <v>3.6491785407352941E-7</v>
      </c>
      <c r="CA11" s="385">
        <v>3.583982416676382E-7</v>
      </c>
      <c r="CB11" s="385">
        <v>0</v>
      </c>
      <c r="CD11" s="196" t="s">
        <v>63</v>
      </c>
      <c r="CE11">
        <v>0.16855956469552011</v>
      </c>
      <c r="CF11">
        <v>0.21296827369312979</v>
      </c>
      <c r="CG11">
        <v>0.27929094124418391</v>
      </c>
      <c r="CH11">
        <v>0.66236008130144541</v>
      </c>
      <c r="CI11">
        <v>0.21146480909656029</v>
      </c>
      <c r="CJ11" s="165">
        <v>0.23818712291460439</v>
      </c>
      <c r="CK11" s="165">
        <v>0.23818712291460439</v>
      </c>
      <c r="CL11" s="165">
        <v>0.23818712291460439</v>
      </c>
      <c r="CM11">
        <v>0.15688004299774841</v>
      </c>
      <c r="CN11">
        <v>3.686083001089792E-3</v>
      </c>
      <c r="CO11">
        <v>0.1224938458640383</v>
      </c>
      <c r="CP11">
        <v>0.1799711444907007</v>
      </c>
      <c r="CQ11">
        <v>0.1041592403895728</v>
      </c>
      <c r="CR11">
        <v>8.6747466027937786E-2</v>
      </c>
      <c r="CS11">
        <v>8.0822474014812629E-2</v>
      </c>
      <c r="CT11">
        <v>3.4169962326077233E-2</v>
      </c>
      <c r="CU11">
        <v>8.3680337119149545E-2</v>
      </c>
      <c r="CV11">
        <v>2.9468945283559041E-2</v>
      </c>
      <c r="CW11">
        <v>4.1242002873206597E-2</v>
      </c>
      <c r="CX11">
        <v>6.4599205049080607E-2</v>
      </c>
      <c r="CY11">
        <v>0</v>
      </c>
      <c r="DA11" s="538"/>
      <c r="DB11" s="363" t="s">
        <v>61</v>
      </c>
      <c r="DC11" s="385">
        <v>-7.5932930857840586E-2</v>
      </c>
      <c r="DD11" s="385">
        <v>-0.10298217114425445</v>
      </c>
      <c r="DE11" s="385">
        <v>-8.7437262463573973E-2</v>
      </c>
      <c r="DF11" s="385">
        <v>-8.1932355529099499E-2</v>
      </c>
      <c r="DG11" s="385">
        <v>-8.2660694008735769E-2</v>
      </c>
      <c r="DH11" s="386">
        <v>-0.10466706233165979</v>
      </c>
      <c r="DI11" s="386">
        <v>-0.10466706233165979</v>
      </c>
      <c r="DJ11" s="386">
        <v>-0.10466706233165979</v>
      </c>
      <c r="DK11" s="386">
        <v>-0.13828831895949112</v>
      </c>
      <c r="DL11" s="386">
        <v>-8.5670717617946646E-2</v>
      </c>
      <c r="DM11" s="385">
        <v>-9.5331247486985182E-2</v>
      </c>
      <c r="DN11" s="385">
        <v>-7.9881723010578276E-2</v>
      </c>
      <c r="DO11" s="385">
        <v>-9.2248022051623635E-2</v>
      </c>
      <c r="DP11" s="385">
        <v>-0.11124921868832049</v>
      </c>
      <c r="DQ11" s="385">
        <v>-8.675139948675703E-2</v>
      </c>
      <c r="DR11" s="385">
        <v>-8.9099377727838602E-2</v>
      </c>
      <c r="DS11" s="385">
        <v>-9.6424947157448093E-2</v>
      </c>
      <c r="DT11" s="385">
        <v>-9.7389842067441834E-2</v>
      </c>
      <c r="DU11" s="385">
        <v>-0.10304332629052571</v>
      </c>
      <c r="DV11" s="385">
        <v>-9.548324191811397E-2</v>
      </c>
      <c r="DW11" s="385">
        <v>0</v>
      </c>
    </row>
    <row r="12" spans="1:129" ht="14.25" customHeight="1">
      <c r="A12" s="544"/>
      <c r="B12" s="196" t="s">
        <v>63</v>
      </c>
      <c r="C12" s="156">
        <v>0</v>
      </c>
      <c r="D12" s="156">
        <v>0</v>
      </c>
      <c r="E12" s="156">
        <v>0</v>
      </c>
      <c r="F12" s="156">
        <v>0</v>
      </c>
      <c r="G12" s="156">
        <v>0</v>
      </c>
      <c r="H12" s="156">
        <v>0</v>
      </c>
      <c r="I12" s="156">
        <v>0</v>
      </c>
      <c r="J12" s="156">
        <v>0</v>
      </c>
      <c r="K12" s="156">
        <v>0</v>
      </c>
      <c r="L12" s="156">
        <v>0</v>
      </c>
      <c r="M12" s="156">
        <v>0</v>
      </c>
      <c r="N12" s="156">
        <v>0</v>
      </c>
      <c r="O12" s="156">
        <v>0</v>
      </c>
      <c r="P12" s="156">
        <v>0</v>
      </c>
      <c r="Q12" s="156">
        <v>0</v>
      </c>
      <c r="R12" s="156">
        <v>0</v>
      </c>
      <c r="S12" s="156">
        <v>0</v>
      </c>
      <c r="T12" s="156">
        <v>0</v>
      </c>
      <c r="U12" s="156">
        <v>0</v>
      </c>
      <c r="V12" s="156">
        <v>0</v>
      </c>
      <c r="W12" s="200">
        <v>0</v>
      </c>
      <c r="AA12" s="544"/>
      <c r="AB12" s="196" t="s">
        <v>63</v>
      </c>
      <c r="AC12" s="156">
        <v>0</v>
      </c>
      <c r="AD12" s="156">
        <v>0</v>
      </c>
      <c r="AE12" s="156">
        <v>0</v>
      </c>
      <c r="AF12" s="156">
        <v>0</v>
      </c>
      <c r="AG12" s="156">
        <v>0</v>
      </c>
      <c r="AH12" s="156">
        <v>0</v>
      </c>
      <c r="AI12" s="156">
        <v>0</v>
      </c>
      <c r="AJ12" s="156">
        <v>0</v>
      </c>
      <c r="AK12" s="156">
        <v>0</v>
      </c>
      <c r="AL12" s="156">
        <v>0</v>
      </c>
      <c r="AM12" s="156">
        <v>0</v>
      </c>
      <c r="AN12" s="156">
        <v>0</v>
      </c>
      <c r="AO12" s="156">
        <v>0</v>
      </c>
      <c r="AP12" s="156">
        <v>0</v>
      </c>
      <c r="AQ12" s="156">
        <v>0</v>
      </c>
      <c r="AR12" s="156">
        <v>0</v>
      </c>
      <c r="AS12" s="156">
        <v>0</v>
      </c>
      <c r="AT12" s="156">
        <v>0</v>
      </c>
      <c r="AU12" s="156">
        <v>0</v>
      </c>
      <c r="AV12" s="156">
        <v>0</v>
      </c>
      <c r="AW12" s="200">
        <v>0</v>
      </c>
      <c r="BF12" s="538"/>
      <c r="BG12" s="363" t="s">
        <v>63</v>
      </c>
      <c r="BH12" s="385">
        <v>8.5701914668382298E-9</v>
      </c>
      <c r="BI12" s="385">
        <v>9.6140043023288896E-9</v>
      </c>
      <c r="BJ12" s="385">
        <v>8.888081847520409E-9</v>
      </c>
      <c r="BK12" s="385">
        <v>1.277421450459828E-8</v>
      </c>
      <c r="BL12" s="385">
        <v>1.0506216876498821E-8</v>
      </c>
      <c r="BM12" s="386">
        <v>1.094230554296721E-8</v>
      </c>
      <c r="BN12" s="386">
        <v>1.094230554296721E-8</v>
      </c>
      <c r="BO12" s="386">
        <v>1.094230554296721E-8</v>
      </c>
      <c r="BP12" s="385">
        <v>8.284324670053692E-9</v>
      </c>
      <c r="BQ12" s="385">
        <v>8.4382553166520601E-9</v>
      </c>
      <c r="BR12" s="385">
        <v>9.6046961778711217E-9</v>
      </c>
      <c r="BS12" s="385">
        <v>1.049395346096505E-8</v>
      </c>
      <c r="BT12" s="385">
        <v>8.2208451995489449E-9</v>
      </c>
      <c r="BU12" s="385">
        <v>9.1266793412762496E-9</v>
      </c>
      <c r="BV12" s="385">
        <v>8.7671011803174929E-9</v>
      </c>
      <c r="BW12" s="385">
        <v>9.0904654772862608E-9</v>
      </c>
      <c r="BX12" s="385">
        <v>9.0677722037923508E-9</v>
      </c>
      <c r="BY12" s="385">
        <v>9.0739539545451061E-9</v>
      </c>
      <c r="BZ12" s="385">
        <v>8.7980332552504482E-9</v>
      </c>
      <c r="CA12" s="385">
        <v>7.7028502411820237E-9</v>
      </c>
      <c r="CB12" s="385">
        <v>0</v>
      </c>
      <c r="CD12" s="196" t="s">
        <v>65</v>
      </c>
      <c r="CE12">
        <v>0.39450299035587222</v>
      </c>
      <c r="CF12">
        <v>0.50558282991611492</v>
      </c>
      <c r="CG12">
        <v>0.47095182450101991</v>
      </c>
      <c r="CH12">
        <v>1.0407108946784349</v>
      </c>
      <c r="CI12">
        <v>0.42163691459265012</v>
      </c>
      <c r="CJ12" s="165">
        <v>0.45451656988128519</v>
      </c>
      <c r="CK12" s="165">
        <v>0.45451656988128519</v>
      </c>
      <c r="CL12" s="165">
        <v>0.45451656988128519</v>
      </c>
      <c r="CM12">
        <v>0.31766046107253681</v>
      </c>
      <c r="CN12">
        <v>0.39552512213004209</v>
      </c>
      <c r="CO12">
        <v>1.813914367826714E-2</v>
      </c>
      <c r="CP12">
        <v>0.28986621213530789</v>
      </c>
      <c r="CQ12">
        <v>0.23591252283325559</v>
      </c>
      <c r="CR12">
        <v>0.25592056279438552</v>
      </c>
      <c r="CS12">
        <v>0.20795475729649679</v>
      </c>
      <c r="CT12">
        <v>0.32023585447501007</v>
      </c>
      <c r="CU12">
        <v>0.24443794560186</v>
      </c>
      <c r="CV12">
        <v>0.32643056170671692</v>
      </c>
      <c r="CW12">
        <v>0.29255224279338171</v>
      </c>
      <c r="CX12">
        <v>0.37161167344497381</v>
      </c>
      <c r="CY12">
        <v>0</v>
      </c>
      <c r="DA12" s="538"/>
      <c r="DB12" s="363" t="s">
        <v>63</v>
      </c>
      <c r="DC12" s="385">
        <v>-3.980949455895777E-2</v>
      </c>
      <c r="DD12" s="385">
        <v>-4.348303732709391E-2</v>
      </c>
      <c r="DE12" s="385">
        <v>-4.8284191656243425E-2</v>
      </c>
      <c r="DF12" s="385">
        <v>-5.8665625815727429E-2</v>
      </c>
      <c r="DG12" s="385">
        <v>-4.4267288862166465E-2</v>
      </c>
      <c r="DH12" s="386">
        <v>-4.8433460342616086E-2</v>
      </c>
      <c r="DI12" s="386">
        <v>-4.8433460342616086E-2</v>
      </c>
      <c r="DJ12" s="386">
        <v>-4.8433460342616086E-2</v>
      </c>
      <c r="DK12" s="386">
        <v>-4.2258866360658676E-2</v>
      </c>
      <c r="DL12" s="386">
        <v>-2.2587780170683303E-2</v>
      </c>
      <c r="DM12" s="385">
        <v>-3.8317424332750316E-2</v>
      </c>
      <c r="DN12" s="385">
        <v>-3.5379593872208015E-2</v>
      </c>
      <c r="DO12" s="385">
        <v>-3.4548983475418793E-2</v>
      </c>
      <c r="DP12" s="385">
        <v>-3.1133188739316808E-2</v>
      </c>
      <c r="DQ12" s="385">
        <v>-2.8013669463817781E-2</v>
      </c>
      <c r="DR12" s="385">
        <v>-2.078575037988617E-2</v>
      </c>
      <c r="DS12" s="385">
        <v>-3.1168299380223585E-2</v>
      </c>
      <c r="DT12" s="385">
        <v>-2.3050673348982254E-2</v>
      </c>
      <c r="DU12" s="385">
        <v>-2.4727843835543828E-2</v>
      </c>
      <c r="DV12" s="385">
        <v>-3.2888387499633853E-2</v>
      </c>
      <c r="DW12" s="385">
        <v>0</v>
      </c>
    </row>
    <row r="13" spans="1:129" ht="14.25" customHeight="1">
      <c r="A13" s="544"/>
      <c r="B13" s="196" t="s">
        <v>65</v>
      </c>
      <c r="C13" s="156">
        <v>0</v>
      </c>
      <c r="D13" s="156">
        <v>0</v>
      </c>
      <c r="E13" s="156">
        <v>0</v>
      </c>
      <c r="F13" s="156">
        <v>0</v>
      </c>
      <c r="G13" s="156">
        <v>0</v>
      </c>
      <c r="H13" s="156">
        <v>0</v>
      </c>
      <c r="I13" s="156">
        <v>0</v>
      </c>
      <c r="J13" s="156">
        <v>0</v>
      </c>
      <c r="K13" s="156">
        <v>0</v>
      </c>
      <c r="L13" s="156">
        <v>0</v>
      </c>
      <c r="M13" s="156">
        <v>0</v>
      </c>
      <c r="N13" s="156">
        <v>0</v>
      </c>
      <c r="O13" s="156">
        <v>0</v>
      </c>
      <c r="P13" s="156">
        <v>0</v>
      </c>
      <c r="Q13" s="156">
        <v>0</v>
      </c>
      <c r="R13" s="156">
        <v>0</v>
      </c>
      <c r="S13" s="156">
        <v>0</v>
      </c>
      <c r="T13" s="156">
        <v>0</v>
      </c>
      <c r="U13" s="156">
        <v>0</v>
      </c>
      <c r="V13" s="156">
        <v>0</v>
      </c>
      <c r="W13" s="200">
        <v>0</v>
      </c>
      <c r="AA13" s="544"/>
      <c r="AB13" s="196" t="s">
        <v>65</v>
      </c>
      <c r="AC13" s="156">
        <v>0</v>
      </c>
      <c r="AD13" s="156">
        <v>0</v>
      </c>
      <c r="AE13" s="156">
        <v>0</v>
      </c>
      <c r="AF13" s="156">
        <v>0</v>
      </c>
      <c r="AG13" s="156">
        <v>0</v>
      </c>
      <c r="AH13" s="156">
        <v>0</v>
      </c>
      <c r="AI13" s="156">
        <v>0</v>
      </c>
      <c r="AJ13" s="156">
        <v>0</v>
      </c>
      <c r="AK13" s="156">
        <v>0</v>
      </c>
      <c r="AL13" s="156">
        <v>0</v>
      </c>
      <c r="AM13" s="156">
        <v>0</v>
      </c>
      <c r="AN13" s="156">
        <v>0</v>
      </c>
      <c r="AO13" s="156">
        <v>0</v>
      </c>
      <c r="AP13" s="156">
        <v>0</v>
      </c>
      <c r="AQ13" s="156">
        <v>0</v>
      </c>
      <c r="AR13" s="156">
        <v>0</v>
      </c>
      <c r="AS13" s="156">
        <v>0</v>
      </c>
      <c r="AT13" s="156">
        <v>0</v>
      </c>
      <c r="AU13" s="156">
        <v>0</v>
      </c>
      <c r="AV13" s="156">
        <v>0</v>
      </c>
      <c r="AW13" s="200">
        <v>0</v>
      </c>
      <c r="BF13" s="538"/>
      <c r="BG13" s="363" t="s">
        <v>65</v>
      </c>
      <c r="BH13" s="385">
        <v>1.340095509655483E-8</v>
      </c>
      <c r="BI13" s="385">
        <v>1.8235620025690741E-8</v>
      </c>
      <c r="BJ13" s="385">
        <v>1.372631240964669E-8</v>
      </c>
      <c r="BK13" s="385">
        <v>2.8312065076033558E-8</v>
      </c>
      <c r="BL13" s="385">
        <v>1.74926134987695E-8</v>
      </c>
      <c r="BM13" s="386">
        <v>2.362351092056844E-8</v>
      </c>
      <c r="BN13" s="386">
        <v>2.362351092056844E-8</v>
      </c>
      <c r="BO13" s="386">
        <v>2.362351092056844E-8</v>
      </c>
      <c r="BP13" s="385">
        <v>1.691963829126954E-8</v>
      </c>
      <c r="BQ13" s="385">
        <v>1.5956337882926649E-8</v>
      </c>
      <c r="BR13" s="385">
        <v>1.6771027555796921E-8</v>
      </c>
      <c r="BS13" s="385">
        <v>1.9759837077494939E-8</v>
      </c>
      <c r="BT13" s="385">
        <v>1.278593125850763E-8</v>
      </c>
      <c r="BU13" s="385">
        <v>1.4097619177551859E-8</v>
      </c>
      <c r="BV13" s="385">
        <v>1.3375367110548441E-8</v>
      </c>
      <c r="BW13" s="385">
        <v>1.5352953509357711E-8</v>
      </c>
      <c r="BX13" s="385">
        <v>1.471687162109302E-8</v>
      </c>
      <c r="BY13" s="385">
        <v>1.667887107364103E-8</v>
      </c>
      <c r="BZ13" s="385">
        <v>1.4697686152971499E-8</v>
      </c>
      <c r="CA13" s="385">
        <v>9.9106971238808081E-9</v>
      </c>
      <c r="CB13" s="385">
        <v>0</v>
      </c>
      <c r="CD13" s="196" t="s">
        <v>67</v>
      </c>
      <c r="CE13">
        <v>0.35167563756065923</v>
      </c>
      <c r="CF13">
        <v>0.37695363437871049</v>
      </c>
      <c r="CG13">
        <v>0.45293803926268578</v>
      </c>
      <c r="CH13">
        <v>1.546959573542106</v>
      </c>
      <c r="CI13">
        <v>0.49390025452999731</v>
      </c>
      <c r="CJ13" s="165">
        <v>0.49482407609259299</v>
      </c>
      <c r="CK13" s="165">
        <v>0.49482407609259299</v>
      </c>
      <c r="CL13" s="165">
        <v>0.49482407609259299</v>
      </c>
      <c r="CM13">
        <v>0.46657356441010378</v>
      </c>
      <c r="CN13">
        <v>0.39272329605624401</v>
      </c>
      <c r="CO13">
        <v>0.22813334637390201</v>
      </c>
      <c r="CP13">
        <v>2.492087874265227E-2</v>
      </c>
      <c r="CQ13">
        <v>0.27664446319291042</v>
      </c>
      <c r="CR13">
        <v>0.33530086544045989</v>
      </c>
      <c r="CS13">
        <v>0.39208509217581072</v>
      </c>
      <c r="CT13">
        <v>0.4241707970527866</v>
      </c>
      <c r="CU13">
        <v>0.21109875658890209</v>
      </c>
      <c r="CV13">
        <v>0.3238573195100557</v>
      </c>
      <c r="CW13">
        <v>0.26378954748982397</v>
      </c>
      <c r="CX13">
        <v>0.43267105299640363</v>
      </c>
      <c r="CY13">
        <v>0</v>
      </c>
      <c r="DA13" s="538"/>
      <c r="DB13" s="363" t="s">
        <v>65</v>
      </c>
      <c r="DC13" s="385">
        <v>-1.0772138639389972E-3</v>
      </c>
      <c r="DD13" s="385">
        <v>-4.6201527589784241E-4</v>
      </c>
      <c r="DE13" s="385">
        <v>1.8400470705179917E-3</v>
      </c>
      <c r="DF13" s="385">
        <v>-2.7743760802658057E-2</v>
      </c>
      <c r="DG13" s="385">
        <v>1.9949608676770092E-2</v>
      </c>
      <c r="DH13" s="386">
        <v>-2.109736389150263E-2</v>
      </c>
      <c r="DI13" s="386">
        <v>-2.109736389150263E-2</v>
      </c>
      <c r="DJ13" s="386">
        <v>-2.109736389150263E-2</v>
      </c>
      <c r="DK13" s="386">
        <v>4.4618594433769587E-3</v>
      </c>
      <c r="DL13" s="386">
        <v>7.7871560157920516E-3</v>
      </c>
      <c r="DM13" s="385">
        <v>1.7087736357340066E-2</v>
      </c>
      <c r="DN13" s="385">
        <v>1.706974838502906E-2</v>
      </c>
      <c r="DO13" s="385">
        <v>-3.8233205350501898E-3</v>
      </c>
      <c r="DP13" s="385">
        <v>2.2416581790178913E-3</v>
      </c>
      <c r="DQ13" s="385">
        <v>-1.3567719741846007E-3</v>
      </c>
      <c r="DR13" s="385">
        <v>2.3942606418076107E-2</v>
      </c>
      <c r="DS13" s="385">
        <v>9.4247815533150536E-3</v>
      </c>
      <c r="DT13" s="385">
        <v>6.1841963746900319E-3</v>
      </c>
      <c r="DU13" s="385">
        <v>-6.1318656944006067E-3</v>
      </c>
      <c r="DV13" s="385">
        <v>-3.807683850784227E-2</v>
      </c>
      <c r="DW13" s="385">
        <v>0</v>
      </c>
    </row>
    <row r="14" spans="1:129" ht="14.25" customHeight="1">
      <c r="A14" s="544"/>
      <c r="B14" s="196" t="s">
        <v>67</v>
      </c>
      <c r="C14" s="156">
        <v>0</v>
      </c>
      <c r="D14" s="156">
        <v>0</v>
      </c>
      <c r="E14" s="156">
        <v>0</v>
      </c>
      <c r="F14" s="156">
        <v>0</v>
      </c>
      <c r="G14" s="156">
        <v>0</v>
      </c>
      <c r="H14" s="156">
        <v>0</v>
      </c>
      <c r="I14" s="156">
        <v>0</v>
      </c>
      <c r="J14" s="156">
        <v>0</v>
      </c>
      <c r="K14" s="156">
        <v>0</v>
      </c>
      <c r="L14" s="156">
        <v>0</v>
      </c>
      <c r="M14" s="156">
        <v>0</v>
      </c>
      <c r="N14" s="156">
        <v>0</v>
      </c>
      <c r="O14" s="156">
        <v>0</v>
      </c>
      <c r="P14" s="156">
        <v>0</v>
      </c>
      <c r="Q14" s="156">
        <v>0</v>
      </c>
      <c r="R14" s="156">
        <v>0</v>
      </c>
      <c r="S14" s="156">
        <v>0</v>
      </c>
      <c r="T14" s="156">
        <v>0</v>
      </c>
      <c r="U14" s="156">
        <v>0</v>
      </c>
      <c r="V14" s="156">
        <v>0</v>
      </c>
      <c r="W14" s="200">
        <v>0</v>
      </c>
      <c r="AA14" s="544"/>
      <c r="AB14" s="196" t="s">
        <v>67</v>
      </c>
      <c r="AC14" s="156">
        <v>0</v>
      </c>
      <c r="AD14" s="156">
        <v>0</v>
      </c>
      <c r="AE14" s="156">
        <v>0</v>
      </c>
      <c r="AF14" s="156">
        <v>0</v>
      </c>
      <c r="AG14" s="156">
        <v>0</v>
      </c>
      <c r="AH14" s="156">
        <v>0</v>
      </c>
      <c r="AI14" s="156">
        <v>0</v>
      </c>
      <c r="AJ14" s="156">
        <v>0</v>
      </c>
      <c r="AK14" s="156">
        <v>0</v>
      </c>
      <c r="AL14" s="156">
        <v>0</v>
      </c>
      <c r="AM14" s="156">
        <v>0</v>
      </c>
      <c r="AN14" s="156">
        <v>0</v>
      </c>
      <c r="AO14" s="156">
        <v>0</v>
      </c>
      <c r="AP14" s="156">
        <v>0</v>
      </c>
      <c r="AQ14" s="156">
        <v>0</v>
      </c>
      <c r="AR14" s="156">
        <v>0</v>
      </c>
      <c r="AS14" s="156">
        <v>0</v>
      </c>
      <c r="AT14" s="156">
        <v>0</v>
      </c>
      <c r="AU14" s="156">
        <v>0</v>
      </c>
      <c r="AV14" s="156">
        <v>0</v>
      </c>
      <c r="AW14" s="200">
        <v>0</v>
      </c>
      <c r="BF14" s="538"/>
      <c r="BG14" s="363" t="s">
        <v>67</v>
      </c>
      <c r="BH14" s="385">
        <v>4.1163621668179888E-8</v>
      </c>
      <c r="BI14" s="385">
        <v>4.3064042742450432E-8</v>
      </c>
      <c r="BJ14" s="385">
        <v>3.6412755498726423E-8</v>
      </c>
      <c r="BK14" s="385">
        <v>6.3777766041331517E-8</v>
      </c>
      <c r="BL14" s="385">
        <v>3.246485709807284E-8</v>
      </c>
      <c r="BM14" s="386">
        <v>4.2839066465794527E-8</v>
      </c>
      <c r="BN14" s="386">
        <v>4.2839066465794527E-8</v>
      </c>
      <c r="BO14" s="386">
        <v>4.2839066465794527E-8</v>
      </c>
      <c r="BP14" s="385">
        <v>4.1539877122454803E-8</v>
      </c>
      <c r="BQ14" s="385">
        <v>3.8231964761172079E-8</v>
      </c>
      <c r="BR14" s="385">
        <v>3.7667795808189718E-8</v>
      </c>
      <c r="BS14" s="385">
        <v>3.753586044867291E-8</v>
      </c>
      <c r="BT14" s="385">
        <v>3.7659222139019433E-8</v>
      </c>
      <c r="BU14" s="385">
        <v>3.1487932598052207E-8</v>
      </c>
      <c r="BV14" s="385">
        <v>2.2225765756330579E-8</v>
      </c>
      <c r="BW14" s="385">
        <v>3.2280526555783763E-8</v>
      </c>
      <c r="BX14" s="385">
        <v>3.0870774735893152E-8</v>
      </c>
      <c r="BY14" s="385">
        <v>2.744733554890849E-8</v>
      </c>
      <c r="BZ14" s="385">
        <v>3.2055167247851643E-8</v>
      </c>
      <c r="CA14" s="385">
        <v>3.0352845191840033E-8</v>
      </c>
      <c r="CB14" s="385">
        <v>0</v>
      </c>
      <c r="CD14" s="196" t="s">
        <v>69</v>
      </c>
      <c r="CE14">
        <v>0.4095984907250621</v>
      </c>
      <c r="CF14">
        <v>0.29267821525510102</v>
      </c>
      <c r="CG14">
        <v>0.35025670024819999</v>
      </c>
      <c r="CH14">
        <v>1.057209709856104</v>
      </c>
      <c r="CI14">
        <v>0.26342481794626688</v>
      </c>
      <c r="CJ14" s="165">
        <v>0.25109862667745098</v>
      </c>
      <c r="CK14" s="165">
        <v>0.25109862667745098</v>
      </c>
      <c r="CL14" s="165">
        <v>0.25109862667745098</v>
      </c>
      <c r="CM14">
        <v>0.33128125411836068</v>
      </c>
      <c r="CN14">
        <v>0.1721367182558427</v>
      </c>
      <c r="CO14">
        <v>0.16786368781980729</v>
      </c>
      <c r="CP14">
        <v>0.2999112259537407</v>
      </c>
      <c r="CQ14">
        <v>2.0392654137189512E-3</v>
      </c>
      <c r="CR14">
        <v>0.17321304790168859</v>
      </c>
      <c r="CS14">
        <v>0.20228952012161849</v>
      </c>
      <c r="CT14">
        <v>0.1650991023985339</v>
      </c>
      <c r="CU14">
        <v>0.17814569481463</v>
      </c>
      <c r="CV14">
        <v>0.16931695728654261</v>
      </c>
      <c r="CW14">
        <v>0.14625609012450241</v>
      </c>
      <c r="CX14">
        <v>0.14510043724524871</v>
      </c>
      <c r="CY14">
        <v>0</v>
      </c>
      <c r="DA14" s="538"/>
      <c r="DB14" s="363" t="s">
        <v>67</v>
      </c>
      <c r="DC14" s="385">
        <v>7.8269661625034015E-2</v>
      </c>
      <c r="DD14" s="385">
        <v>9.1546102522569006E-2</v>
      </c>
      <c r="DE14" s="385">
        <v>5.0074321781780062E-2</v>
      </c>
      <c r="DF14" s="385">
        <v>0.1348298670019501</v>
      </c>
      <c r="DG14" s="385">
        <v>3.3189010048199963E-2</v>
      </c>
      <c r="DH14" s="386">
        <v>9.1175487116893938E-2</v>
      </c>
      <c r="DI14" s="386">
        <v>9.1175487116893938E-2</v>
      </c>
      <c r="DJ14" s="386">
        <v>9.1175487116893938E-2</v>
      </c>
      <c r="DK14" s="386">
        <v>7.5669540753686038E-2</v>
      </c>
      <c r="DL14" s="386">
        <v>5.9585173122727042E-2</v>
      </c>
      <c r="DM14" s="385">
        <v>6.4481832307907938E-2</v>
      </c>
      <c r="DN14" s="385">
        <v>9.9036253612857061E-2</v>
      </c>
      <c r="DO14" s="385">
        <v>7.6973010184727908E-2</v>
      </c>
      <c r="DP14" s="385">
        <v>5.5586419486574945E-2</v>
      </c>
      <c r="DQ14" s="385">
        <v>5.7844503135010994E-2</v>
      </c>
      <c r="DR14" s="385">
        <v>7.1347376881863989E-2</v>
      </c>
      <c r="DS14" s="385">
        <v>6.1018312952713094E-2</v>
      </c>
      <c r="DT14" s="385">
        <v>7.3601577675644902E-2</v>
      </c>
      <c r="DU14" s="385">
        <v>6.0691647104132995E-2</v>
      </c>
      <c r="DV14" s="385">
        <v>4.8828259950735031E-2</v>
      </c>
      <c r="DW14" s="385">
        <v>0</v>
      </c>
    </row>
    <row r="15" spans="1:129" ht="14.25" customHeight="1">
      <c r="A15" s="544"/>
      <c r="B15" s="196" t="s">
        <v>69</v>
      </c>
      <c r="C15" s="156">
        <v>0</v>
      </c>
      <c r="D15" s="156">
        <v>0</v>
      </c>
      <c r="E15" s="156">
        <v>0</v>
      </c>
      <c r="F15" s="156">
        <v>0</v>
      </c>
      <c r="G15" s="156">
        <v>0</v>
      </c>
      <c r="H15" s="156">
        <v>0</v>
      </c>
      <c r="I15" s="156">
        <v>0</v>
      </c>
      <c r="J15" s="156">
        <v>0</v>
      </c>
      <c r="K15" s="156">
        <v>0</v>
      </c>
      <c r="L15" s="156">
        <v>0</v>
      </c>
      <c r="M15" s="156">
        <v>0</v>
      </c>
      <c r="N15" s="156">
        <v>0</v>
      </c>
      <c r="O15" s="156">
        <v>0</v>
      </c>
      <c r="P15" s="156">
        <v>0</v>
      </c>
      <c r="Q15" s="156">
        <v>0</v>
      </c>
      <c r="R15" s="156">
        <v>0</v>
      </c>
      <c r="S15" s="156">
        <v>0</v>
      </c>
      <c r="T15" s="156">
        <v>0</v>
      </c>
      <c r="U15" s="156">
        <v>0</v>
      </c>
      <c r="V15" s="156">
        <v>0</v>
      </c>
      <c r="W15" s="200">
        <v>0</v>
      </c>
      <c r="AA15" s="544"/>
      <c r="AB15" s="196" t="s">
        <v>69</v>
      </c>
      <c r="AC15" s="156">
        <v>0</v>
      </c>
      <c r="AD15" s="156">
        <v>0</v>
      </c>
      <c r="AE15" s="156">
        <v>0</v>
      </c>
      <c r="AF15" s="156">
        <v>0</v>
      </c>
      <c r="AG15" s="156">
        <v>0</v>
      </c>
      <c r="AH15" s="156">
        <v>0</v>
      </c>
      <c r="AI15" s="156">
        <v>0</v>
      </c>
      <c r="AJ15" s="156">
        <v>0</v>
      </c>
      <c r="AK15" s="156">
        <v>0</v>
      </c>
      <c r="AL15" s="156">
        <v>0</v>
      </c>
      <c r="AM15" s="156">
        <v>0</v>
      </c>
      <c r="AN15" s="156">
        <v>0</v>
      </c>
      <c r="AO15" s="156">
        <v>0</v>
      </c>
      <c r="AP15" s="156">
        <v>0</v>
      </c>
      <c r="AQ15" s="156">
        <v>0</v>
      </c>
      <c r="AR15" s="156">
        <v>0</v>
      </c>
      <c r="AS15" s="156">
        <v>0</v>
      </c>
      <c r="AT15" s="156">
        <v>0</v>
      </c>
      <c r="AU15" s="156">
        <v>0</v>
      </c>
      <c r="AV15" s="156">
        <v>0</v>
      </c>
      <c r="AW15" s="200">
        <v>0</v>
      </c>
      <c r="BF15" s="538"/>
      <c r="BG15" s="363" t="s">
        <v>69</v>
      </c>
      <c r="BH15" s="385">
        <v>1.4653210156048009E-7</v>
      </c>
      <c r="BI15" s="385">
        <v>1.4738998220416161E-7</v>
      </c>
      <c r="BJ15" s="385">
        <v>1.491875085223502E-7</v>
      </c>
      <c r="BK15" s="385">
        <v>1.9965573688733E-7</v>
      </c>
      <c r="BL15" s="385">
        <v>1.505868003162121E-7</v>
      </c>
      <c r="BM15" s="386">
        <v>1.3822081849781289E-7</v>
      </c>
      <c r="BN15" s="386">
        <v>1.3822081849781289E-7</v>
      </c>
      <c r="BO15" s="386">
        <v>1.3822081849781289E-7</v>
      </c>
      <c r="BP15" s="385">
        <v>1.3096264969097261E-7</v>
      </c>
      <c r="BQ15" s="385">
        <v>1.171779005065167E-7</v>
      </c>
      <c r="BR15" s="385">
        <v>1.161835830652821E-7</v>
      </c>
      <c r="BS15" s="385">
        <v>1.3773584633552731E-7</v>
      </c>
      <c r="BT15" s="385">
        <v>1.121205156688977E-7</v>
      </c>
      <c r="BU15" s="385">
        <v>1.152024570295339E-7</v>
      </c>
      <c r="BV15" s="385">
        <v>1.022015663980951E-7</v>
      </c>
      <c r="BW15" s="385">
        <v>1.2124753769950439E-7</v>
      </c>
      <c r="BX15" s="385">
        <v>1.1418225018107171E-7</v>
      </c>
      <c r="BY15" s="385">
        <v>1.0841194538903741E-7</v>
      </c>
      <c r="BZ15" s="385">
        <v>1.1374199564700219E-7</v>
      </c>
      <c r="CA15" s="385">
        <v>9.9351389255378656E-8</v>
      </c>
      <c r="CB15" s="385">
        <v>0</v>
      </c>
      <c r="CD15" s="196" t="s">
        <v>145</v>
      </c>
      <c r="CE15">
        <v>0.28578169676222959</v>
      </c>
      <c r="CF15">
        <v>0.24335161414516149</v>
      </c>
      <c r="CG15">
        <v>0.31363991461809732</v>
      </c>
      <c r="CH15">
        <v>0.79820349654084954</v>
      </c>
      <c r="CI15">
        <v>0.24834862292230281</v>
      </c>
      <c r="CJ15" s="165">
        <v>0.20738140585480749</v>
      </c>
      <c r="CK15" s="165">
        <v>0.20738140585480749</v>
      </c>
      <c r="CL15" s="165">
        <v>0.20738140585480749</v>
      </c>
      <c r="CM15">
        <v>0.19864655702788839</v>
      </c>
      <c r="CN15">
        <v>0.18686674661114011</v>
      </c>
      <c r="CO15">
        <v>0.14580570875281629</v>
      </c>
      <c r="CP15">
        <v>0.28035767128660749</v>
      </c>
      <c r="CQ15">
        <v>0.1601218943288685</v>
      </c>
      <c r="CR15">
        <v>1.251122956245017E-2</v>
      </c>
      <c r="CS15">
        <v>0.1369012912316501</v>
      </c>
      <c r="CT15">
        <v>0.14447225434747341</v>
      </c>
      <c r="CU15">
        <v>0.1070937569338981</v>
      </c>
      <c r="CV15">
        <v>0.1188397461981755</v>
      </c>
      <c r="CW15">
        <v>0.12747457615471319</v>
      </c>
      <c r="CX15">
        <v>0.15561580952977819</v>
      </c>
      <c r="CY15">
        <v>0</v>
      </c>
      <c r="DA15" s="538"/>
      <c r="DB15" s="363" t="s">
        <v>69</v>
      </c>
      <c r="DC15" s="385">
        <v>8.9496334751859585E-3</v>
      </c>
      <c r="DD15" s="385">
        <v>1.1084369662575977E-2</v>
      </c>
      <c r="DE15" s="385">
        <v>-4.3249348228220352E-3</v>
      </c>
      <c r="DF15" s="385">
        <v>-6.5031221162747954E-5</v>
      </c>
      <c r="DG15" s="385">
        <v>6.0075825620540257E-3</v>
      </c>
      <c r="DH15" s="386">
        <v>-1.1030994286931217E-2</v>
      </c>
      <c r="DI15" s="386">
        <v>-1.1030994286931217E-2</v>
      </c>
      <c r="DJ15" s="386">
        <v>-1.1030994286931217E-2</v>
      </c>
      <c r="DK15" s="386">
        <v>5.3983727036279738E-3</v>
      </c>
      <c r="DL15" s="386">
        <v>-6.0679777012683234E-3</v>
      </c>
      <c r="DM15" s="385">
        <v>8.9115023249708436E-4</v>
      </c>
      <c r="DN15" s="385">
        <v>1.6243041453837037E-2</v>
      </c>
      <c r="DO15" s="385">
        <v>4.2115422333379726E-3</v>
      </c>
      <c r="DP15" s="385">
        <v>-4.098689061131755E-3</v>
      </c>
      <c r="DQ15" s="385">
        <v>-5.9133225990337657E-4</v>
      </c>
      <c r="DR15" s="385">
        <v>8.9326820528399242E-3</v>
      </c>
      <c r="DS15" s="385">
        <v>-1.3283221617798047E-3</v>
      </c>
      <c r="DT15" s="385">
        <v>3.9648831887630909E-3</v>
      </c>
      <c r="DU15" s="385">
        <v>-9.2488962854625489E-3</v>
      </c>
      <c r="DV15" s="385">
        <v>-1.2576838198206874E-2</v>
      </c>
      <c r="DW15" s="385">
        <v>0</v>
      </c>
    </row>
    <row r="16" spans="1:129" ht="14.25" customHeight="1">
      <c r="A16" s="544"/>
      <c r="B16" s="196" t="s">
        <v>145</v>
      </c>
      <c r="C16" s="156">
        <v>0</v>
      </c>
      <c r="D16" s="156">
        <v>0</v>
      </c>
      <c r="E16" s="156">
        <v>0</v>
      </c>
      <c r="F16" s="156">
        <v>0</v>
      </c>
      <c r="G16" s="156">
        <v>0</v>
      </c>
      <c r="H16" s="156">
        <v>0</v>
      </c>
      <c r="I16" s="156">
        <v>0</v>
      </c>
      <c r="J16" s="156">
        <v>0</v>
      </c>
      <c r="K16" s="156">
        <v>0</v>
      </c>
      <c r="L16" s="156">
        <v>0</v>
      </c>
      <c r="M16" s="156">
        <v>0</v>
      </c>
      <c r="N16" s="156">
        <v>0</v>
      </c>
      <c r="O16" s="156">
        <v>0</v>
      </c>
      <c r="P16" s="156">
        <v>0</v>
      </c>
      <c r="Q16" s="156">
        <v>0</v>
      </c>
      <c r="R16" s="156">
        <v>0</v>
      </c>
      <c r="S16" s="156">
        <v>0</v>
      </c>
      <c r="T16" s="156">
        <v>0</v>
      </c>
      <c r="U16" s="156">
        <v>0</v>
      </c>
      <c r="V16" s="156">
        <v>0</v>
      </c>
      <c r="W16" s="200">
        <v>0</v>
      </c>
      <c r="AA16" s="544"/>
      <c r="AB16" s="196" t="s">
        <v>145</v>
      </c>
      <c r="AC16" s="156">
        <v>0</v>
      </c>
      <c r="AD16" s="156">
        <v>0</v>
      </c>
      <c r="AE16" s="156">
        <v>0</v>
      </c>
      <c r="AF16" s="156">
        <v>0</v>
      </c>
      <c r="AG16" s="156">
        <v>0</v>
      </c>
      <c r="AH16" s="156">
        <v>0</v>
      </c>
      <c r="AI16" s="156">
        <v>0</v>
      </c>
      <c r="AJ16" s="156">
        <v>0</v>
      </c>
      <c r="AK16" s="156">
        <v>0</v>
      </c>
      <c r="AL16" s="156">
        <v>0</v>
      </c>
      <c r="AM16" s="156">
        <v>0</v>
      </c>
      <c r="AN16" s="156">
        <v>0</v>
      </c>
      <c r="AO16" s="156">
        <v>0</v>
      </c>
      <c r="AP16" s="156">
        <v>0</v>
      </c>
      <c r="AQ16" s="156">
        <v>0</v>
      </c>
      <c r="AR16" s="156">
        <v>0</v>
      </c>
      <c r="AS16" s="156">
        <v>0</v>
      </c>
      <c r="AT16" s="156">
        <v>0</v>
      </c>
      <c r="AU16" s="156">
        <v>0</v>
      </c>
      <c r="AV16" s="156">
        <v>0</v>
      </c>
      <c r="AW16" s="200">
        <v>0</v>
      </c>
      <c r="BF16" s="538"/>
      <c r="BG16" s="363" t="s">
        <v>145</v>
      </c>
      <c r="BH16" s="385">
        <v>2.8642375705831158E-8</v>
      </c>
      <c r="BI16" s="385">
        <v>3.0487782640028052E-8</v>
      </c>
      <c r="BJ16" s="385">
        <v>3.3092431028615788E-8</v>
      </c>
      <c r="BK16" s="385">
        <v>5.954111986266339E-8</v>
      </c>
      <c r="BL16" s="385">
        <v>3.3112152750959699E-8</v>
      </c>
      <c r="BM16" s="386">
        <v>3.5690425070525932E-8</v>
      </c>
      <c r="BN16" s="386">
        <v>3.5690425070525932E-8</v>
      </c>
      <c r="BO16" s="386">
        <v>3.5690425070525932E-8</v>
      </c>
      <c r="BP16" s="385">
        <v>2.3257753404659981E-8</v>
      </c>
      <c r="BQ16" s="385">
        <v>3.3222975322690993E-8</v>
      </c>
      <c r="BR16" s="385">
        <v>1.868256609499851E-8</v>
      </c>
      <c r="BS16" s="385">
        <v>3.1101574094643682E-8</v>
      </c>
      <c r="BT16" s="385">
        <v>1.9293314208285921E-8</v>
      </c>
      <c r="BU16" s="385">
        <v>1.8239699712418719E-8</v>
      </c>
      <c r="BV16" s="385">
        <v>9.9991022433243144E-9</v>
      </c>
      <c r="BW16" s="385">
        <v>2.009976610572384E-8</v>
      </c>
      <c r="BX16" s="385">
        <v>2.0405749567256499E-8</v>
      </c>
      <c r="BY16" s="385">
        <v>1.9015632781921539E-8</v>
      </c>
      <c r="BZ16" s="385">
        <v>1.866128124813693E-8</v>
      </c>
      <c r="CA16" s="385">
        <v>2.322648160598006E-8</v>
      </c>
      <c r="CB16" s="385">
        <v>0</v>
      </c>
      <c r="CD16" s="196" t="s">
        <v>73</v>
      </c>
      <c r="CE16">
        <v>0.27463815834734062</v>
      </c>
      <c r="CF16">
        <v>0.37557390698942361</v>
      </c>
      <c r="CG16">
        <v>0.35656535709682541</v>
      </c>
      <c r="CH16">
        <v>1.153822048368613</v>
      </c>
      <c r="CI16">
        <v>0.38173584816091899</v>
      </c>
      <c r="CJ16" s="165">
        <v>0.37461557101417398</v>
      </c>
      <c r="CK16" s="165">
        <v>0.37461557101417398</v>
      </c>
      <c r="CL16" s="165">
        <v>0.37461557101417398</v>
      </c>
      <c r="CM16">
        <v>0.28586249726123791</v>
      </c>
      <c r="CN16">
        <v>0.20409076774409371</v>
      </c>
      <c r="CO16">
        <v>0.15045346809308061</v>
      </c>
      <c r="CP16">
        <v>0.27954869958911982</v>
      </c>
      <c r="CQ16">
        <v>0.16789404097265781</v>
      </c>
      <c r="CR16">
        <v>0.18931953816869179</v>
      </c>
      <c r="CS16">
        <v>1.9987813575799519E-2</v>
      </c>
      <c r="CT16">
        <v>7.8155307083454112E-2</v>
      </c>
      <c r="CU16">
        <v>0.19024812774112679</v>
      </c>
      <c r="CV16">
        <v>0.10676018804838711</v>
      </c>
      <c r="CW16">
        <v>0.1610238956189177</v>
      </c>
      <c r="CX16">
        <v>0.23166375226421751</v>
      </c>
      <c r="CY16">
        <v>0</v>
      </c>
      <c r="DA16" s="538"/>
      <c r="DB16" s="363" t="s">
        <v>145</v>
      </c>
      <c r="DC16" s="385">
        <v>-6.7784534140505559E-2</v>
      </c>
      <c r="DD16" s="385">
        <v>-5.5054402203885577E-2</v>
      </c>
      <c r="DE16" s="385">
        <v>-6.7460672362980145E-2</v>
      </c>
      <c r="DF16" s="385">
        <v>-5.6630225412484969E-2</v>
      </c>
      <c r="DG16" s="385">
        <v>-6.4091411423740752E-2</v>
      </c>
      <c r="DH16" s="386">
        <v>-8.2678072156040172E-2</v>
      </c>
      <c r="DI16" s="386">
        <v>-8.2678072156040172E-2</v>
      </c>
      <c r="DJ16" s="386">
        <v>-8.2678072156040172E-2</v>
      </c>
      <c r="DK16" s="386">
        <v>-8.6711748458956572E-2</v>
      </c>
      <c r="DL16" s="386">
        <v>-6.2593732923209688E-2</v>
      </c>
      <c r="DM16" s="385">
        <v>-6.8157843862057921E-2</v>
      </c>
      <c r="DN16" s="385">
        <v>-3.4237064975369713E-2</v>
      </c>
      <c r="DO16" s="385">
        <v>-7.2018158197578175E-2</v>
      </c>
      <c r="DP16" s="385">
        <v>-8.9742186331555396E-2</v>
      </c>
      <c r="DQ16" s="385">
        <v>-8.337758892496383E-2</v>
      </c>
      <c r="DR16" s="385">
        <v>-5.6756196913941737E-2</v>
      </c>
      <c r="DS16" s="385">
        <v>-5.3741367376216487E-2</v>
      </c>
      <c r="DT16" s="385">
        <v>-7.5354936504360315E-2</v>
      </c>
      <c r="DU16" s="385">
        <v>-9.4159768214850725E-2</v>
      </c>
      <c r="DV16" s="385">
        <v>-9.4324464311813516E-2</v>
      </c>
      <c r="DW16" s="385">
        <v>0</v>
      </c>
    </row>
    <row r="17" spans="1:127" ht="14.25" customHeight="1">
      <c r="A17" s="544"/>
      <c r="B17" s="196" t="s">
        <v>73</v>
      </c>
      <c r="C17" s="156">
        <v>0</v>
      </c>
      <c r="D17" s="156">
        <v>0</v>
      </c>
      <c r="E17" s="156">
        <v>0</v>
      </c>
      <c r="F17" s="156">
        <v>0</v>
      </c>
      <c r="G17" s="156">
        <v>0</v>
      </c>
      <c r="H17" s="156">
        <v>0</v>
      </c>
      <c r="I17" s="156">
        <v>0</v>
      </c>
      <c r="J17" s="156">
        <v>0</v>
      </c>
      <c r="K17" s="156">
        <v>0</v>
      </c>
      <c r="L17" s="156">
        <v>0</v>
      </c>
      <c r="M17" s="156">
        <v>0</v>
      </c>
      <c r="N17" s="156">
        <v>0</v>
      </c>
      <c r="O17" s="156">
        <v>0</v>
      </c>
      <c r="P17" s="156">
        <v>0</v>
      </c>
      <c r="Q17" s="156">
        <v>0</v>
      </c>
      <c r="R17" s="156">
        <v>0</v>
      </c>
      <c r="S17" s="156">
        <v>0</v>
      </c>
      <c r="T17" s="156">
        <v>0</v>
      </c>
      <c r="U17" s="156">
        <v>0</v>
      </c>
      <c r="V17" s="156">
        <v>0</v>
      </c>
      <c r="W17" s="200">
        <v>0</v>
      </c>
      <c r="AA17" s="544"/>
      <c r="AB17" s="196" t="s">
        <v>73</v>
      </c>
      <c r="AC17" s="156">
        <v>0</v>
      </c>
      <c r="AD17" s="156">
        <v>0</v>
      </c>
      <c r="AE17" s="156">
        <v>0</v>
      </c>
      <c r="AF17" s="156">
        <v>0</v>
      </c>
      <c r="AG17" s="156">
        <v>0</v>
      </c>
      <c r="AH17" s="156">
        <v>0</v>
      </c>
      <c r="AI17" s="156">
        <v>0</v>
      </c>
      <c r="AJ17" s="156">
        <v>0</v>
      </c>
      <c r="AK17" s="156">
        <v>0</v>
      </c>
      <c r="AL17" s="156">
        <v>0</v>
      </c>
      <c r="AM17" s="156">
        <v>0</v>
      </c>
      <c r="AN17" s="156">
        <v>0</v>
      </c>
      <c r="AO17" s="156">
        <v>0</v>
      </c>
      <c r="AP17" s="156">
        <v>0</v>
      </c>
      <c r="AQ17" s="156">
        <v>0</v>
      </c>
      <c r="AR17" s="156">
        <v>0</v>
      </c>
      <c r="AS17" s="156">
        <v>0</v>
      </c>
      <c r="AT17" s="156">
        <v>0</v>
      </c>
      <c r="AU17" s="156">
        <v>0</v>
      </c>
      <c r="AV17" s="156">
        <v>0</v>
      </c>
      <c r="AW17" s="200">
        <v>0</v>
      </c>
      <c r="BF17" s="538"/>
      <c r="BG17" s="363" t="s">
        <v>73</v>
      </c>
      <c r="BH17" s="385">
        <v>3.7059833382719399E-9</v>
      </c>
      <c r="BI17" s="385">
        <v>5.3398262844399239E-9</v>
      </c>
      <c r="BJ17" s="385">
        <v>3.5638962714124731E-9</v>
      </c>
      <c r="BK17" s="385">
        <v>1.263707188333691E-8</v>
      </c>
      <c r="BL17" s="385">
        <v>4.4268186735203536E-9</v>
      </c>
      <c r="BM17" s="386">
        <v>7.8327774667373768E-9</v>
      </c>
      <c r="BN17" s="386">
        <v>7.8327774667373768E-9</v>
      </c>
      <c r="BO17" s="386">
        <v>7.8327774667373768E-9</v>
      </c>
      <c r="BP17" s="385">
        <v>4.2553079822761264E-9</v>
      </c>
      <c r="BQ17" s="385">
        <v>3.4401317669834551E-9</v>
      </c>
      <c r="BR17" s="385">
        <v>2.931309033952469E-9</v>
      </c>
      <c r="BS17" s="385">
        <v>5.1909792391044489E-9</v>
      </c>
      <c r="BT17" s="385">
        <v>2.7474663976635741E-9</v>
      </c>
      <c r="BU17" s="385">
        <v>2.5813650970948319E-9</v>
      </c>
      <c r="BV17" s="385">
        <v>1.114537992154087E-9</v>
      </c>
      <c r="BW17" s="385">
        <v>1.5011449989402269E-9</v>
      </c>
      <c r="BX17" s="385">
        <v>3.042262117022956E-9</v>
      </c>
      <c r="BY17" s="385">
        <v>2.6540214272714371E-9</v>
      </c>
      <c r="BZ17" s="385">
        <v>2.5846367046761389E-9</v>
      </c>
      <c r="CA17" s="385">
        <v>2.294164741313293E-9</v>
      </c>
      <c r="CB17" s="385">
        <v>0</v>
      </c>
      <c r="CD17" s="196" t="s">
        <v>75</v>
      </c>
      <c r="CE17">
        <v>0.2404350217770182</v>
      </c>
      <c r="CF17">
        <v>0.25848773012182508</v>
      </c>
      <c r="CG17">
        <v>0.23557612768969671</v>
      </c>
      <c r="CH17">
        <v>0.79473646764864103</v>
      </c>
      <c r="CI17">
        <v>0.26579715165038648</v>
      </c>
      <c r="CJ17" s="165">
        <v>0.16015944873218721</v>
      </c>
      <c r="CK17" s="165">
        <v>0.16015944873218721</v>
      </c>
      <c r="CL17" s="165">
        <v>0.16015944873218721</v>
      </c>
      <c r="CM17">
        <v>0.19797666881573109</v>
      </c>
      <c r="CN17">
        <v>0.14506706898399829</v>
      </c>
      <c r="CO17">
        <v>5.2412339690581719E-2</v>
      </c>
      <c r="CP17">
        <v>0.15341043619810579</v>
      </c>
      <c r="CQ17">
        <v>4.3065440228518138E-2</v>
      </c>
      <c r="CR17">
        <v>7.5203373727891196E-2</v>
      </c>
      <c r="CS17">
        <v>4.1396560913229213E-2</v>
      </c>
      <c r="CT17">
        <v>5.7741126863746211E-4</v>
      </c>
      <c r="CU17">
        <v>8.3068494403425647E-2</v>
      </c>
      <c r="CV17">
        <v>5.9050836623729619E-2</v>
      </c>
      <c r="CW17">
        <v>4.5330820972696133E-2</v>
      </c>
      <c r="CX17">
        <v>0.1002913331569438</v>
      </c>
      <c r="CY17">
        <v>0</v>
      </c>
      <c r="DA17" s="538"/>
      <c r="DB17" s="363" t="s">
        <v>73</v>
      </c>
      <c r="DC17" s="385">
        <v>2.7036264873337101E-2</v>
      </c>
      <c r="DD17" s="385">
        <v>2.550276529302109E-2</v>
      </c>
      <c r="DE17" s="385">
        <v>2.4160459271955093E-2</v>
      </c>
      <c r="DF17" s="385">
        <v>-1.7575540963233327E-2</v>
      </c>
      <c r="DG17" s="385">
        <v>3.9227576601974068E-2</v>
      </c>
      <c r="DH17" s="386">
        <v>-6.233464393981536E-3</v>
      </c>
      <c r="DI17" s="386">
        <v>-6.233464393981536E-3</v>
      </c>
      <c r="DJ17" s="386">
        <v>-6.233464393981536E-3</v>
      </c>
      <c r="DK17" s="386">
        <v>3.2711108504712927E-2</v>
      </c>
      <c r="DL17" s="386">
        <v>2.8175251128605971E-2</v>
      </c>
      <c r="DM17" s="385">
        <v>2.4748169021318933E-2</v>
      </c>
      <c r="DN17" s="385">
        <v>5.1323454707433935E-2</v>
      </c>
      <c r="DO17" s="385">
        <v>2.7201732996694927E-2</v>
      </c>
      <c r="DP17" s="385">
        <v>2.9352003493900103E-2</v>
      </c>
      <c r="DQ17" s="385">
        <v>-1.4366715874068681E-2</v>
      </c>
      <c r="DR17" s="385">
        <v>4.699114053768394E-2</v>
      </c>
      <c r="DS17" s="385">
        <v>3.9616900685373047E-2</v>
      </c>
      <c r="DT17" s="385">
        <v>3.4454680880485089E-2</v>
      </c>
      <c r="DU17" s="385">
        <v>1.6467857308323897E-2</v>
      </c>
      <c r="DV17" s="385">
        <v>5.5770363615670338E-3</v>
      </c>
      <c r="DW17" s="385">
        <v>0</v>
      </c>
    </row>
    <row r="18" spans="1:127" ht="14.25" customHeight="1">
      <c r="A18" s="544"/>
      <c r="B18" s="196" t="s">
        <v>75</v>
      </c>
      <c r="C18" s="156">
        <v>0</v>
      </c>
      <c r="D18" s="156">
        <v>0</v>
      </c>
      <c r="E18" s="156">
        <v>0</v>
      </c>
      <c r="F18" s="156">
        <v>0</v>
      </c>
      <c r="G18" s="156">
        <v>0</v>
      </c>
      <c r="H18" s="156">
        <v>0</v>
      </c>
      <c r="I18" s="156">
        <v>0</v>
      </c>
      <c r="J18" s="156">
        <v>0</v>
      </c>
      <c r="K18" s="156">
        <v>0</v>
      </c>
      <c r="L18" s="156">
        <v>0</v>
      </c>
      <c r="M18" s="156">
        <v>0</v>
      </c>
      <c r="N18" s="156">
        <v>0</v>
      </c>
      <c r="O18" s="156">
        <v>0</v>
      </c>
      <c r="P18" s="156">
        <v>0</v>
      </c>
      <c r="Q18" s="156">
        <v>0</v>
      </c>
      <c r="R18" s="156">
        <v>0</v>
      </c>
      <c r="S18" s="156">
        <v>0</v>
      </c>
      <c r="T18" s="156">
        <v>0</v>
      </c>
      <c r="U18" s="156">
        <v>0</v>
      </c>
      <c r="V18" s="156">
        <v>0</v>
      </c>
      <c r="W18" s="200">
        <v>0</v>
      </c>
      <c r="AA18" s="544"/>
      <c r="AB18" s="196" t="s">
        <v>75</v>
      </c>
      <c r="AC18" s="156">
        <v>0</v>
      </c>
      <c r="AD18" s="156">
        <v>0</v>
      </c>
      <c r="AE18" s="156">
        <v>0</v>
      </c>
      <c r="AF18" s="156">
        <v>0</v>
      </c>
      <c r="AG18" s="156">
        <v>0</v>
      </c>
      <c r="AH18" s="156">
        <v>0</v>
      </c>
      <c r="AI18" s="156">
        <v>0</v>
      </c>
      <c r="AJ18" s="156">
        <v>0</v>
      </c>
      <c r="AK18" s="156">
        <v>0</v>
      </c>
      <c r="AL18" s="156">
        <v>0</v>
      </c>
      <c r="AM18" s="156">
        <v>0</v>
      </c>
      <c r="AN18" s="156">
        <v>0</v>
      </c>
      <c r="AO18" s="156">
        <v>0</v>
      </c>
      <c r="AP18" s="156">
        <v>0</v>
      </c>
      <c r="AQ18" s="156">
        <v>0</v>
      </c>
      <c r="AR18" s="156">
        <v>0</v>
      </c>
      <c r="AS18" s="156">
        <v>0</v>
      </c>
      <c r="AT18" s="156">
        <v>0</v>
      </c>
      <c r="AU18" s="156">
        <v>0</v>
      </c>
      <c r="AV18" s="156">
        <v>0</v>
      </c>
      <c r="AW18" s="200">
        <v>0</v>
      </c>
      <c r="BF18" s="538"/>
      <c r="BG18" s="363" t="s">
        <v>75</v>
      </c>
      <c r="BH18" s="385">
        <v>2.7313942078313259E-8</v>
      </c>
      <c r="BI18" s="385">
        <v>3.8358018287477812E-8</v>
      </c>
      <c r="BJ18" s="385">
        <v>2.1445678038681151E-8</v>
      </c>
      <c r="BK18" s="385">
        <v>1.098284727659623E-7</v>
      </c>
      <c r="BL18" s="385">
        <v>2.063816733304183E-8</v>
      </c>
      <c r="BM18" s="386">
        <v>6.3120322108889105E-8</v>
      </c>
      <c r="BN18" s="386">
        <v>6.3120322108889105E-8</v>
      </c>
      <c r="BO18" s="386">
        <v>6.3120322108889105E-8</v>
      </c>
      <c r="BP18" s="385">
        <v>2.904291572175652E-8</v>
      </c>
      <c r="BQ18" s="385">
        <v>2.4559533035126152E-8</v>
      </c>
      <c r="BR18" s="385">
        <v>2.3787038136795039E-8</v>
      </c>
      <c r="BS18" s="385">
        <v>3.944611078787748E-8</v>
      </c>
      <c r="BT18" s="385">
        <v>2.0992215023861262E-8</v>
      </c>
      <c r="BU18" s="385">
        <v>1.8751473611603752E-8</v>
      </c>
      <c r="BV18" s="385">
        <v>1.6074337476238789E-8</v>
      </c>
      <c r="BW18" s="385">
        <v>1.9136468044644559E-8</v>
      </c>
      <c r="BX18" s="385">
        <v>2.0956663695268941E-8</v>
      </c>
      <c r="BY18" s="385">
        <v>2.6208331956004069E-8</v>
      </c>
      <c r="BZ18" s="385">
        <v>2.0326751828453241E-8</v>
      </c>
      <c r="CA18" s="385">
        <v>1.5615510470846182E-8</v>
      </c>
      <c r="CB18" s="385">
        <v>0</v>
      </c>
      <c r="CD18" s="196" t="s">
        <v>146</v>
      </c>
      <c r="CE18">
        <v>0.33863746054376948</v>
      </c>
      <c r="CF18">
        <v>0.25250825615449429</v>
      </c>
      <c r="CG18">
        <v>0.35449328073708719</v>
      </c>
      <c r="CH18">
        <v>0.67385568646936744</v>
      </c>
      <c r="CI18">
        <v>0.28184579889887978</v>
      </c>
      <c r="CJ18" s="165">
        <v>0.30920304858436792</v>
      </c>
      <c r="CK18" s="165">
        <v>0.30920304858436792</v>
      </c>
      <c r="CL18" s="165">
        <v>0.30920304858436792</v>
      </c>
      <c r="CM18">
        <v>0.1782145266145235</v>
      </c>
      <c r="CN18">
        <v>0.1810977128148881</v>
      </c>
      <c r="CO18">
        <v>0.15092537993404409</v>
      </c>
      <c r="CP18">
        <v>0.20923237867097971</v>
      </c>
      <c r="CQ18">
        <v>0.16558641174457639</v>
      </c>
      <c r="CR18">
        <v>0.13977402368770431</v>
      </c>
      <c r="CS18">
        <v>0.1369696790796141</v>
      </c>
      <c r="CT18">
        <v>0.1039779569414914</v>
      </c>
      <c r="CU18">
        <v>2.4115389213461569E-2</v>
      </c>
      <c r="CV18">
        <v>0.1095164775606276</v>
      </c>
      <c r="CW18">
        <v>8.5982504860864645E-2</v>
      </c>
      <c r="CX18">
        <v>0.16631396482105529</v>
      </c>
      <c r="CY18">
        <v>0</v>
      </c>
      <c r="DA18" s="538"/>
      <c r="DB18" s="363" t="s">
        <v>75</v>
      </c>
      <c r="DC18" s="385">
        <v>-9.1656003971729683E-2</v>
      </c>
      <c r="DD18" s="385">
        <v>-7.7569474070159905E-2</v>
      </c>
      <c r="DE18" s="385">
        <v>-0.1091973603978097</v>
      </c>
      <c r="DF18" s="385">
        <v>-6.1198854825007087E-2</v>
      </c>
      <c r="DG18" s="385">
        <v>-0.11474326076381913</v>
      </c>
      <c r="DH18" s="386">
        <v>-7.7575410591192995E-2</v>
      </c>
      <c r="DI18" s="386">
        <v>-7.7575410591192995E-2</v>
      </c>
      <c r="DJ18" s="386">
        <v>-7.7575410591192995E-2</v>
      </c>
      <c r="DK18" s="386">
        <v>-9.4766763522411646E-2</v>
      </c>
      <c r="DL18" s="386">
        <v>-9.9227821959040119E-2</v>
      </c>
      <c r="DM18" s="385">
        <v>-9.0065849840947121E-2</v>
      </c>
      <c r="DN18" s="385">
        <v>-5.8435981164655537E-2</v>
      </c>
      <c r="DO18" s="385">
        <v>-8.9232959000389189E-2</v>
      </c>
      <c r="DP18" s="385">
        <v>-0.10108998422386206</v>
      </c>
      <c r="DQ18" s="385">
        <v>-8.665538839780329E-2</v>
      </c>
      <c r="DR18" s="385">
        <v>-8.0013678367343632E-2</v>
      </c>
      <c r="DS18" s="385">
        <v>-9.021442944727609E-2</v>
      </c>
      <c r="DT18" s="385">
        <v>-7.9096997889423815E-2</v>
      </c>
      <c r="DU18" s="385">
        <v>-9.8976927258011771E-2</v>
      </c>
      <c r="DV18" s="385">
        <v>-0.12257415908470559</v>
      </c>
      <c r="DW18" s="385">
        <v>0</v>
      </c>
    </row>
    <row r="19" spans="1:127" ht="14.25" customHeight="1">
      <c r="A19" s="544"/>
      <c r="B19" s="196" t="s">
        <v>146</v>
      </c>
      <c r="C19" s="156">
        <v>0</v>
      </c>
      <c r="D19" s="156">
        <v>0</v>
      </c>
      <c r="E19" s="156">
        <v>0</v>
      </c>
      <c r="F19" s="156">
        <v>0</v>
      </c>
      <c r="G19" s="156">
        <v>0</v>
      </c>
      <c r="H19" s="156">
        <v>0</v>
      </c>
      <c r="I19" s="156">
        <v>0</v>
      </c>
      <c r="J19" s="156">
        <v>0</v>
      </c>
      <c r="K19" s="156">
        <v>0</v>
      </c>
      <c r="L19" s="156">
        <v>0</v>
      </c>
      <c r="M19" s="156">
        <v>0</v>
      </c>
      <c r="N19" s="156">
        <v>0</v>
      </c>
      <c r="O19" s="156">
        <v>0</v>
      </c>
      <c r="P19" s="156">
        <v>0</v>
      </c>
      <c r="Q19" s="156">
        <v>0</v>
      </c>
      <c r="R19" s="156">
        <v>0</v>
      </c>
      <c r="S19" s="156">
        <v>0</v>
      </c>
      <c r="T19" s="156">
        <v>0</v>
      </c>
      <c r="U19" s="156">
        <v>0</v>
      </c>
      <c r="V19" s="156">
        <v>0</v>
      </c>
      <c r="W19" s="200">
        <v>0</v>
      </c>
      <c r="AA19" s="544"/>
      <c r="AB19" s="196" t="s">
        <v>146</v>
      </c>
      <c r="AC19" s="156">
        <v>0</v>
      </c>
      <c r="AD19" s="156">
        <v>0</v>
      </c>
      <c r="AE19" s="156">
        <v>0</v>
      </c>
      <c r="AF19" s="156">
        <v>0</v>
      </c>
      <c r="AG19" s="156">
        <v>0</v>
      </c>
      <c r="AH19" s="156">
        <v>0</v>
      </c>
      <c r="AI19" s="156">
        <v>0</v>
      </c>
      <c r="AJ19" s="156">
        <v>0</v>
      </c>
      <c r="AK19" s="156">
        <v>0</v>
      </c>
      <c r="AL19" s="156">
        <v>0</v>
      </c>
      <c r="AM19" s="156">
        <v>0</v>
      </c>
      <c r="AN19" s="156">
        <v>0</v>
      </c>
      <c r="AO19" s="156">
        <v>0</v>
      </c>
      <c r="AP19" s="156">
        <v>0</v>
      </c>
      <c r="AQ19" s="156">
        <v>0</v>
      </c>
      <c r="AR19" s="156">
        <v>0</v>
      </c>
      <c r="AS19" s="156">
        <v>0</v>
      </c>
      <c r="AT19" s="156">
        <v>0</v>
      </c>
      <c r="AU19" s="156">
        <v>0</v>
      </c>
      <c r="AV19" s="156">
        <v>0</v>
      </c>
      <c r="AW19" s="200">
        <v>0</v>
      </c>
      <c r="BF19" s="538"/>
      <c r="BG19" s="363" t="s">
        <v>146</v>
      </c>
      <c r="BH19" s="385">
        <v>1.5969985637658769E-8</v>
      </c>
      <c r="BI19" s="385">
        <v>1.6518172915345729E-8</v>
      </c>
      <c r="BJ19" s="385">
        <v>1.787885791188106E-8</v>
      </c>
      <c r="BK19" s="385">
        <v>3.2225586263844027E-8</v>
      </c>
      <c r="BL19" s="385">
        <v>1.909892143741044E-8</v>
      </c>
      <c r="BM19" s="386">
        <v>2.5262654199168649E-8</v>
      </c>
      <c r="BN19" s="386">
        <v>2.5262654199168649E-8</v>
      </c>
      <c r="BO19" s="386">
        <v>2.5262654199168649E-8</v>
      </c>
      <c r="BP19" s="385">
        <v>1.6317627108794961E-8</v>
      </c>
      <c r="BQ19" s="385">
        <v>2.1272793152088499E-8</v>
      </c>
      <c r="BR19" s="385">
        <v>1.6093419061060711E-8</v>
      </c>
      <c r="BS19" s="385">
        <v>1.7336859390089158E-8</v>
      </c>
      <c r="BT19" s="385">
        <v>1.5097455477329809E-8</v>
      </c>
      <c r="BU19" s="385">
        <v>1.8339857171764691E-8</v>
      </c>
      <c r="BV19" s="385">
        <v>1.472953918772573E-8</v>
      </c>
      <c r="BW19" s="385">
        <v>2.1196782505691201E-8</v>
      </c>
      <c r="BX19" s="385">
        <v>1.8119001642244579E-8</v>
      </c>
      <c r="BY19" s="385">
        <v>1.7575835346876071E-8</v>
      </c>
      <c r="BZ19" s="385">
        <v>2.0646178647715641E-8</v>
      </c>
      <c r="CA19" s="385">
        <v>1.6397322534474181E-8</v>
      </c>
      <c r="CB19" s="385">
        <v>0</v>
      </c>
      <c r="CD19" s="196" t="s">
        <v>83</v>
      </c>
      <c r="CE19">
        <v>2.129561728375398</v>
      </c>
      <c r="CF19">
        <v>2.0729473553920088</v>
      </c>
      <c r="CG19">
        <v>1.92367602632037</v>
      </c>
      <c r="CH19">
        <v>4.0418237343516372</v>
      </c>
      <c r="CI19">
        <v>0.63927599015620951</v>
      </c>
      <c r="CJ19" s="165">
        <v>2.299413954332981</v>
      </c>
      <c r="CK19" s="165">
        <v>2.299413954332981</v>
      </c>
      <c r="CL19" s="165">
        <v>2.299413954332981</v>
      </c>
      <c r="CM19">
        <v>2.779454396329915</v>
      </c>
      <c r="CN19">
        <v>1.447018813138524</v>
      </c>
      <c r="CO19">
        <v>0.44343105365239799</v>
      </c>
      <c r="CP19">
        <v>1.34114555276887</v>
      </c>
      <c r="CQ19">
        <v>0.79510472855413283</v>
      </c>
      <c r="CR19">
        <v>0.51673932702365288</v>
      </c>
      <c r="CS19">
        <v>0.66207866944372107</v>
      </c>
      <c r="CT19">
        <v>0.50388582859372977</v>
      </c>
      <c r="CU19">
        <v>0.53730931432902829</v>
      </c>
      <c r="CV19">
        <v>5.2984922977328069E-4</v>
      </c>
      <c r="CW19">
        <v>0.2533458796160562</v>
      </c>
      <c r="CX19">
        <v>0.68575738082188875</v>
      </c>
      <c r="CY19">
        <v>0</v>
      </c>
      <c r="DA19" s="538"/>
      <c r="DB19" s="363" t="s">
        <v>146</v>
      </c>
      <c r="DC19" s="385">
        <v>-5.8929752346644881E-2</v>
      </c>
      <c r="DD19" s="385">
        <v>-3.8341417847371329E-2</v>
      </c>
      <c r="DE19" s="385">
        <v>-5.6129203995650245E-2</v>
      </c>
      <c r="DF19" s="385">
        <v>-5.0785740542550362E-2</v>
      </c>
      <c r="DG19" s="385">
        <v>-4.8653241075561571E-2</v>
      </c>
      <c r="DH19" s="386">
        <v>-5.4794971576343499E-2</v>
      </c>
      <c r="DI19" s="386">
        <v>-5.4794971576343499E-2</v>
      </c>
      <c r="DJ19" s="386">
        <v>-5.4794971576343499E-2</v>
      </c>
      <c r="DK19" s="386">
        <v>-5.3607237283222919E-2</v>
      </c>
      <c r="DL19" s="386">
        <v>-4.7222003794489043E-2</v>
      </c>
      <c r="DM19" s="385">
        <v>-4.164659102991719E-2</v>
      </c>
      <c r="DN19" s="385">
        <v>-2.345205502048231E-2</v>
      </c>
      <c r="DO19" s="385">
        <v>-4.1963382095870916E-2</v>
      </c>
      <c r="DP19" s="385">
        <v>-3.422915153708761E-2</v>
      </c>
      <c r="DQ19" s="385">
        <v>-3.5654540443312399E-2</v>
      </c>
      <c r="DR19" s="385">
        <v>-1.7210160624597348E-2</v>
      </c>
      <c r="DS19" s="385">
        <v>-3.6652384511540959E-2</v>
      </c>
      <c r="DT19" s="385">
        <v>-3.8407939896188514E-2</v>
      </c>
      <c r="DU19" s="385">
        <v>-4.3282019659622417E-2</v>
      </c>
      <c r="DV19" s="385">
        <v>-4.7410673422681904E-2</v>
      </c>
      <c r="DW19" s="385">
        <v>0</v>
      </c>
    </row>
    <row r="20" spans="1:127" ht="14.25" customHeight="1">
      <c r="A20" s="544"/>
      <c r="B20" s="196" t="s">
        <v>83</v>
      </c>
      <c r="C20" s="156">
        <v>0</v>
      </c>
      <c r="D20" s="156">
        <v>0</v>
      </c>
      <c r="E20" s="156">
        <v>0</v>
      </c>
      <c r="F20" s="156">
        <v>0</v>
      </c>
      <c r="G20" s="156">
        <v>0</v>
      </c>
      <c r="H20" s="156">
        <v>0</v>
      </c>
      <c r="I20" s="156">
        <v>0</v>
      </c>
      <c r="J20" s="156">
        <v>0</v>
      </c>
      <c r="K20" s="156">
        <v>0</v>
      </c>
      <c r="L20" s="156">
        <v>0</v>
      </c>
      <c r="M20" s="156">
        <v>0</v>
      </c>
      <c r="N20" s="156">
        <v>0</v>
      </c>
      <c r="O20" s="156">
        <v>0</v>
      </c>
      <c r="P20" s="156">
        <v>0</v>
      </c>
      <c r="Q20" s="156">
        <v>0</v>
      </c>
      <c r="R20" s="156">
        <v>0</v>
      </c>
      <c r="S20" s="156">
        <v>0</v>
      </c>
      <c r="T20" s="156">
        <v>0</v>
      </c>
      <c r="U20" s="156">
        <v>0</v>
      </c>
      <c r="V20" s="156">
        <v>0</v>
      </c>
      <c r="W20" s="200">
        <v>0</v>
      </c>
      <c r="AA20" s="544"/>
      <c r="AB20" s="196" t="s">
        <v>83</v>
      </c>
      <c r="AC20" s="156">
        <v>0</v>
      </c>
      <c r="AD20" s="156">
        <v>0</v>
      </c>
      <c r="AE20" s="156">
        <v>0</v>
      </c>
      <c r="AF20" s="156">
        <v>0</v>
      </c>
      <c r="AG20" s="156">
        <v>0</v>
      </c>
      <c r="AH20" s="156">
        <v>0</v>
      </c>
      <c r="AI20" s="156">
        <v>0</v>
      </c>
      <c r="AJ20" s="156">
        <v>0</v>
      </c>
      <c r="AK20" s="156">
        <v>0</v>
      </c>
      <c r="AL20" s="156">
        <v>0</v>
      </c>
      <c r="AM20" s="156">
        <v>0</v>
      </c>
      <c r="AN20" s="156">
        <v>0</v>
      </c>
      <c r="AO20" s="156">
        <v>0</v>
      </c>
      <c r="AP20" s="156">
        <v>0</v>
      </c>
      <c r="AQ20" s="156">
        <v>0</v>
      </c>
      <c r="AR20" s="156">
        <v>0</v>
      </c>
      <c r="AS20" s="156">
        <v>0</v>
      </c>
      <c r="AT20" s="156">
        <v>0</v>
      </c>
      <c r="AU20" s="156">
        <v>0</v>
      </c>
      <c r="AV20" s="156">
        <v>0</v>
      </c>
      <c r="AW20" s="200">
        <v>0</v>
      </c>
      <c r="BF20" s="538"/>
      <c r="BG20" s="363" t="s">
        <v>83</v>
      </c>
      <c r="BH20" s="385">
        <v>6.404818139573955E-8</v>
      </c>
      <c r="BI20" s="385">
        <v>6.6543725340036386E-8</v>
      </c>
      <c r="BJ20" s="385">
        <v>5.7361954669373318E-8</v>
      </c>
      <c r="BK20" s="385">
        <v>1.357009820982196E-7</v>
      </c>
      <c r="BL20" s="385">
        <v>5.4455992026326107E-8</v>
      </c>
      <c r="BM20" s="386">
        <v>9.1496834673705927E-8</v>
      </c>
      <c r="BN20" s="386">
        <v>9.1496834673705927E-8</v>
      </c>
      <c r="BO20" s="386">
        <v>9.1496834673705927E-8</v>
      </c>
      <c r="BP20" s="385">
        <v>3.9554944414782539E-8</v>
      </c>
      <c r="BQ20" s="385">
        <v>6.7507790126407773E-8</v>
      </c>
      <c r="BR20" s="385">
        <v>6.0422849501200624E-8</v>
      </c>
      <c r="BS20" s="385">
        <v>7.7434770009055025E-8</v>
      </c>
      <c r="BT20" s="385">
        <v>5.6852288494791792E-8</v>
      </c>
      <c r="BU20" s="385">
        <v>5.5984195762694313E-8</v>
      </c>
      <c r="BV20" s="385">
        <v>5.0649033777857467E-8</v>
      </c>
      <c r="BW20" s="385">
        <v>5.8189613200466493E-8</v>
      </c>
      <c r="BX20" s="385">
        <v>5.7135588785116067E-8</v>
      </c>
      <c r="BY20" s="385">
        <v>6.7271653197877465E-8</v>
      </c>
      <c r="BZ20" s="385">
        <v>6.2773288986925377E-8</v>
      </c>
      <c r="CA20" s="385">
        <v>5.2330173192134328E-8</v>
      </c>
      <c r="CB20" s="385">
        <v>0</v>
      </c>
      <c r="CD20" s="196" t="s">
        <v>85</v>
      </c>
      <c r="CE20">
        <v>0.25954574410544567</v>
      </c>
      <c r="CF20">
        <v>0.28328371895700832</v>
      </c>
      <c r="CG20">
        <v>0.55950607413181297</v>
      </c>
      <c r="CH20">
        <v>1.5762782006009119</v>
      </c>
      <c r="CI20">
        <v>0.50494794245997054</v>
      </c>
      <c r="CJ20" s="165">
        <v>0.55515536405086674</v>
      </c>
      <c r="CK20" s="165">
        <v>0.55515536405086674</v>
      </c>
      <c r="CL20" s="165">
        <v>0.55515536405086674</v>
      </c>
      <c r="CM20">
        <v>0.21093967098138269</v>
      </c>
      <c r="CN20">
        <v>0.36234668896235039</v>
      </c>
      <c r="CO20">
        <v>0.19756922177993541</v>
      </c>
      <c r="CP20">
        <v>0.32284450458650488</v>
      </c>
      <c r="CQ20">
        <v>0.30924517990066502</v>
      </c>
      <c r="CR20">
        <v>0.13173201240456839</v>
      </c>
      <c r="CS20">
        <v>0.2974236332742905</v>
      </c>
      <c r="CT20">
        <v>0.37550262770534909</v>
      </c>
      <c r="CU20">
        <v>0.23340664926469501</v>
      </c>
      <c r="CV20">
        <v>3.4653290668049001E-2</v>
      </c>
      <c r="CW20">
        <v>1.512037117537884E-4</v>
      </c>
      <c r="CX20">
        <v>0.14400025679604769</v>
      </c>
      <c r="CY20">
        <v>0</v>
      </c>
      <c r="DA20" s="538"/>
      <c r="DB20" s="363" t="s">
        <v>83</v>
      </c>
      <c r="DC20" s="385">
        <v>-6.3968481864796867E-2</v>
      </c>
      <c r="DD20" s="385">
        <v>-5.0478271886830739E-2</v>
      </c>
      <c r="DE20" s="385">
        <v>-7.3712585629578831E-2</v>
      </c>
      <c r="DF20" s="385">
        <v>-2.0580420030539059E-2</v>
      </c>
      <c r="DG20" s="385">
        <v>-7.4699606324463486E-2</v>
      </c>
      <c r="DH20" s="386">
        <v>-3.9682995560009204E-2</v>
      </c>
      <c r="DI20" s="386">
        <v>-3.9682995560009204E-2</v>
      </c>
      <c r="DJ20" s="386">
        <v>-3.9682995560009204E-2</v>
      </c>
      <c r="DK20" s="386">
        <v>-7.9122257811223951E-2</v>
      </c>
      <c r="DL20" s="386">
        <v>-5.9652935111444649E-2</v>
      </c>
      <c r="DM20" s="385">
        <v>-5.2059129433517315E-2</v>
      </c>
      <c r="DN20" s="385">
        <v>-2.7311620156970973E-2</v>
      </c>
      <c r="DO20" s="385">
        <v>-4.9540412331287143E-2</v>
      </c>
      <c r="DP20" s="385">
        <v>-5.055490376153593E-2</v>
      </c>
      <c r="DQ20" s="385">
        <v>-2.9366773097519228E-2</v>
      </c>
      <c r="DR20" s="385">
        <v>-3.6639892070956415E-2</v>
      </c>
      <c r="DS20" s="385">
        <v>-4.4623418414216576E-2</v>
      </c>
      <c r="DT20" s="385">
        <v>-2.1555645336549967E-2</v>
      </c>
      <c r="DU20" s="385">
        <v>-3.0416716987738845E-2</v>
      </c>
      <c r="DV20" s="385">
        <v>-5.6510190049204656E-2</v>
      </c>
      <c r="DW20" s="385">
        <v>0</v>
      </c>
    </row>
    <row r="21" spans="1:127" ht="14.25" customHeight="1">
      <c r="A21" s="544"/>
      <c r="B21" s="196" t="s">
        <v>85</v>
      </c>
      <c r="C21" s="156">
        <v>0</v>
      </c>
      <c r="D21" s="156">
        <v>0</v>
      </c>
      <c r="E21" s="156">
        <v>0</v>
      </c>
      <c r="F21" s="156">
        <v>0</v>
      </c>
      <c r="G21" s="156">
        <v>0</v>
      </c>
      <c r="H21" s="156">
        <v>0</v>
      </c>
      <c r="I21" s="156">
        <v>0</v>
      </c>
      <c r="J21" s="156">
        <v>0</v>
      </c>
      <c r="K21" s="156">
        <v>0</v>
      </c>
      <c r="L21" s="156">
        <v>0</v>
      </c>
      <c r="M21" s="156">
        <v>0</v>
      </c>
      <c r="N21" s="156">
        <v>0</v>
      </c>
      <c r="O21" s="156">
        <v>0</v>
      </c>
      <c r="P21" s="156">
        <v>0</v>
      </c>
      <c r="Q21" s="156">
        <v>0</v>
      </c>
      <c r="R21" s="156">
        <v>0</v>
      </c>
      <c r="S21" s="156">
        <v>0</v>
      </c>
      <c r="T21" s="156">
        <v>0</v>
      </c>
      <c r="U21" s="156">
        <v>0</v>
      </c>
      <c r="V21" s="156">
        <v>0</v>
      </c>
      <c r="W21" s="200">
        <v>0</v>
      </c>
      <c r="AA21" s="544"/>
      <c r="AB21" s="196" t="s">
        <v>85</v>
      </c>
      <c r="AC21" s="156">
        <v>0</v>
      </c>
      <c r="AD21" s="156">
        <v>0</v>
      </c>
      <c r="AE21" s="156">
        <v>0</v>
      </c>
      <c r="AF21" s="156">
        <v>0</v>
      </c>
      <c r="AG21" s="156">
        <v>0</v>
      </c>
      <c r="AH21" s="156">
        <v>0</v>
      </c>
      <c r="AI21" s="156">
        <v>0</v>
      </c>
      <c r="AJ21" s="156">
        <v>0</v>
      </c>
      <c r="AK21" s="156">
        <v>0</v>
      </c>
      <c r="AL21" s="156">
        <v>0</v>
      </c>
      <c r="AM21" s="156">
        <v>0</v>
      </c>
      <c r="AN21" s="156">
        <v>0</v>
      </c>
      <c r="AO21" s="156">
        <v>0</v>
      </c>
      <c r="AP21" s="156">
        <v>0</v>
      </c>
      <c r="AQ21" s="156">
        <v>0</v>
      </c>
      <c r="AR21" s="156">
        <v>0</v>
      </c>
      <c r="AS21" s="156">
        <v>0</v>
      </c>
      <c r="AT21" s="156">
        <v>0</v>
      </c>
      <c r="AU21" s="156">
        <v>0</v>
      </c>
      <c r="AV21" s="156">
        <v>0</v>
      </c>
      <c r="AW21" s="200">
        <v>0</v>
      </c>
      <c r="BF21" s="538"/>
      <c r="BG21" s="363" t="s">
        <v>85</v>
      </c>
      <c r="BH21" s="385">
        <v>5.3466175297786407E-8</v>
      </c>
      <c r="BI21" s="385">
        <v>5.7801806994891311E-8</v>
      </c>
      <c r="BJ21" s="385">
        <v>7.1423078249903527E-8</v>
      </c>
      <c r="BK21" s="385">
        <v>7.5001571907676421E-8</v>
      </c>
      <c r="BL21" s="385">
        <v>6.9622026301724294E-8</v>
      </c>
      <c r="BM21" s="386">
        <v>7.3695173212213429E-8</v>
      </c>
      <c r="BN21" s="386">
        <v>7.3695173212213429E-8</v>
      </c>
      <c r="BO21" s="386">
        <v>7.3695173212213429E-8</v>
      </c>
      <c r="BP21" s="385">
        <v>5.5093173019715269E-8</v>
      </c>
      <c r="BQ21" s="385">
        <v>8.689003880459097E-8</v>
      </c>
      <c r="BR21" s="385">
        <v>5.6578058068588027E-8</v>
      </c>
      <c r="BS21" s="385">
        <v>6.2986492480936682E-8</v>
      </c>
      <c r="BT21" s="385">
        <v>5.3151033252791793E-8</v>
      </c>
      <c r="BU21" s="385">
        <v>6.9213564137994446E-8</v>
      </c>
      <c r="BV21" s="385">
        <v>4.9429088211087427E-8</v>
      </c>
      <c r="BW21" s="385">
        <v>6.2042541515183581E-8</v>
      </c>
      <c r="BX21" s="385">
        <v>5.9835124457478411E-8</v>
      </c>
      <c r="BY21" s="385">
        <v>6.3259079565279818E-8</v>
      </c>
      <c r="BZ21" s="385">
        <v>6.0773119072682249E-8</v>
      </c>
      <c r="CA21" s="385">
        <v>5.3468764020459007E-8</v>
      </c>
      <c r="CB21" s="385">
        <v>0</v>
      </c>
      <c r="CD21" s="196" t="s">
        <v>88</v>
      </c>
      <c r="CE21">
        <v>0.43525960652339668</v>
      </c>
      <c r="CF21">
        <v>0.31211476308787423</v>
      </c>
      <c r="CG21">
        <v>0.3871674620255422</v>
      </c>
      <c r="CH21">
        <v>1.039345530529235</v>
      </c>
      <c r="CI21">
        <v>0.30989172209508598</v>
      </c>
      <c r="CJ21" s="165">
        <v>0.44704646513609569</v>
      </c>
      <c r="CK21" s="165">
        <v>0.44704646513609569</v>
      </c>
      <c r="CL21" s="165">
        <v>0.44704646513609569</v>
      </c>
      <c r="CM21">
        <v>0.28078447215133029</v>
      </c>
      <c r="CN21">
        <v>0.28079912491206072</v>
      </c>
      <c r="CO21">
        <v>0.30495740412736089</v>
      </c>
      <c r="CP21">
        <v>0.39862959657923019</v>
      </c>
      <c r="CQ21">
        <v>0.32351477932201372</v>
      </c>
      <c r="CR21">
        <v>0.20720553720023691</v>
      </c>
      <c r="CS21">
        <v>0.2328478484826248</v>
      </c>
      <c r="CT21">
        <v>0.2301699567534784</v>
      </c>
      <c r="CU21">
        <v>0.15753671407654579</v>
      </c>
      <c r="CV21">
        <v>2.2148074540289709E-2</v>
      </c>
      <c r="CW21">
        <v>3.1396614797441907E-2</v>
      </c>
      <c r="CX21">
        <v>6.2101219017483388E-4</v>
      </c>
      <c r="CY21">
        <v>0</v>
      </c>
      <c r="DA21" s="538"/>
      <c r="DB21" s="363" t="s">
        <v>85</v>
      </c>
      <c r="DC21" s="385">
        <v>-5.2737476587651599E-2</v>
      </c>
      <c r="DD21" s="385">
        <v>-3.7533509884915439E-2</v>
      </c>
      <c r="DE21" s="385">
        <v>-5.1199781190171101E-2</v>
      </c>
      <c r="DF21" s="385">
        <v>-1.7426734269338939E-2</v>
      </c>
      <c r="DG21" s="385">
        <v>-6.1836205127036581E-2</v>
      </c>
      <c r="DH21" s="386">
        <v>-3.6106643117193915E-2</v>
      </c>
      <c r="DI21" s="386">
        <v>-3.6106643117193915E-2</v>
      </c>
      <c r="DJ21" s="386">
        <v>-3.6106643117193915E-2</v>
      </c>
      <c r="DK21" s="386">
        <v>-4.9735263428227872E-2</v>
      </c>
      <c r="DL21" s="386">
        <v>-3.9994786829322893E-2</v>
      </c>
      <c r="DM21" s="385">
        <v>-4.6738406181357717E-2</v>
      </c>
      <c r="DN21" s="385">
        <v>-3.4084963699570592E-2</v>
      </c>
      <c r="DO21" s="385">
        <v>-3.8461341581079056E-2</v>
      </c>
      <c r="DP21" s="385">
        <v>-3.9815858520394931E-2</v>
      </c>
      <c r="DQ21" s="385">
        <v>-4.3539957655610695E-2</v>
      </c>
      <c r="DR21" s="385">
        <v>-2.3804960225831895E-2</v>
      </c>
      <c r="DS21" s="385">
        <v>-4.8921854138945342E-2</v>
      </c>
      <c r="DT21" s="385">
        <v>-4.1822497564785288E-2</v>
      </c>
      <c r="DU21" s="385">
        <v>-4.3559559409664161E-2</v>
      </c>
      <c r="DV21" s="385">
        <v>-6.2323316147724461E-2</v>
      </c>
      <c r="DW21" s="385">
        <v>0</v>
      </c>
    </row>
    <row r="22" spans="1:127" ht="14.25" customHeight="1">
      <c r="A22" s="544"/>
      <c r="B22" s="196" t="s">
        <v>88</v>
      </c>
      <c r="C22" s="156">
        <v>0</v>
      </c>
      <c r="D22" s="156">
        <v>0</v>
      </c>
      <c r="E22" s="156">
        <v>0</v>
      </c>
      <c r="F22" s="156">
        <v>0</v>
      </c>
      <c r="G22" s="156">
        <v>0</v>
      </c>
      <c r="H22" s="156">
        <v>0</v>
      </c>
      <c r="I22" s="156">
        <v>0</v>
      </c>
      <c r="J22" s="156">
        <v>0</v>
      </c>
      <c r="K22" s="156">
        <v>0</v>
      </c>
      <c r="L22" s="156">
        <v>0</v>
      </c>
      <c r="M22" s="156">
        <v>0</v>
      </c>
      <c r="N22" s="156">
        <v>0</v>
      </c>
      <c r="O22" s="156">
        <v>0</v>
      </c>
      <c r="P22" s="156">
        <v>0</v>
      </c>
      <c r="Q22" s="156">
        <v>0</v>
      </c>
      <c r="R22" s="156">
        <v>0</v>
      </c>
      <c r="S22" s="156">
        <v>0</v>
      </c>
      <c r="T22" s="156">
        <v>0</v>
      </c>
      <c r="U22" s="156">
        <v>0</v>
      </c>
      <c r="V22" s="156">
        <v>0</v>
      </c>
      <c r="W22" s="200">
        <v>0</v>
      </c>
      <c r="AA22" s="544"/>
      <c r="AB22" s="196" t="s">
        <v>88</v>
      </c>
      <c r="AC22" s="156">
        <v>0</v>
      </c>
      <c r="AD22" s="156">
        <v>0</v>
      </c>
      <c r="AE22" s="156">
        <v>0</v>
      </c>
      <c r="AF22" s="156">
        <v>0</v>
      </c>
      <c r="AG22" s="156">
        <v>0</v>
      </c>
      <c r="AH22" s="156">
        <v>0</v>
      </c>
      <c r="AI22" s="156">
        <v>0</v>
      </c>
      <c r="AJ22" s="156">
        <v>0</v>
      </c>
      <c r="AK22" s="156">
        <v>0</v>
      </c>
      <c r="AL22" s="156">
        <v>0</v>
      </c>
      <c r="AM22" s="156">
        <v>0</v>
      </c>
      <c r="AN22" s="156">
        <v>0</v>
      </c>
      <c r="AO22" s="156">
        <v>0</v>
      </c>
      <c r="AP22" s="156">
        <v>0</v>
      </c>
      <c r="AQ22" s="156">
        <v>0</v>
      </c>
      <c r="AR22" s="156">
        <v>0</v>
      </c>
      <c r="AS22" s="156">
        <v>0</v>
      </c>
      <c r="AT22" s="156">
        <v>0</v>
      </c>
      <c r="AU22" s="156">
        <v>0</v>
      </c>
      <c r="AV22" s="156">
        <v>0</v>
      </c>
      <c r="AW22" s="200">
        <v>0</v>
      </c>
      <c r="BF22" s="538"/>
      <c r="BG22" s="363" t="s">
        <v>88</v>
      </c>
      <c r="BH22" s="385">
        <v>1.004999491418992E-7</v>
      </c>
      <c r="BI22" s="385">
        <v>1.2974046652278571E-7</v>
      </c>
      <c r="BJ22" s="385">
        <v>1.59881856617649E-7</v>
      </c>
      <c r="BK22" s="385">
        <v>1.5057873668466669E-7</v>
      </c>
      <c r="BL22" s="385">
        <v>1.9590007414583891E-7</v>
      </c>
      <c r="BM22" s="386">
        <v>1.571941023895707E-7</v>
      </c>
      <c r="BN22" s="386">
        <v>1.571941023895707E-7</v>
      </c>
      <c r="BO22" s="386">
        <v>1.571941023895707E-7</v>
      </c>
      <c r="BP22" s="385">
        <v>1.109495634680842E-7</v>
      </c>
      <c r="BQ22" s="385">
        <v>1.978987030512519E-7</v>
      </c>
      <c r="BR22" s="385">
        <v>1.227044430996408E-7</v>
      </c>
      <c r="BS22" s="385">
        <v>1.358271012421311E-7</v>
      </c>
      <c r="BT22" s="385">
        <v>9.9845237051497821E-8</v>
      </c>
      <c r="BU22" s="385">
        <v>1.4469645004670781E-7</v>
      </c>
      <c r="BV22" s="385">
        <v>9.9409278916324507E-8</v>
      </c>
      <c r="BW22" s="385">
        <v>1.3178564606330909E-7</v>
      </c>
      <c r="BX22" s="385">
        <v>1.314062792622515E-7</v>
      </c>
      <c r="BY22" s="385">
        <v>1.2329487659559251E-7</v>
      </c>
      <c r="BZ22" s="385">
        <v>1.1601944759348739E-7</v>
      </c>
      <c r="CA22" s="385">
        <v>1.061579239231823E-7</v>
      </c>
      <c r="CB22" s="385">
        <v>0</v>
      </c>
      <c r="CD22" s="196" t="s">
        <v>147</v>
      </c>
      <c r="CE22">
        <v>0</v>
      </c>
      <c r="CF22">
        <v>0</v>
      </c>
      <c r="CG22">
        <v>0</v>
      </c>
      <c r="CH22">
        <v>0</v>
      </c>
      <c r="CI22">
        <v>0</v>
      </c>
      <c r="CJ22" s="165">
        <v>0</v>
      </c>
      <c r="CK22" s="165">
        <v>0</v>
      </c>
      <c r="CL22" s="165">
        <v>0</v>
      </c>
      <c r="CM22">
        <v>0</v>
      </c>
      <c r="CN22">
        <v>0</v>
      </c>
      <c r="CO22">
        <v>0</v>
      </c>
      <c r="CP22">
        <v>0</v>
      </c>
      <c r="CQ22">
        <v>0</v>
      </c>
      <c r="CR22">
        <v>0</v>
      </c>
      <c r="CS22">
        <v>0</v>
      </c>
      <c r="CT22">
        <v>0</v>
      </c>
      <c r="CU22">
        <v>0</v>
      </c>
      <c r="CV22">
        <v>0</v>
      </c>
      <c r="CW22">
        <v>0</v>
      </c>
      <c r="CX22">
        <v>0</v>
      </c>
      <c r="CY22">
        <v>0</v>
      </c>
      <c r="DA22" s="538"/>
      <c r="DB22" s="363" t="s">
        <v>88</v>
      </c>
      <c r="DC22" s="385">
        <v>1.7247197732980002E-2</v>
      </c>
      <c r="DD22" s="385">
        <v>5.2724628623532999E-2</v>
      </c>
      <c r="DE22" s="385">
        <v>2.7913793406012077E-2</v>
      </c>
      <c r="DF22" s="385">
        <v>8.6217660815931962E-2</v>
      </c>
      <c r="DG22" s="385">
        <v>3.1894608433225002E-2</v>
      </c>
      <c r="DH22" s="386">
        <v>6.3788858018154038E-2</v>
      </c>
      <c r="DI22" s="386">
        <v>6.3788858018154038E-2</v>
      </c>
      <c r="DJ22" s="386">
        <v>6.3788858018154038E-2</v>
      </c>
      <c r="DK22" s="386">
        <v>2.5032787584150951E-2</v>
      </c>
      <c r="DL22" s="386">
        <v>5.1725094371017022E-2</v>
      </c>
      <c r="DM22" s="385">
        <v>3.9131425577684009E-2</v>
      </c>
      <c r="DN22" s="385">
        <v>7.0034202266622048E-2</v>
      </c>
      <c r="DO22" s="385">
        <v>4.1620889760269009E-2</v>
      </c>
      <c r="DP22" s="385">
        <v>4.8811865860534098E-2</v>
      </c>
      <c r="DQ22" s="385">
        <v>5.2519955402420049E-2</v>
      </c>
      <c r="DR22" s="385">
        <v>7.0771349761534985E-2</v>
      </c>
      <c r="DS22" s="385">
        <v>4.5517407341967075E-2</v>
      </c>
      <c r="DT22" s="385">
        <v>6.3582845558084911E-2</v>
      </c>
      <c r="DU22" s="385">
        <v>4.7103404136352056E-2</v>
      </c>
      <c r="DV22" s="385">
        <v>5.3671648966520991E-2</v>
      </c>
      <c r="DW22" s="385">
        <v>0</v>
      </c>
    </row>
    <row r="23" spans="1:127" ht="14.25" customHeight="1">
      <c r="A23" s="545"/>
      <c r="B23" s="196" t="s">
        <v>147</v>
      </c>
      <c r="C23" s="156">
        <v>0</v>
      </c>
      <c r="D23" s="156">
        <v>0</v>
      </c>
      <c r="E23" s="156">
        <v>0</v>
      </c>
      <c r="F23" s="156">
        <v>0</v>
      </c>
      <c r="G23" s="156">
        <v>0</v>
      </c>
      <c r="H23" s="156">
        <v>0</v>
      </c>
      <c r="I23" s="156">
        <v>0</v>
      </c>
      <c r="J23" s="156">
        <v>0</v>
      </c>
      <c r="K23" s="156">
        <v>0</v>
      </c>
      <c r="L23" s="156">
        <v>0</v>
      </c>
      <c r="M23" s="156">
        <v>0</v>
      </c>
      <c r="N23" s="156">
        <v>0</v>
      </c>
      <c r="O23" s="156">
        <v>0</v>
      </c>
      <c r="P23" s="156">
        <v>0</v>
      </c>
      <c r="Q23" s="156">
        <v>0</v>
      </c>
      <c r="R23" s="156">
        <v>0</v>
      </c>
      <c r="S23" s="156">
        <v>0</v>
      </c>
      <c r="T23" s="156">
        <v>0</v>
      </c>
      <c r="U23" s="156">
        <v>0</v>
      </c>
      <c r="V23" s="156">
        <v>0</v>
      </c>
      <c r="W23" s="200">
        <v>0</v>
      </c>
      <c r="AA23" s="545"/>
      <c r="AB23" s="196" t="s">
        <v>147</v>
      </c>
      <c r="AC23" s="156">
        <v>0</v>
      </c>
      <c r="AD23" s="156">
        <v>0</v>
      </c>
      <c r="AE23" s="156">
        <v>0</v>
      </c>
      <c r="AF23" s="156">
        <v>0</v>
      </c>
      <c r="AG23" s="156">
        <v>0</v>
      </c>
      <c r="AH23" s="156">
        <v>0</v>
      </c>
      <c r="AI23" s="156">
        <v>0</v>
      </c>
      <c r="AJ23" s="156">
        <v>0</v>
      </c>
      <c r="AK23" s="156">
        <v>0</v>
      </c>
      <c r="AL23" s="156">
        <v>0</v>
      </c>
      <c r="AM23" s="156">
        <v>0</v>
      </c>
      <c r="AN23" s="156">
        <v>0</v>
      </c>
      <c r="AO23" s="156">
        <v>0</v>
      </c>
      <c r="AP23" s="156">
        <v>0</v>
      </c>
      <c r="AQ23" s="156">
        <v>0</v>
      </c>
      <c r="AR23" s="156">
        <v>0</v>
      </c>
      <c r="AS23" s="156">
        <v>0</v>
      </c>
      <c r="AT23" s="156">
        <v>0</v>
      </c>
      <c r="AU23" s="156">
        <v>0</v>
      </c>
      <c r="AV23" s="156">
        <v>0</v>
      </c>
      <c r="AW23" s="200">
        <v>0</v>
      </c>
      <c r="BF23" s="538"/>
      <c r="BG23" s="363" t="s">
        <v>147</v>
      </c>
      <c r="BH23" s="385">
        <v>0</v>
      </c>
      <c r="BI23" s="385">
        <v>0</v>
      </c>
      <c r="BJ23" s="385">
        <v>0</v>
      </c>
      <c r="BK23" s="385">
        <v>0</v>
      </c>
      <c r="BL23" s="385">
        <v>0</v>
      </c>
      <c r="BM23" s="386">
        <v>0</v>
      </c>
      <c r="BN23" s="386">
        <v>0</v>
      </c>
      <c r="BO23" s="386">
        <v>0</v>
      </c>
      <c r="BP23" s="385">
        <v>0</v>
      </c>
      <c r="BQ23" s="385">
        <v>0</v>
      </c>
      <c r="BR23" s="385">
        <v>0</v>
      </c>
      <c r="BS23" s="385">
        <v>0</v>
      </c>
      <c r="BT23" s="385">
        <v>0</v>
      </c>
      <c r="BU23" s="385">
        <v>0</v>
      </c>
      <c r="BV23" s="385">
        <v>0</v>
      </c>
      <c r="BW23" s="385">
        <v>0</v>
      </c>
      <c r="BX23" s="385">
        <v>0</v>
      </c>
      <c r="BY23" s="385">
        <v>0</v>
      </c>
      <c r="BZ23" s="385">
        <v>0</v>
      </c>
      <c r="CA23" s="385">
        <v>0</v>
      </c>
      <c r="CB23" s="385">
        <v>0</v>
      </c>
      <c r="DA23" s="538"/>
      <c r="DB23" s="363" t="s">
        <v>147</v>
      </c>
      <c r="DC23" s="385">
        <v>6.8889290377059931E-2</v>
      </c>
      <c r="DD23" s="385">
        <v>-0.17385274891916525</v>
      </c>
      <c r="DE23" s="385">
        <v>6.3715842666381972E-2</v>
      </c>
      <c r="DF23" s="385">
        <v>5.6680330921274891E-2</v>
      </c>
      <c r="DG23" s="385">
        <v>4.541738982960597E-2</v>
      </c>
      <c r="DH23" s="386">
        <v>5.6550189047821942E-2</v>
      </c>
      <c r="DI23" s="386">
        <v>5.6550189047821942E-2</v>
      </c>
      <c r="DJ23" s="386">
        <v>5.6550189047821942E-2</v>
      </c>
      <c r="DK23" s="386">
        <v>6.6670006634486079E-2</v>
      </c>
      <c r="DL23" s="386">
        <v>3.5378356275292067E-2</v>
      </c>
      <c r="DM23" s="385">
        <v>9.764890954730987E-3</v>
      </c>
      <c r="DN23" s="385">
        <v>1.7997043756724951E-2</v>
      </c>
      <c r="DO23" s="385">
        <v>2.1841361787223068E-2</v>
      </c>
      <c r="DP23" s="385">
        <v>1.3419869537357965E-2</v>
      </c>
      <c r="DQ23" s="385">
        <v>5.1911623935045892E-2</v>
      </c>
      <c r="DR23" s="385">
        <v>-1.0817299792053148E-2</v>
      </c>
      <c r="DS23" s="385">
        <v>1.1227462364429064E-2</v>
      </c>
      <c r="DT23" s="385">
        <v>8.9087911822429033E-2</v>
      </c>
      <c r="DU23" s="385">
        <v>4.9095012313445041E-2</v>
      </c>
      <c r="DV23" s="385">
        <v>-1.8795099937966242E-2</v>
      </c>
      <c r="DW23" s="385">
        <v>0</v>
      </c>
    </row>
    <row r="24" spans="1:127" ht="14.25" customHeight="1">
      <c r="A24" s="543" t="s">
        <v>609</v>
      </c>
      <c r="B24" s="196" t="s">
        <v>139</v>
      </c>
      <c r="C24" s="156">
        <v>0</v>
      </c>
      <c r="D24" s="156">
        <v>0</v>
      </c>
      <c r="E24" s="156">
        <v>0</v>
      </c>
      <c r="F24" s="156">
        <v>0</v>
      </c>
      <c r="G24" s="156">
        <v>0</v>
      </c>
      <c r="H24" s="156">
        <v>0</v>
      </c>
      <c r="I24" s="156">
        <v>0</v>
      </c>
      <c r="J24" s="156">
        <v>0</v>
      </c>
      <c r="K24" s="156">
        <v>0</v>
      </c>
      <c r="L24" s="156">
        <v>0</v>
      </c>
      <c r="M24" s="156">
        <v>0</v>
      </c>
      <c r="N24" s="156">
        <v>0</v>
      </c>
      <c r="O24" s="156">
        <v>0</v>
      </c>
      <c r="P24" s="156">
        <v>0</v>
      </c>
      <c r="Q24" s="156">
        <v>0</v>
      </c>
      <c r="R24" s="156">
        <v>0</v>
      </c>
      <c r="S24" s="156">
        <v>0</v>
      </c>
      <c r="T24" s="156">
        <v>0</v>
      </c>
      <c r="U24" s="156">
        <v>0</v>
      </c>
      <c r="V24" s="156">
        <v>0</v>
      </c>
      <c r="W24" s="200">
        <v>0</v>
      </c>
      <c r="AA24" s="543" t="s">
        <v>609</v>
      </c>
      <c r="AB24" s="196" t="s">
        <v>139</v>
      </c>
      <c r="AC24" s="156">
        <v>0</v>
      </c>
      <c r="AD24" s="156">
        <v>0</v>
      </c>
      <c r="AE24" s="156">
        <v>0</v>
      </c>
      <c r="AF24" s="156">
        <v>0</v>
      </c>
      <c r="AG24" s="156">
        <v>0</v>
      </c>
      <c r="AH24" s="156">
        <v>0</v>
      </c>
      <c r="AI24" s="156">
        <v>0</v>
      </c>
      <c r="AJ24" s="156">
        <v>0</v>
      </c>
      <c r="AK24" s="156">
        <v>0</v>
      </c>
      <c r="AL24" s="156">
        <v>0</v>
      </c>
      <c r="AM24" s="156">
        <v>0</v>
      </c>
      <c r="AN24" s="156">
        <v>0</v>
      </c>
      <c r="AO24" s="156">
        <v>0</v>
      </c>
      <c r="AP24" s="156">
        <v>0</v>
      </c>
      <c r="AQ24" s="156">
        <v>0</v>
      </c>
      <c r="AR24" s="156">
        <v>0</v>
      </c>
      <c r="AS24" s="156">
        <v>0</v>
      </c>
      <c r="AT24" s="156">
        <v>0</v>
      </c>
      <c r="AU24" s="156">
        <v>0</v>
      </c>
      <c r="AV24" s="156">
        <v>0</v>
      </c>
      <c r="AW24" s="200">
        <v>0</v>
      </c>
      <c r="BF24" s="538" t="s">
        <v>609</v>
      </c>
      <c r="BG24" s="363" t="s">
        <v>139</v>
      </c>
      <c r="BH24" s="385">
        <v>1.5756793783362789E-7</v>
      </c>
      <c r="BI24" s="385">
        <v>1.124682550131361E-7</v>
      </c>
      <c r="BJ24" s="385">
        <v>1.4161792804328809E-7</v>
      </c>
      <c r="BK24" s="385">
        <v>9.9038508302807284E-8</v>
      </c>
      <c r="BL24" s="385">
        <v>9.8512594114394049E-8</v>
      </c>
      <c r="BM24" s="386">
        <v>1.0520604034288E-7</v>
      </c>
      <c r="BN24" s="386">
        <v>1.0520604034288E-7</v>
      </c>
      <c r="BO24" s="386">
        <v>1.0520604034288E-7</v>
      </c>
      <c r="BP24" s="385">
        <v>1.1092261298821221E-7</v>
      </c>
      <c r="BQ24" s="385">
        <v>9.1924275829289911E-8</v>
      </c>
      <c r="BR24" s="385">
        <v>1.298814795310596E-7</v>
      </c>
      <c r="BS24" s="385">
        <v>1.123677765210674E-7</v>
      </c>
      <c r="BT24" s="385">
        <v>1.438068112731706E-7</v>
      </c>
      <c r="BU24" s="385">
        <v>1.0027440284416661E-7</v>
      </c>
      <c r="BV24" s="385">
        <v>9.9695378057622052E-8</v>
      </c>
      <c r="BW24" s="385">
        <v>1.0019022170960541E-7</v>
      </c>
      <c r="BX24" s="385">
        <v>1.099188876103348E-7</v>
      </c>
      <c r="BY24" s="385">
        <v>1.0464912319236911E-7</v>
      </c>
      <c r="BZ24" s="385">
        <v>1.044366334973963E-7</v>
      </c>
      <c r="CA24" s="385">
        <v>1.024572914791551E-7</v>
      </c>
      <c r="CB24" s="385">
        <v>0</v>
      </c>
      <c r="DA24" s="538" t="s">
        <v>609</v>
      </c>
      <c r="DB24" s="363" t="s">
        <v>139</v>
      </c>
      <c r="DC24" s="385">
        <v>7.1450844992136053E-2</v>
      </c>
      <c r="DD24" s="385">
        <v>7.6835753874012092E-2</v>
      </c>
      <c r="DE24" s="385">
        <v>6.2242112093269908E-2</v>
      </c>
      <c r="DF24" s="385">
        <v>9.5302177332279969E-2</v>
      </c>
      <c r="DG24" s="385">
        <v>4.3312875409690088E-2</v>
      </c>
      <c r="DH24" s="386">
        <v>8.4005707441036082E-2</v>
      </c>
      <c r="DI24" s="386">
        <v>8.4005707441036082E-2</v>
      </c>
      <c r="DJ24" s="386">
        <v>8.4005707441036082E-2</v>
      </c>
      <c r="DK24" s="386">
        <v>7.6243051620618063E-2</v>
      </c>
      <c r="DL24" s="386">
        <v>4.9930961035326016E-2</v>
      </c>
      <c r="DM24" s="385">
        <v>6.4667198460991893E-2</v>
      </c>
      <c r="DN24" s="385">
        <v>8.3504517204280093E-2</v>
      </c>
      <c r="DO24" s="385">
        <v>6.7500876627301976E-2</v>
      </c>
      <c r="DP24" s="385">
        <v>5.347757595183511E-2</v>
      </c>
      <c r="DQ24" s="385">
        <v>6.8644385931468044E-2</v>
      </c>
      <c r="DR24" s="385">
        <v>7.0769553602805013E-2</v>
      </c>
      <c r="DS24" s="385">
        <v>6.4466211106591897E-2</v>
      </c>
      <c r="DT24" s="385">
        <v>7.3826224784685035E-2</v>
      </c>
      <c r="DU24" s="385">
        <v>6.1907689782271902E-2</v>
      </c>
      <c r="DV24" s="385">
        <v>5.884691652528895E-2</v>
      </c>
      <c r="DW24" s="385">
        <v>0</v>
      </c>
    </row>
    <row r="25" spans="1:127" ht="14.25" customHeight="1">
      <c r="A25" s="544"/>
      <c r="B25" s="196" t="s">
        <v>37</v>
      </c>
      <c r="C25" s="156">
        <v>1</v>
      </c>
      <c r="D25" s="156">
        <v>0.47001481462224348</v>
      </c>
      <c r="E25" s="156">
        <v>0.98179738481905088</v>
      </c>
      <c r="F25" s="156">
        <v>5.7105937464440272E-3</v>
      </c>
      <c r="G25" s="156">
        <v>0.99961446391494102</v>
      </c>
      <c r="H25" s="156">
        <v>0.98531476679296981</v>
      </c>
      <c r="I25" s="156">
        <v>0</v>
      </c>
      <c r="J25" s="156">
        <v>0</v>
      </c>
      <c r="K25" s="156">
        <v>0.99990040730870189</v>
      </c>
      <c r="L25" s="156">
        <v>0.99997256005554103</v>
      </c>
      <c r="M25" s="156">
        <v>0.39035810020474399</v>
      </c>
      <c r="N25" s="156">
        <v>1</v>
      </c>
      <c r="O25" s="156">
        <v>1</v>
      </c>
      <c r="P25" s="156">
        <v>1</v>
      </c>
      <c r="Q25" s="156">
        <v>1</v>
      </c>
      <c r="R25" s="156">
        <v>1</v>
      </c>
      <c r="S25" s="156">
        <v>1</v>
      </c>
      <c r="T25" s="156">
        <v>1</v>
      </c>
      <c r="U25" s="156">
        <v>1</v>
      </c>
      <c r="V25" s="156">
        <v>1</v>
      </c>
      <c r="W25" s="200">
        <v>0</v>
      </c>
      <c r="AA25" s="544"/>
      <c r="AB25" s="196" t="s">
        <v>37</v>
      </c>
      <c r="AC25" s="156">
        <v>1</v>
      </c>
      <c r="AD25" s="156">
        <v>1</v>
      </c>
      <c r="AE25" s="156">
        <v>0.71157050803240551</v>
      </c>
      <c r="AF25" s="156">
        <v>3.529163341575766E-3</v>
      </c>
      <c r="AG25" s="156">
        <v>0.99164667809740814</v>
      </c>
      <c r="AH25" s="156">
        <v>0.7496933393206836</v>
      </c>
      <c r="AI25" s="156">
        <v>0</v>
      </c>
      <c r="AJ25" s="156">
        <v>0</v>
      </c>
      <c r="AK25" s="156">
        <v>0.99782931534088648</v>
      </c>
      <c r="AL25" s="156">
        <v>0.99940103052131413</v>
      </c>
      <c r="AM25" s="156">
        <v>0.28708958994794009</v>
      </c>
      <c r="AN25" s="156">
        <v>1</v>
      </c>
      <c r="AO25" s="156">
        <v>1</v>
      </c>
      <c r="AP25" s="156">
        <v>1</v>
      </c>
      <c r="AQ25" s="156">
        <v>1</v>
      </c>
      <c r="AR25" s="156">
        <v>1</v>
      </c>
      <c r="AS25" s="156">
        <v>1</v>
      </c>
      <c r="AT25" s="156">
        <v>1</v>
      </c>
      <c r="AU25" s="156">
        <v>1</v>
      </c>
      <c r="AV25" s="156">
        <v>1</v>
      </c>
      <c r="AW25" s="200">
        <v>0</v>
      </c>
      <c r="BF25" s="538"/>
      <c r="BG25" s="363" t="s">
        <v>37</v>
      </c>
      <c r="BH25" s="385">
        <v>1.9609746017492358E-6</v>
      </c>
      <c r="BI25" s="385">
        <v>1.9416337117908592E-6</v>
      </c>
      <c r="BJ25" s="385">
        <v>1.9229608405649111E-6</v>
      </c>
      <c r="BK25" s="385">
        <v>1.9395820941841421E-6</v>
      </c>
      <c r="BL25" s="385">
        <v>1.894574327295062E-6</v>
      </c>
      <c r="BM25" s="386">
        <v>1.9391663663807E-6</v>
      </c>
      <c r="BN25" s="386">
        <v>1.9391663663807E-6</v>
      </c>
      <c r="BO25" s="386">
        <v>1.9391663663807E-6</v>
      </c>
      <c r="BP25" s="385">
        <v>1.95655580597125E-6</v>
      </c>
      <c r="BQ25" s="385">
        <v>1.9127648338503058E-6</v>
      </c>
      <c r="BR25" s="385">
        <v>1.9369399900645152E-6</v>
      </c>
      <c r="BS25" s="385">
        <v>1.9642867811203928E-6</v>
      </c>
      <c r="BT25" s="385">
        <v>1.9459746028504529E-6</v>
      </c>
      <c r="BU25" s="385">
        <v>1.916617073989949E-6</v>
      </c>
      <c r="BV25" s="385">
        <v>1.9570935982563022E-6</v>
      </c>
      <c r="BW25" s="385">
        <v>1.9130054713879989E-6</v>
      </c>
      <c r="BX25" s="385">
        <v>1.9399374283349419E-6</v>
      </c>
      <c r="BY25" s="385">
        <v>1.9418510625701431E-6</v>
      </c>
      <c r="BZ25" s="385">
        <v>1.928407114468833E-6</v>
      </c>
      <c r="CA25" s="385">
        <v>1.965755666738629E-6</v>
      </c>
      <c r="CB25" s="385">
        <v>0</v>
      </c>
      <c r="DA25" s="538"/>
      <c r="DB25" s="363" t="s">
        <v>37</v>
      </c>
      <c r="DC25" s="385">
        <v>5.3579517037780633E-3</v>
      </c>
      <c r="DD25" s="385">
        <v>4.9052046136690564E-3</v>
      </c>
      <c r="DE25" s="385">
        <v>-7.0116848756139882E-3</v>
      </c>
      <c r="DF25" s="385">
        <v>5.0210564779589184E-3</v>
      </c>
      <c r="DG25" s="385">
        <v>-1.102228758176349E-2</v>
      </c>
      <c r="DH25" s="386">
        <v>4.2365633993830532E-3</v>
      </c>
      <c r="DI25" s="386">
        <v>4.2365633993830532E-3</v>
      </c>
      <c r="DJ25" s="386">
        <v>4.2365633993830532E-3</v>
      </c>
      <c r="DK25" s="386">
        <v>1.0062337621433937E-2</v>
      </c>
      <c r="DL25" s="386">
        <v>-4.2234108024622463E-3</v>
      </c>
      <c r="DM25" s="385">
        <v>-2.3710003521340006E-3</v>
      </c>
      <c r="DN25" s="385">
        <v>7.8772129038309213E-3</v>
      </c>
      <c r="DO25" s="385">
        <v>6.0198673567060101E-3</v>
      </c>
      <c r="DP25" s="385">
        <v>-5.2366168695331394E-3</v>
      </c>
      <c r="DQ25" s="385">
        <v>8.4372385176110232E-3</v>
      </c>
      <c r="DR25" s="385">
        <v>3.6710888443420853E-3</v>
      </c>
      <c r="DS25" s="385">
        <v>-8.1925059221343854E-4</v>
      </c>
      <c r="DT25" s="385">
        <v>7.6105253008260654E-3</v>
      </c>
      <c r="DU25" s="385">
        <v>-8.8812829610052102E-4</v>
      </c>
      <c r="DV25" s="385">
        <v>-2.2159219711516132E-3</v>
      </c>
      <c r="DW25" s="385">
        <v>0</v>
      </c>
    </row>
    <row r="26" spans="1:127" ht="14.25" customHeight="1">
      <c r="A26" s="544"/>
      <c r="B26" s="196" t="s">
        <v>140</v>
      </c>
      <c r="C26" s="156">
        <v>0</v>
      </c>
      <c r="D26" s="156">
        <v>0</v>
      </c>
      <c r="E26" s="156">
        <v>0</v>
      </c>
      <c r="F26" s="156">
        <v>0</v>
      </c>
      <c r="G26" s="156">
        <v>0</v>
      </c>
      <c r="H26" s="156">
        <v>0</v>
      </c>
      <c r="I26" s="156">
        <v>0</v>
      </c>
      <c r="J26" s="156">
        <v>0</v>
      </c>
      <c r="K26" s="156">
        <v>0</v>
      </c>
      <c r="L26" s="156">
        <v>0</v>
      </c>
      <c r="M26" s="156">
        <v>0</v>
      </c>
      <c r="N26" s="156">
        <v>0</v>
      </c>
      <c r="O26" s="156">
        <v>0</v>
      </c>
      <c r="P26" s="156">
        <v>0</v>
      </c>
      <c r="Q26" s="156">
        <v>0</v>
      </c>
      <c r="R26" s="156">
        <v>0</v>
      </c>
      <c r="S26" s="156">
        <v>0</v>
      </c>
      <c r="T26" s="156">
        <v>0</v>
      </c>
      <c r="U26" s="156">
        <v>0</v>
      </c>
      <c r="V26" s="156">
        <v>0</v>
      </c>
      <c r="W26" s="200">
        <v>0</v>
      </c>
      <c r="AA26" s="544"/>
      <c r="AB26" s="196" t="s">
        <v>140</v>
      </c>
      <c r="AC26" s="156">
        <v>0</v>
      </c>
      <c r="AD26" s="156">
        <v>0</v>
      </c>
      <c r="AE26" s="156">
        <v>0</v>
      </c>
      <c r="AF26" s="156">
        <v>0</v>
      </c>
      <c r="AG26" s="156">
        <v>0</v>
      </c>
      <c r="AH26" s="156">
        <v>0</v>
      </c>
      <c r="AI26" s="156">
        <v>0</v>
      </c>
      <c r="AJ26" s="156">
        <v>0</v>
      </c>
      <c r="AK26" s="156">
        <v>0</v>
      </c>
      <c r="AL26" s="156">
        <v>0</v>
      </c>
      <c r="AM26" s="156">
        <v>0</v>
      </c>
      <c r="AN26" s="156">
        <v>0</v>
      </c>
      <c r="AO26" s="156">
        <v>0</v>
      </c>
      <c r="AP26" s="156">
        <v>0</v>
      </c>
      <c r="AQ26" s="156">
        <v>0</v>
      </c>
      <c r="AR26" s="156">
        <v>0</v>
      </c>
      <c r="AS26" s="156">
        <v>0</v>
      </c>
      <c r="AT26" s="156">
        <v>0</v>
      </c>
      <c r="AU26" s="156">
        <v>0</v>
      </c>
      <c r="AV26" s="156">
        <v>0</v>
      </c>
      <c r="AW26" s="200">
        <v>0</v>
      </c>
      <c r="BF26" s="538"/>
      <c r="BG26" s="363" t="s">
        <v>140</v>
      </c>
      <c r="BH26" s="385">
        <v>1.1937606087146319E-6</v>
      </c>
      <c r="BI26" s="385">
        <v>1.3076521238670829E-6</v>
      </c>
      <c r="BJ26" s="385">
        <v>1.0274137150373641E-6</v>
      </c>
      <c r="BK26" s="385">
        <v>1.530472175795776E-6</v>
      </c>
      <c r="BL26" s="385">
        <v>1.005648486565647E-6</v>
      </c>
      <c r="BM26" s="386">
        <v>1.074164318114633E-6</v>
      </c>
      <c r="BN26" s="386">
        <v>1.074164318114633E-6</v>
      </c>
      <c r="BO26" s="386">
        <v>1.074164318114633E-6</v>
      </c>
      <c r="BP26" s="385">
        <v>1.1565692918999919E-6</v>
      </c>
      <c r="BQ26" s="385">
        <v>9.5965791480683478E-7</v>
      </c>
      <c r="BR26" s="385">
        <v>1.040326930715708E-6</v>
      </c>
      <c r="BS26" s="385">
        <v>1.114639568153982E-6</v>
      </c>
      <c r="BT26" s="385">
        <v>9.8539755993088842E-7</v>
      </c>
      <c r="BU26" s="385">
        <v>8.9936619147650134E-7</v>
      </c>
      <c r="BV26" s="385">
        <v>9.9551697709850602E-7</v>
      </c>
      <c r="BW26" s="385">
        <v>9.9970651061710653E-7</v>
      </c>
      <c r="BX26" s="385">
        <v>9.3970861273929775E-7</v>
      </c>
      <c r="BY26" s="385">
        <v>9.7769719410243081E-7</v>
      </c>
      <c r="BZ26" s="385">
        <v>9.8506217101051612E-7</v>
      </c>
      <c r="CA26" s="385">
        <v>6.6723157944994648E-7</v>
      </c>
      <c r="CB26" s="385">
        <v>0</v>
      </c>
      <c r="DA26" s="538"/>
      <c r="DB26" s="363" t="s">
        <v>140</v>
      </c>
      <c r="DC26" s="385">
        <v>-1.0643130225780006E-2</v>
      </c>
      <c r="DD26" s="385">
        <v>-7.1418305745127864E-3</v>
      </c>
      <c r="DE26" s="385">
        <v>-2.8731316304884347E-2</v>
      </c>
      <c r="DF26" s="385">
        <v>-6.5914800568034337E-3</v>
      </c>
      <c r="DG26" s="385">
        <v>-3.0059211555126808E-2</v>
      </c>
      <c r="DH26" s="386">
        <v>-1.8283152627814103E-2</v>
      </c>
      <c r="DI26" s="386">
        <v>-1.8283152627814103E-2</v>
      </c>
      <c r="DJ26" s="386">
        <v>-1.8283152627814103E-2</v>
      </c>
      <c r="DK26" s="386">
        <v>-1.450239430435396E-2</v>
      </c>
      <c r="DL26" s="386">
        <v>-2.7519275571055601E-2</v>
      </c>
      <c r="DM26" s="385">
        <v>-2.2696488266724657E-2</v>
      </c>
      <c r="DN26" s="385">
        <v>-6.3112190252841982E-3</v>
      </c>
      <c r="DO26" s="385">
        <v>-1.0490928056244408E-2</v>
      </c>
      <c r="DP26" s="385">
        <v>-3.1719274290213484E-2</v>
      </c>
      <c r="DQ26" s="385">
        <v>-1.2682720932510994E-2</v>
      </c>
      <c r="DR26" s="385">
        <v>-1.7708453085888309E-2</v>
      </c>
      <c r="DS26" s="385">
        <v>-2.6262977822057887E-2</v>
      </c>
      <c r="DT26" s="385">
        <v>-1.6660675180424578E-2</v>
      </c>
      <c r="DU26" s="385">
        <v>-2.7826147666028866E-2</v>
      </c>
      <c r="DV26" s="385">
        <v>-4.3368987900341383E-2</v>
      </c>
      <c r="DW26" s="385">
        <v>0</v>
      </c>
    </row>
    <row r="27" spans="1:127" ht="14.25" customHeight="1">
      <c r="A27" s="544"/>
      <c r="B27" s="196" t="s">
        <v>48</v>
      </c>
      <c r="C27" s="156">
        <v>0</v>
      </c>
      <c r="D27" s="156">
        <v>0</v>
      </c>
      <c r="E27" s="156">
        <v>0</v>
      </c>
      <c r="F27" s="156">
        <v>0</v>
      </c>
      <c r="G27" s="156">
        <v>0</v>
      </c>
      <c r="H27" s="156">
        <v>0</v>
      </c>
      <c r="I27" s="156">
        <v>0</v>
      </c>
      <c r="J27" s="156">
        <v>0</v>
      </c>
      <c r="K27" s="156">
        <v>0</v>
      </c>
      <c r="L27" s="156">
        <v>0</v>
      </c>
      <c r="M27" s="156">
        <v>0</v>
      </c>
      <c r="N27" s="156">
        <v>0</v>
      </c>
      <c r="O27" s="156">
        <v>0</v>
      </c>
      <c r="P27" s="156">
        <v>0</v>
      </c>
      <c r="Q27" s="156">
        <v>0</v>
      </c>
      <c r="R27" s="156">
        <v>0</v>
      </c>
      <c r="S27" s="156">
        <v>0</v>
      </c>
      <c r="T27" s="156">
        <v>0</v>
      </c>
      <c r="U27" s="156">
        <v>0</v>
      </c>
      <c r="V27" s="156">
        <v>0</v>
      </c>
      <c r="W27" s="200">
        <v>0</v>
      </c>
      <c r="AA27" s="544"/>
      <c r="AB27" s="196" t="s">
        <v>48</v>
      </c>
      <c r="AC27" s="156">
        <v>0</v>
      </c>
      <c r="AD27" s="156">
        <v>0</v>
      </c>
      <c r="AE27" s="156">
        <v>0</v>
      </c>
      <c r="AF27" s="156">
        <v>0</v>
      </c>
      <c r="AG27" s="156">
        <v>0</v>
      </c>
      <c r="AH27" s="156">
        <v>0</v>
      </c>
      <c r="AI27" s="156">
        <v>0</v>
      </c>
      <c r="AJ27" s="156">
        <v>0</v>
      </c>
      <c r="AK27" s="156">
        <v>0</v>
      </c>
      <c r="AL27" s="156">
        <v>0</v>
      </c>
      <c r="AM27" s="156">
        <v>0</v>
      </c>
      <c r="AN27" s="156">
        <v>0</v>
      </c>
      <c r="AO27" s="156">
        <v>0</v>
      </c>
      <c r="AP27" s="156">
        <v>0</v>
      </c>
      <c r="AQ27" s="156">
        <v>0</v>
      </c>
      <c r="AR27" s="156">
        <v>0</v>
      </c>
      <c r="AS27" s="156">
        <v>0</v>
      </c>
      <c r="AT27" s="156">
        <v>0</v>
      </c>
      <c r="AU27" s="156">
        <v>0</v>
      </c>
      <c r="AV27" s="156">
        <v>0</v>
      </c>
      <c r="AW27" s="200">
        <v>0</v>
      </c>
      <c r="BF27" s="538"/>
      <c r="BG27" s="363" t="s">
        <v>48</v>
      </c>
      <c r="BH27" s="385">
        <v>8.6458756881254998E-7</v>
      </c>
      <c r="BI27" s="385">
        <v>8.312851320952074E-7</v>
      </c>
      <c r="BJ27" s="385">
        <v>7.9179764929425705E-7</v>
      </c>
      <c r="BK27" s="385">
        <v>8.7002825013985458E-7</v>
      </c>
      <c r="BL27" s="385">
        <v>7.6792589206226094E-7</v>
      </c>
      <c r="BM27" s="386">
        <v>8.8373936510664661E-7</v>
      </c>
      <c r="BN27" s="386">
        <v>8.8373936510664661E-7</v>
      </c>
      <c r="BO27" s="386">
        <v>8.8373936510664661E-7</v>
      </c>
      <c r="BP27" s="385">
        <v>9.0123460151433513E-7</v>
      </c>
      <c r="BQ27" s="385">
        <v>8.2321307023406039E-7</v>
      </c>
      <c r="BR27" s="385">
        <v>8.3888429601116095E-7</v>
      </c>
      <c r="BS27" s="385">
        <v>9.3505558487618462E-7</v>
      </c>
      <c r="BT27" s="385">
        <v>8.2896554451105413E-7</v>
      </c>
      <c r="BU27" s="385">
        <v>7.9013696177178063E-7</v>
      </c>
      <c r="BV27" s="385">
        <v>8.2931033383539434E-7</v>
      </c>
      <c r="BW27" s="385">
        <v>7.8882033476175847E-7</v>
      </c>
      <c r="BX27" s="385">
        <v>8.3814663919967791E-7</v>
      </c>
      <c r="BY27" s="385">
        <v>8.5825309924220401E-7</v>
      </c>
      <c r="BZ27" s="385">
        <v>8.0845094315031542E-7</v>
      </c>
      <c r="CA27" s="385">
        <v>7.8378157999655311E-7</v>
      </c>
      <c r="CB27" s="385">
        <v>0</v>
      </c>
      <c r="DA27" s="538"/>
      <c r="DB27" s="363" t="s">
        <v>48</v>
      </c>
      <c r="DC27" s="385">
        <v>2.4299444474180643E-3</v>
      </c>
      <c r="DD27" s="385">
        <v>7.2813368235269404E-3</v>
      </c>
      <c r="DE27" s="385">
        <v>-1.8106868436480461E-3</v>
      </c>
      <c r="DF27" s="385">
        <v>1.948134124071399E-2</v>
      </c>
      <c r="DG27" s="385">
        <v>-5.8921520351864487E-3</v>
      </c>
      <c r="DH27" s="386">
        <v>1.96469188946371E-2</v>
      </c>
      <c r="DI27" s="386">
        <v>1.96469188946371E-2</v>
      </c>
      <c r="DJ27" s="386">
        <v>1.96469188946371E-2</v>
      </c>
      <c r="DK27" s="386">
        <v>1.3539346223365945E-2</v>
      </c>
      <c r="DL27" s="386">
        <v>-1.8612969604763219E-3</v>
      </c>
      <c r="DM27" s="385">
        <v>-8.7844072074821922E-3</v>
      </c>
      <c r="DN27" s="385">
        <v>1.0164159300429798E-3</v>
      </c>
      <c r="DO27" s="385">
        <v>2.5635199036651013E-3</v>
      </c>
      <c r="DP27" s="385">
        <v>-9.205180225330678E-3</v>
      </c>
      <c r="DQ27" s="385">
        <v>3.4167796108859338E-3</v>
      </c>
      <c r="DR27" s="385">
        <v>-5.8543537751942765E-4</v>
      </c>
      <c r="DS27" s="385">
        <v>-4.3702934428536677E-3</v>
      </c>
      <c r="DT27" s="385">
        <v>4.2431665018209941E-3</v>
      </c>
      <c r="DU27" s="385">
        <v>-4.6352437038040817E-3</v>
      </c>
      <c r="DV27" s="385">
        <v>-7.7326444939798122E-3</v>
      </c>
      <c r="DW27" s="385">
        <v>0</v>
      </c>
    </row>
    <row r="28" spans="1:127" ht="14.25" customHeight="1">
      <c r="A28" s="544"/>
      <c r="B28" s="196" t="s">
        <v>141</v>
      </c>
      <c r="C28" s="156">
        <v>0</v>
      </c>
      <c r="D28" s="156">
        <v>0</v>
      </c>
      <c r="E28" s="156">
        <v>0</v>
      </c>
      <c r="F28" s="156">
        <v>0</v>
      </c>
      <c r="G28" s="156">
        <v>0</v>
      </c>
      <c r="H28" s="156">
        <v>0</v>
      </c>
      <c r="I28" s="156">
        <v>0</v>
      </c>
      <c r="J28" s="156">
        <v>0</v>
      </c>
      <c r="K28" s="156">
        <v>0</v>
      </c>
      <c r="L28" s="156">
        <v>0</v>
      </c>
      <c r="M28" s="156">
        <v>0</v>
      </c>
      <c r="N28" s="156">
        <v>0</v>
      </c>
      <c r="O28" s="156">
        <v>0</v>
      </c>
      <c r="P28" s="156">
        <v>0</v>
      </c>
      <c r="Q28" s="156">
        <v>0</v>
      </c>
      <c r="R28" s="156">
        <v>0</v>
      </c>
      <c r="S28" s="156">
        <v>0</v>
      </c>
      <c r="T28" s="156">
        <v>0</v>
      </c>
      <c r="U28" s="156">
        <v>0</v>
      </c>
      <c r="V28" s="156">
        <v>0</v>
      </c>
      <c r="W28" s="200">
        <v>0</v>
      </c>
      <c r="AA28" s="544"/>
      <c r="AB28" s="196" t="s">
        <v>141</v>
      </c>
      <c r="AC28" s="156">
        <v>0</v>
      </c>
      <c r="AD28" s="156">
        <v>0</v>
      </c>
      <c r="AE28" s="156">
        <v>0</v>
      </c>
      <c r="AF28" s="156">
        <v>0</v>
      </c>
      <c r="AG28" s="156">
        <v>0</v>
      </c>
      <c r="AH28" s="156">
        <v>0</v>
      </c>
      <c r="AI28" s="156">
        <v>0</v>
      </c>
      <c r="AJ28" s="156">
        <v>0</v>
      </c>
      <c r="AK28" s="156">
        <v>0</v>
      </c>
      <c r="AL28" s="156">
        <v>0</v>
      </c>
      <c r="AM28" s="156">
        <v>0</v>
      </c>
      <c r="AN28" s="156">
        <v>0</v>
      </c>
      <c r="AO28" s="156">
        <v>0</v>
      </c>
      <c r="AP28" s="156">
        <v>0</v>
      </c>
      <c r="AQ28" s="156">
        <v>0</v>
      </c>
      <c r="AR28" s="156">
        <v>0</v>
      </c>
      <c r="AS28" s="156">
        <v>0</v>
      </c>
      <c r="AT28" s="156">
        <v>0</v>
      </c>
      <c r="AU28" s="156">
        <v>0</v>
      </c>
      <c r="AV28" s="156">
        <v>0</v>
      </c>
      <c r="AW28" s="200">
        <v>0</v>
      </c>
      <c r="BF28" s="538"/>
      <c r="BG28" s="363" t="s">
        <v>141</v>
      </c>
      <c r="BH28" s="385">
        <v>1.7311305361191521E-7</v>
      </c>
      <c r="BI28" s="385">
        <v>1.435892003340183E-7</v>
      </c>
      <c r="BJ28" s="385">
        <v>1.4847229113758431E-7</v>
      </c>
      <c r="BK28" s="385">
        <v>1.468727664314372E-7</v>
      </c>
      <c r="BL28" s="385">
        <v>1.5153356711284361E-7</v>
      </c>
      <c r="BM28" s="386">
        <v>1.463251253400965E-7</v>
      </c>
      <c r="BN28" s="386">
        <v>1.463251253400965E-7</v>
      </c>
      <c r="BO28" s="386">
        <v>1.463251253400965E-7</v>
      </c>
      <c r="BP28" s="385">
        <v>1.3888356124135289E-7</v>
      </c>
      <c r="BQ28" s="385">
        <v>1.3756900406689961E-7</v>
      </c>
      <c r="BR28" s="385">
        <v>1.345118207624977E-7</v>
      </c>
      <c r="BS28" s="385">
        <v>1.931598864982977E-7</v>
      </c>
      <c r="BT28" s="385">
        <v>1.4033697136538351E-7</v>
      </c>
      <c r="BU28" s="385">
        <v>1.419739235202451E-7</v>
      </c>
      <c r="BV28" s="385">
        <v>1.4105362043029119E-7</v>
      </c>
      <c r="BW28" s="385">
        <v>1.347308599504705E-7</v>
      </c>
      <c r="BX28" s="385">
        <v>1.4777412843013389E-7</v>
      </c>
      <c r="BY28" s="385">
        <v>1.5293612008483371E-7</v>
      </c>
      <c r="BZ28" s="385">
        <v>1.4871672319426769E-7</v>
      </c>
      <c r="CA28" s="385">
        <v>1.386206277563004E-7</v>
      </c>
      <c r="CB28" s="385">
        <v>0</v>
      </c>
      <c r="DA28" s="538"/>
      <c r="DB28" s="363" t="s">
        <v>141</v>
      </c>
      <c r="DC28" s="385">
        <v>-2.3140389601618128E-2</v>
      </c>
      <c r="DD28" s="385">
        <v>-2.3471060672937361E-2</v>
      </c>
      <c r="DE28" s="385">
        <v>-3.1046841893119348E-2</v>
      </c>
      <c r="DF28" s="385">
        <v>1.8679043821800967E-2</v>
      </c>
      <c r="DG28" s="385">
        <v>-2.6526551770144846E-2</v>
      </c>
      <c r="DH28" s="386">
        <v>1.3353230545340988E-3</v>
      </c>
      <c r="DI28" s="386">
        <v>1.3353230545340988E-3</v>
      </c>
      <c r="DJ28" s="386">
        <v>1.3353230545340988E-3</v>
      </c>
      <c r="DK28" s="386">
        <v>-1.9303569299506829E-2</v>
      </c>
      <c r="DL28" s="386">
        <v>-3.2446464283282905E-2</v>
      </c>
      <c r="DM28" s="385">
        <v>-2.8928554273595752E-2</v>
      </c>
      <c r="DN28" s="385">
        <v>-2.0338374874264598E-2</v>
      </c>
      <c r="DO28" s="385">
        <v>-2.2491123255513723E-2</v>
      </c>
      <c r="DP28" s="385">
        <v>-3.7828338117386173E-2</v>
      </c>
      <c r="DQ28" s="385">
        <v>-2.5839833136635182E-2</v>
      </c>
      <c r="DR28" s="385">
        <v>-3.1940605972051284E-2</v>
      </c>
      <c r="DS28" s="385">
        <v>-3.3262481747953543E-2</v>
      </c>
      <c r="DT28" s="385">
        <v>-3.7544403909290702E-2</v>
      </c>
      <c r="DU28" s="385">
        <v>-3.5801607785909906E-2</v>
      </c>
      <c r="DV28" s="385">
        <v>-3.3357835445588457E-2</v>
      </c>
      <c r="DW28" s="385">
        <v>0</v>
      </c>
    </row>
    <row r="29" spans="1:127" ht="14.25" customHeight="1">
      <c r="A29" s="544"/>
      <c r="B29" s="196" t="s">
        <v>142</v>
      </c>
      <c r="C29" s="156">
        <v>0</v>
      </c>
      <c r="D29" s="156">
        <v>0</v>
      </c>
      <c r="E29" s="156">
        <v>0</v>
      </c>
      <c r="F29" s="156">
        <v>0</v>
      </c>
      <c r="G29" s="156">
        <v>0</v>
      </c>
      <c r="H29" s="156">
        <v>0</v>
      </c>
      <c r="I29" s="156">
        <v>0</v>
      </c>
      <c r="J29" s="156">
        <v>0</v>
      </c>
      <c r="K29" s="156">
        <v>0</v>
      </c>
      <c r="L29" s="156">
        <v>0</v>
      </c>
      <c r="M29" s="156">
        <v>0</v>
      </c>
      <c r="N29" s="156">
        <v>0</v>
      </c>
      <c r="O29" s="156">
        <v>0</v>
      </c>
      <c r="P29" s="156">
        <v>0</v>
      </c>
      <c r="Q29" s="156">
        <v>0</v>
      </c>
      <c r="R29" s="156">
        <v>0</v>
      </c>
      <c r="S29" s="156">
        <v>0</v>
      </c>
      <c r="T29" s="156">
        <v>0</v>
      </c>
      <c r="U29" s="156">
        <v>0</v>
      </c>
      <c r="V29" s="156">
        <v>0</v>
      </c>
      <c r="W29" s="200">
        <v>0</v>
      </c>
      <c r="AA29" s="544"/>
      <c r="AB29" s="196" t="s">
        <v>142</v>
      </c>
      <c r="AC29" s="156">
        <v>0</v>
      </c>
      <c r="AD29" s="156">
        <v>0</v>
      </c>
      <c r="AE29" s="156">
        <v>0</v>
      </c>
      <c r="AF29" s="156">
        <v>0</v>
      </c>
      <c r="AG29" s="156">
        <v>0</v>
      </c>
      <c r="AH29" s="156">
        <v>0</v>
      </c>
      <c r="AI29" s="156">
        <v>0</v>
      </c>
      <c r="AJ29" s="156">
        <v>0</v>
      </c>
      <c r="AK29" s="156">
        <v>0</v>
      </c>
      <c r="AL29" s="156">
        <v>0</v>
      </c>
      <c r="AM29" s="156">
        <v>0</v>
      </c>
      <c r="AN29" s="156">
        <v>0</v>
      </c>
      <c r="AO29" s="156">
        <v>0</v>
      </c>
      <c r="AP29" s="156">
        <v>0</v>
      </c>
      <c r="AQ29" s="156">
        <v>0</v>
      </c>
      <c r="AR29" s="156">
        <v>0</v>
      </c>
      <c r="AS29" s="156">
        <v>0</v>
      </c>
      <c r="AT29" s="156">
        <v>0</v>
      </c>
      <c r="AU29" s="156">
        <v>0</v>
      </c>
      <c r="AV29" s="156">
        <v>0</v>
      </c>
      <c r="AW29" s="200">
        <v>0</v>
      </c>
      <c r="BF29" s="538"/>
      <c r="BG29" s="363" t="s">
        <v>142</v>
      </c>
      <c r="BH29" s="385">
        <v>2.1128417995012821E-5</v>
      </c>
      <c r="BI29" s="385">
        <v>2.3880323816393735E-5</v>
      </c>
      <c r="BJ29" s="385">
        <v>1.7802181464838592E-5</v>
      </c>
      <c r="BK29" s="385">
        <v>2.9514171411386491E-5</v>
      </c>
      <c r="BL29" s="385">
        <v>1.654683914814455E-5</v>
      </c>
      <c r="BM29" s="386">
        <v>1.7146661748779978E-5</v>
      </c>
      <c r="BN29" s="386">
        <v>1.8616236412154875E-4</v>
      </c>
      <c r="BO29" s="386">
        <v>2.1528764327679068E-4</v>
      </c>
      <c r="BP29" s="385">
        <v>2.0337616177624592E-5</v>
      </c>
      <c r="BQ29" s="385">
        <v>1.8492428771189969E-5</v>
      </c>
      <c r="BR29" s="385">
        <v>1.7494267864803803E-5</v>
      </c>
      <c r="BS29" s="385">
        <v>2.3845745695955521E-5</v>
      </c>
      <c r="BT29" s="385">
        <v>1.7338045325234718E-5</v>
      </c>
      <c r="BU29" s="385">
        <v>1.6574360653410288E-5</v>
      </c>
      <c r="BV29" s="385">
        <v>1.70112161001612E-5</v>
      </c>
      <c r="BW29" s="385">
        <v>1.7346373883728793E-5</v>
      </c>
      <c r="BX29" s="385">
        <v>1.7722069795291011E-5</v>
      </c>
      <c r="BY29" s="385">
        <v>1.7908009382304123E-5</v>
      </c>
      <c r="BZ29" s="385">
        <v>1.6510368722467668E-5</v>
      </c>
      <c r="CA29" s="385">
        <v>1.6618472936932684E-5</v>
      </c>
      <c r="CB29" s="385">
        <v>0</v>
      </c>
      <c r="DA29" s="538"/>
      <c r="DB29" s="363" t="s">
        <v>142</v>
      </c>
      <c r="DC29" s="385">
        <v>-3.3820252618246394E-2</v>
      </c>
      <c r="DD29" s="385">
        <v>-4.6549701222179385E-2</v>
      </c>
      <c r="DE29" s="385">
        <v>-4.3224489636403352E-2</v>
      </c>
      <c r="DF29" s="385">
        <v>-5.0972728749136609E-2</v>
      </c>
      <c r="DG29" s="385">
        <v>-4.6742847608496896E-2</v>
      </c>
      <c r="DH29" s="386">
        <v>-7.2298395768551238E-2</v>
      </c>
      <c r="DI29" s="386">
        <v>-7.2298395768551238E-2</v>
      </c>
      <c r="DJ29" s="386">
        <v>-7.2298395768551238E-2</v>
      </c>
      <c r="DK29" s="386">
        <v>-2.5206485902297238E-2</v>
      </c>
      <c r="DL29" s="386">
        <v>-4.7590026393474205E-2</v>
      </c>
      <c r="DM29" s="385">
        <v>-4.684932445805845E-2</v>
      </c>
      <c r="DN29" s="385">
        <v>-3.5261675647576651E-2</v>
      </c>
      <c r="DO29" s="385">
        <v>-3.6163537080085795E-2</v>
      </c>
      <c r="DP29" s="385">
        <v>-4.6737702795690339E-2</v>
      </c>
      <c r="DQ29" s="385">
        <v>-3.1986480078468715E-2</v>
      </c>
      <c r="DR29" s="385">
        <v>-3.6687727898270794E-2</v>
      </c>
      <c r="DS29" s="385">
        <v>-4.1310455221298059E-2</v>
      </c>
      <c r="DT29" s="385">
        <v>-3.6696361084632034E-2</v>
      </c>
      <c r="DU29" s="385">
        <v>-4.9028190751710832E-2</v>
      </c>
      <c r="DV29" s="385">
        <v>-4.6531543403152575E-2</v>
      </c>
      <c r="DW29" s="385">
        <v>0</v>
      </c>
    </row>
    <row r="30" spans="1:127" ht="14.25" customHeight="1">
      <c r="A30" s="544"/>
      <c r="B30" s="196" t="s">
        <v>143</v>
      </c>
      <c r="C30" s="156">
        <v>0</v>
      </c>
      <c r="D30" s="156">
        <v>0</v>
      </c>
      <c r="E30" s="156">
        <v>0</v>
      </c>
      <c r="F30" s="156">
        <v>0</v>
      </c>
      <c r="G30" s="156">
        <v>0</v>
      </c>
      <c r="H30" s="156">
        <v>0</v>
      </c>
      <c r="I30" s="156">
        <v>0</v>
      </c>
      <c r="J30" s="156">
        <v>0</v>
      </c>
      <c r="K30" s="156">
        <v>0</v>
      </c>
      <c r="L30" s="156">
        <v>0</v>
      </c>
      <c r="M30" s="156">
        <v>0</v>
      </c>
      <c r="N30" s="156">
        <v>0</v>
      </c>
      <c r="O30" s="156">
        <v>0</v>
      </c>
      <c r="P30" s="156">
        <v>0</v>
      </c>
      <c r="Q30" s="156">
        <v>0</v>
      </c>
      <c r="R30" s="156">
        <v>0</v>
      </c>
      <c r="S30" s="156">
        <v>0</v>
      </c>
      <c r="T30" s="156">
        <v>0</v>
      </c>
      <c r="U30" s="156">
        <v>0</v>
      </c>
      <c r="V30" s="156">
        <v>0</v>
      </c>
      <c r="W30" s="200">
        <v>0</v>
      </c>
      <c r="AA30" s="544"/>
      <c r="AB30" s="196" t="s">
        <v>143</v>
      </c>
      <c r="AC30" s="156">
        <v>0</v>
      </c>
      <c r="AD30" s="156">
        <v>0</v>
      </c>
      <c r="AE30" s="156">
        <v>0</v>
      </c>
      <c r="AF30" s="156">
        <v>0</v>
      </c>
      <c r="AG30" s="156">
        <v>0</v>
      </c>
      <c r="AH30" s="156">
        <v>0</v>
      </c>
      <c r="AI30" s="156">
        <v>0</v>
      </c>
      <c r="AJ30" s="156">
        <v>0</v>
      </c>
      <c r="AK30" s="156">
        <v>0</v>
      </c>
      <c r="AL30" s="156">
        <v>0</v>
      </c>
      <c r="AM30" s="156">
        <v>0</v>
      </c>
      <c r="AN30" s="156">
        <v>0</v>
      </c>
      <c r="AO30" s="156">
        <v>0</v>
      </c>
      <c r="AP30" s="156">
        <v>0</v>
      </c>
      <c r="AQ30" s="156">
        <v>0</v>
      </c>
      <c r="AR30" s="156">
        <v>0</v>
      </c>
      <c r="AS30" s="156">
        <v>0</v>
      </c>
      <c r="AT30" s="156">
        <v>0</v>
      </c>
      <c r="AU30" s="156">
        <v>0</v>
      </c>
      <c r="AV30" s="156">
        <v>0</v>
      </c>
      <c r="AW30" s="200">
        <v>0</v>
      </c>
      <c r="BF30" s="538"/>
      <c r="BG30" s="363" t="s">
        <v>143</v>
      </c>
      <c r="BH30" s="385">
        <v>0</v>
      </c>
      <c r="BI30" s="385">
        <v>0</v>
      </c>
      <c r="BJ30" s="385">
        <v>0</v>
      </c>
      <c r="BK30" s="385">
        <v>0</v>
      </c>
      <c r="BL30" s="385">
        <v>0</v>
      </c>
      <c r="BM30" s="386">
        <v>0</v>
      </c>
      <c r="BN30" s="386">
        <v>0</v>
      </c>
      <c r="BO30" s="386">
        <v>0</v>
      </c>
      <c r="BP30" s="385">
        <v>0</v>
      </c>
      <c r="BQ30" s="385">
        <v>0</v>
      </c>
      <c r="BR30" s="385">
        <v>0</v>
      </c>
      <c r="BS30" s="385">
        <v>0</v>
      </c>
      <c r="BT30" s="385">
        <v>0</v>
      </c>
      <c r="BU30" s="385">
        <v>0</v>
      </c>
      <c r="BV30" s="385">
        <v>0</v>
      </c>
      <c r="BW30" s="385">
        <v>0</v>
      </c>
      <c r="BX30" s="385">
        <v>0</v>
      </c>
      <c r="BY30" s="385">
        <v>0</v>
      </c>
      <c r="BZ30" s="385">
        <v>0</v>
      </c>
      <c r="CA30" s="385">
        <v>0</v>
      </c>
      <c r="CB30" s="385">
        <v>0</v>
      </c>
      <c r="CC30"/>
      <c r="DA30" s="538"/>
      <c r="DB30" s="363" t="s">
        <v>143</v>
      </c>
      <c r="DC30" s="385">
        <v>-3.3820252618246394E-2</v>
      </c>
      <c r="DD30" s="385">
        <v>-4.6549701222179385E-2</v>
      </c>
      <c r="DE30" s="385">
        <v>-4.3224489636403352E-2</v>
      </c>
      <c r="DF30" s="385">
        <v>-5.0972728749136609E-2</v>
      </c>
      <c r="DG30" s="385">
        <v>-4.6742847608496896E-2</v>
      </c>
      <c r="DH30" s="386">
        <v>-7.2298395768551238E-2</v>
      </c>
      <c r="DI30" s="386">
        <v>-7.2298395768551238E-2</v>
      </c>
      <c r="DJ30" s="386">
        <v>-7.2298395768551238E-2</v>
      </c>
      <c r="DK30" s="386">
        <v>-2.5206485902297238E-2</v>
      </c>
      <c r="DL30" s="386">
        <v>-4.7590026393474205E-2</v>
      </c>
      <c r="DM30" s="385">
        <v>-4.684932445805845E-2</v>
      </c>
      <c r="DN30" s="385">
        <v>-3.5261675647576651E-2</v>
      </c>
      <c r="DO30" s="385">
        <v>-3.6163537080085795E-2</v>
      </c>
      <c r="DP30" s="385">
        <v>-4.6737702795690339E-2</v>
      </c>
      <c r="DQ30" s="385">
        <v>-3.1986480078468715E-2</v>
      </c>
      <c r="DR30" s="385">
        <v>-3.6687727898270794E-2</v>
      </c>
      <c r="DS30" s="385">
        <v>-4.1310455221298059E-2</v>
      </c>
      <c r="DT30" s="385">
        <v>-3.6696361084632034E-2</v>
      </c>
      <c r="DU30" s="385">
        <v>-4.9028190751710832E-2</v>
      </c>
      <c r="DV30" s="385">
        <v>-4.6531543403152575E-2</v>
      </c>
      <c r="DW30" s="385">
        <v>0</v>
      </c>
    </row>
    <row r="31" spans="1:127" ht="14.25" customHeight="1">
      <c r="A31" s="544"/>
      <c r="B31" s="196" t="s">
        <v>144</v>
      </c>
      <c r="C31" s="156">
        <v>0</v>
      </c>
      <c r="D31" s="156">
        <v>0</v>
      </c>
      <c r="E31" s="156">
        <v>0</v>
      </c>
      <c r="F31" s="156">
        <v>0</v>
      </c>
      <c r="G31" s="156">
        <v>0</v>
      </c>
      <c r="H31" s="156">
        <v>0</v>
      </c>
      <c r="I31" s="156">
        <v>0</v>
      </c>
      <c r="J31" s="156">
        <v>0</v>
      </c>
      <c r="K31" s="156">
        <v>0</v>
      </c>
      <c r="L31" s="156">
        <v>0</v>
      </c>
      <c r="M31" s="156">
        <v>0</v>
      </c>
      <c r="N31" s="156">
        <v>0</v>
      </c>
      <c r="O31" s="156">
        <v>0</v>
      </c>
      <c r="P31" s="156">
        <v>0</v>
      </c>
      <c r="Q31" s="156">
        <v>0</v>
      </c>
      <c r="R31" s="156">
        <v>0</v>
      </c>
      <c r="S31" s="156">
        <v>0</v>
      </c>
      <c r="T31" s="156">
        <v>0</v>
      </c>
      <c r="U31" s="156">
        <v>0</v>
      </c>
      <c r="V31" s="156">
        <v>0</v>
      </c>
      <c r="W31" s="200">
        <v>0</v>
      </c>
      <c r="AA31" s="544"/>
      <c r="AB31" s="196" t="s">
        <v>144</v>
      </c>
      <c r="AC31" s="156">
        <v>0</v>
      </c>
      <c r="AD31" s="156">
        <v>0</v>
      </c>
      <c r="AE31" s="156">
        <v>0</v>
      </c>
      <c r="AF31" s="156">
        <v>0</v>
      </c>
      <c r="AG31" s="156">
        <v>0</v>
      </c>
      <c r="AH31" s="156">
        <v>0</v>
      </c>
      <c r="AI31" s="156">
        <v>0</v>
      </c>
      <c r="AJ31" s="156">
        <v>0</v>
      </c>
      <c r="AK31" s="156">
        <v>0</v>
      </c>
      <c r="AL31" s="156">
        <v>0</v>
      </c>
      <c r="AM31" s="156">
        <v>0</v>
      </c>
      <c r="AN31" s="156">
        <v>0</v>
      </c>
      <c r="AO31" s="156">
        <v>0</v>
      </c>
      <c r="AP31" s="156">
        <v>0</v>
      </c>
      <c r="AQ31" s="156">
        <v>0</v>
      </c>
      <c r="AR31" s="156">
        <v>0</v>
      </c>
      <c r="AS31" s="156">
        <v>0</v>
      </c>
      <c r="AT31" s="156">
        <v>0</v>
      </c>
      <c r="AU31" s="156">
        <v>0</v>
      </c>
      <c r="AV31" s="156">
        <v>0</v>
      </c>
      <c r="AW31" s="200">
        <v>0</v>
      </c>
      <c r="BF31" s="538"/>
      <c r="BG31" s="363" t="s">
        <v>144</v>
      </c>
      <c r="BH31" s="385">
        <v>0</v>
      </c>
      <c r="BI31" s="385">
        <v>0</v>
      </c>
      <c r="BJ31" s="385">
        <v>0</v>
      </c>
      <c r="BK31" s="385">
        <v>0</v>
      </c>
      <c r="BL31" s="385">
        <v>0</v>
      </c>
      <c r="BM31" s="386">
        <v>0</v>
      </c>
      <c r="BN31" s="386">
        <v>0</v>
      </c>
      <c r="BO31" s="386">
        <v>0</v>
      </c>
      <c r="BP31" s="385">
        <v>0</v>
      </c>
      <c r="BQ31" s="385">
        <v>0</v>
      </c>
      <c r="BR31" s="385">
        <v>0</v>
      </c>
      <c r="BS31" s="385">
        <v>0</v>
      </c>
      <c r="BT31" s="385">
        <v>0</v>
      </c>
      <c r="BU31" s="385">
        <v>0</v>
      </c>
      <c r="BV31" s="385">
        <v>0</v>
      </c>
      <c r="BW31" s="385">
        <v>0</v>
      </c>
      <c r="BX31" s="385">
        <v>0</v>
      </c>
      <c r="BY31" s="385">
        <v>0</v>
      </c>
      <c r="BZ31" s="385">
        <v>0</v>
      </c>
      <c r="CA31" s="385">
        <v>0</v>
      </c>
      <c r="CB31" s="385">
        <v>0</v>
      </c>
      <c r="CC31"/>
      <c r="DA31" s="538"/>
      <c r="DB31" s="363" t="s">
        <v>144</v>
      </c>
      <c r="DC31" s="385">
        <v>-3.3820252618246394E-2</v>
      </c>
      <c r="DD31" s="385">
        <v>-4.6549701222179385E-2</v>
      </c>
      <c r="DE31" s="385">
        <v>-4.3224489636403352E-2</v>
      </c>
      <c r="DF31" s="385">
        <v>-5.0972728749136609E-2</v>
      </c>
      <c r="DG31" s="385">
        <v>-4.6742847608496896E-2</v>
      </c>
      <c r="DH31" s="386">
        <v>-7.2298395768551238E-2</v>
      </c>
      <c r="DI31" s="386">
        <v>-7.2298395768551238E-2</v>
      </c>
      <c r="DJ31" s="386">
        <v>-7.2298395768551238E-2</v>
      </c>
      <c r="DK31" s="386">
        <v>-2.5206485902297238E-2</v>
      </c>
      <c r="DL31" s="386">
        <v>-4.7590026393474205E-2</v>
      </c>
      <c r="DM31" s="385">
        <v>-4.684932445805845E-2</v>
      </c>
      <c r="DN31" s="385">
        <v>-3.5261675647576651E-2</v>
      </c>
      <c r="DO31" s="385">
        <v>-3.6163537080085795E-2</v>
      </c>
      <c r="DP31" s="385">
        <v>-4.6737702795690339E-2</v>
      </c>
      <c r="DQ31" s="385">
        <v>-3.1986480078468715E-2</v>
      </c>
      <c r="DR31" s="385">
        <v>-3.6687727898270794E-2</v>
      </c>
      <c r="DS31" s="385">
        <v>-4.1310455221298059E-2</v>
      </c>
      <c r="DT31" s="385">
        <v>-3.6696361084632034E-2</v>
      </c>
      <c r="DU31" s="385">
        <v>-4.9028190751710832E-2</v>
      </c>
      <c r="DV31" s="385">
        <v>-4.6531543403152575E-2</v>
      </c>
      <c r="DW31" s="385">
        <v>0</v>
      </c>
    </row>
    <row r="32" spans="1:127" ht="14.25" customHeight="1">
      <c r="A32" s="544"/>
      <c r="B32" s="196" t="s">
        <v>61</v>
      </c>
      <c r="C32" s="156">
        <v>0</v>
      </c>
      <c r="D32" s="156">
        <v>0</v>
      </c>
      <c r="E32" s="156">
        <v>0</v>
      </c>
      <c r="F32" s="156">
        <v>0</v>
      </c>
      <c r="G32" s="156">
        <v>0</v>
      </c>
      <c r="H32" s="156">
        <v>0</v>
      </c>
      <c r="I32" s="156">
        <v>0</v>
      </c>
      <c r="J32" s="156">
        <v>0</v>
      </c>
      <c r="K32" s="156">
        <v>0</v>
      </c>
      <c r="L32" s="156">
        <v>0</v>
      </c>
      <c r="M32" s="156">
        <v>0</v>
      </c>
      <c r="N32" s="156">
        <v>0</v>
      </c>
      <c r="O32" s="156">
        <v>0</v>
      </c>
      <c r="P32" s="156">
        <v>0</v>
      </c>
      <c r="Q32" s="156">
        <v>0</v>
      </c>
      <c r="R32" s="156">
        <v>0</v>
      </c>
      <c r="S32" s="156">
        <v>0</v>
      </c>
      <c r="T32" s="156">
        <v>0</v>
      </c>
      <c r="U32" s="156">
        <v>0</v>
      </c>
      <c r="V32" s="156">
        <v>0</v>
      </c>
      <c r="W32" s="200">
        <v>0</v>
      </c>
      <c r="AA32" s="544"/>
      <c r="AB32" s="196" t="s">
        <v>61</v>
      </c>
      <c r="AC32" s="156">
        <v>0</v>
      </c>
      <c r="AD32" s="156">
        <v>0</v>
      </c>
      <c r="AE32" s="156">
        <v>0</v>
      </c>
      <c r="AF32" s="156">
        <v>0</v>
      </c>
      <c r="AG32" s="156">
        <v>0</v>
      </c>
      <c r="AH32" s="156">
        <v>0</v>
      </c>
      <c r="AI32" s="156">
        <v>0</v>
      </c>
      <c r="AJ32" s="156">
        <v>0</v>
      </c>
      <c r="AK32" s="156">
        <v>0</v>
      </c>
      <c r="AL32" s="156">
        <v>0</v>
      </c>
      <c r="AM32" s="156">
        <v>0</v>
      </c>
      <c r="AN32" s="156">
        <v>0</v>
      </c>
      <c r="AO32" s="156">
        <v>0</v>
      </c>
      <c r="AP32" s="156">
        <v>0</v>
      </c>
      <c r="AQ32" s="156">
        <v>0</v>
      </c>
      <c r="AR32" s="156">
        <v>0</v>
      </c>
      <c r="AS32" s="156">
        <v>0</v>
      </c>
      <c r="AT32" s="156">
        <v>0</v>
      </c>
      <c r="AU32" s="156">
        <v>0</v>
      </c>
      <c r="AV32" s="156">
        <v>0</v>
      </c>
      <c r="AW32" s="200">
        <v>0</v>
      </c>
      <c r="BF32" s="538"/>
      <c r="BG32" s="363" t="s">
        <v>61</v>
      </c>
      <c r="BH32" s="385">
        <v>1.2346897091929021E-6</v>
      </c>
      <c r="BI32" s="385">
        <v>1.221113608040253E-6</v>
      </c>
      <c r="BJ32" s="385">
        <v>1.0636381152948159E-6</v>
      </c>
      <c r="BK32" s="385">
        <v>2.4028958010426949E-6</v>
      </c>
      <c r="BL32" s="385">
        <v>9.8597868161281714E-7</v>
      </c>
      <c r="BM32" s="386">
        <v>1.4649922278147449E-6</v>
      </c>
      <c r="BN32" s="386">
        <v>1.4649922278147449E-6</v>
      </c>
      <c r="BO32" s="386">
        <v>1.4649922278147449E-6</v>
      </c>
      <c r="BP32" s="385">
        <v>1.1103020219500679E-6</v>
      </c>
      <c r="BQ32" s="385">
        <v>1.093601035084359E-6</v>
      </c>
      <c r="BR32" s="385">
        <v>1.156071679307904E-6</v>
      </c>
      <c r="BS32" s="385">
        <v>1.378146989313704E-6</v>
      </c>
      <c r="BT32" s="385">
        <v>1.1662254264503859E-6</v>
      </c>
      <c r="BU32" s="385">
        <v>1.1012418948043911E-6</v>
      </c>
      <c r="BV32" s="385">
        <v>1.132210398028682E-6</v>
      </c>
      <c r="BW32" s="385">
        <v>1.0541500230209239E-6</v>
      </c>
      <c r="BX32" s="385">
        <v>1.114057027356788E-6</v>
      </c>
      <c r="BY32" s="385">
        <v>1.2210630668742201E-6</v>
      </c>
      <c r="BZ32" s="385">
        <v>1.1387802642831011E-6</v>
      </c>
      <c r="CA32" s="385">
        <v>1.1048470209922471E-6</v>
      </c>
      <c r="CB32" s="385">
        <v>0</v>
      </c>
      <c r="CC32"/>
      <c r="DA32" s="538"/>
      <c r="DB32" s="363" t="s">
        <v>61</v>
      </c>
      <c r="DC32" s="385">
        <v>-2.5519511953422613E-2</v>
      </c>
      <c r="DD32" s="385">
        <v>-4.7359087737314898E-2</v>
      </c>
      <c r="DE32" s="385">
        <v>-4.1622167510923624E-2</v>
      </c>
      <c r="DF32" s="385">
        <v>-1.5801542390124657E-2</v>
      </c>
      <c r="DG32" s="385">
        <v>-4.0557978352974033E-2</v>
      </c>
      <c r="DH32" s="386">
        <v>-4.5138480056497121E-2</v>
      </c>
      <c r="DI32" s="386">
        <v>-4.5138480056497121E-2</v>
      </c>
      <c r="DJ32" s="386">
        <v>-4.5138480056497121E-2</v>
      </c>
      <c r="DK32" s="386">
        <v>-7.4683321312743689E-2</v>
      </c>
      <c r="DL32" s="386">
        <v>-3.9445823510075972E-2</v>
      </c>
      <c r="DM32" s="385">
        <v>-4.2364686150034858E-2</v>
      </c>
      <c r="DN32" s="385">
        <v>-2.0992738214039353E-2</v>
      </c>
      <c r="DO32" s="385">
        <v>-3.5834982421621864E-2</v>
      </c>
      <c r="DP32" s="385">
        <v>-6.0621198686141131E-2</v>
      </c>
      <c r="DQ32" s="385">
        <v>-3.6923474996171879E-2</v>
      </c>
      <c r="DR32" s="385">
        <v>-4.1689129598306729E-2</v>
      </c>
      <c r="DS32" s="385">
        <v>-4.4863291904543967E-2</v>
      </c>
      <c r="DT32" s="385">
        <v>-3.6936026509269304E-2</v>
      </c>
      <c r="DU32" s="385">
        <v>-4.7441029718646499E-2</v>
      </c>
      <c r="DV32" s="385">
        <v>-4.7951590182054082E-2</v>
      </c>
      <c r="DW32" s="385">
        <v>0</v>
      </c>
    </row>
    <row r="33" spans="1:127" ht="14.25" customHeight="1">
      <c r="A33" s="544"/>
      <c r="B33" s="196" t="s">
        <v>63</v>
      </c>
      <c r="C33" s="156">
        <v>0</v>
      </c>
      <c r="D33" s="156">
        <v>0</v>
      </c>
      <c r="E33" s="156">
        <v>0</v>
      </c>
      <c r="F33" s="156">
        <v>0</v>
      </c>
      <c r="G33" s="156">
        <v>0</v>
      </c>
      <c r="H33" s="156">
        <v>0</v>
      </c>
      <c r="I33" s="156">
        <v>0</v>
      </c>
      <c r="J33" s="156">
        <v>0</v>
      </c>
      <c r="K33" s="156">
        <v>0</v>
      </c>
      <c r="L33" s="156">
        <v>0</v>
      </c>
      <c r="M33" s="156">
        <v>0</v>
      </c>
      <c r="N33" s="156">
        <v>0</v>
      </c>
      <c r="O33" s="156">
        <v>0</v>
      </c>
      <c r="P33" s="156">
        <v>0</v>
      </c>
      <c r="Q33" s="156">
        <v>0</v>
      </c>
      <c r="R33" s="156">
        <v>0</v>
      </c>
      <c r="S33" s="156">
        <v>0</v>
      </c>
      <c r="T33" s="156">
        <v>0</v>
      </c>
      <c r="U33" s="156">
        <v>0</v>
      </c>
      <c r="V33" s="156">
        <v>0</v>
      </c>
      <c r="W33" s="200">
        <v>0</v>
      </c>
      <c r="AA33" s="544"/>
      <c r="AB33" s="196" t="s">
        <v>63</v>
      </c>
      <c r="AC33" s="156">
        <v>0</v>
      </c>
      <c r="AD33" s="156">
        <v>0</v>
      </c>
      <c r="AE33" s="156">
        <v>0</v>
      </c>
      <c r="AF33" s="156">
        <v>0</v>
      </c>
      <c r="AG33" s="156">
        <v>0</v>
      </c>
      <c r="AH33" s="156">
        <v>0</v>
      </c>
      <c r="AI33" s="156">
        <v>0</v>
      </c>
      <c r="AJ33" s="156">
        <v>0</v>
      </c>
      <c r="AK33" s="156">
        <v>0</v>
      </c>
      <c r="AL33" s="156">
        <v>0</v>
      </c>
      <c r="AM33" s="156">
        <v>0</v>
      </c>
      <c r="AN33" s="156">
        <v>0</v>
      </c>
      <c r="AO33" s="156">
        <v>0</v>
      </c>
      <c r="AP33" s="156">
        <v>0</v>
      </c>
      <c r="AQ33" s="156">
        <v>0</v>
      </c>
      <c r="AR33" s="156">
        <v>0</v>
      </c>
      <c r="AS33" s="156">
        <v>0</v>
      </c>
      <c r="AT33" s="156">
        <v>0</v>
      </c>
      <c r="AU33" s="156">
        <v>0</v>
      </c>
      <c r="AV33" s="156">
        <v>0</v>
      </c>
      <c r="AW33" s="200">
        <v>0</v>
      </c>
      <c r="BF33" s="538"/>
      <c r="BG33" s="363" t="s">
        <v>63</v>
      </c>
      <c r="BH33" s="385">
        <v>1.2997714064721809E-7</v>
      </c>
      <c r="BI33" s="385">
        <v>1.495220821108716E-7</v>
      </c>
      <c r="BJ33" s="385">
        <v>1.098161778970498E-7</v>
      </c>
      <c r="BK33" s="385">
        <v>2.4542325866779098E-7</v>
      </c>
      <c r="BL33" s="385">
        <v>9.4822139559273278E-8</v>
      </c>
      <c r="BM33" s="386">
        <v>1.8624090296665099E-7</v>
      </c>
      <c r="BN33" s="386">
        <v>1.8624090296665099E-7</v>
      </c>
      <c r="BO33" s="386">
        <v>1.8624090296665099E-7</v>
      </c>
      <c r="BP33" s="385">
        <v>1.3043634446325401E-7</v>
      </c>
      <c r="BQ33" s="385">
        <v>1.4973046006162271E-7</v>
      </c>
      <c r="BR33" s="385">
        <v>1.2259049193072051E-7</v>
      </c>
      <c r="BS33" s="385">
        <v>1.5536315867582419E-7</v>
      </c>
      <c r="BT33" s="385">
        <v>1.2391205555083539E-7</v>
      </c>
      <c r="BU33" s="385">
        <v>1.1771980706574979E-7</v>
      </c>
      <c r="BV33" s="385">
        <v>1.179769433352699E-7</v>
      </c>
      <c r="BW33" s="385">
        <v>1.173433105273788E-7</v>
      </c>
      <c r="BX33" s="385">
        <v>1.17653976732704E-7</v>
      </c>
      <c r="BY33" s="385">
        <v>1.4258022265903309E-7</v>
      </c>
      <c r="BZ33" s="385">
        <v>1.2398506975712781E-7</v>
      </c>
      <c r="CA33" s="385">
        <v>1.082132831327193E-7</v>
      </c>
      <c r="CB33" s="385">
        <v>0</v>
      </c>
      <c r="CC33"/>
      <c r="CO33" s="69">
        <v>0</v>
      </c>
      <c r="CP33" s="69">
        <v>0</v>
      </c>
      <c r="CQ33" s="69">
        <v>0</v>
      </c>
      <c r="CR33" s="69">
        <v>0</v>
      </c>
      <c r="CS33" s="69">
        <v>0</v>
      </c>
      <c r="CT33" s="69">
        <v>0</v>
      </c>
      <c r="DA33" s="538"/>
      <c r="DB33" s="363" t="s">
        <v>63</v>
      </c>
      <c r="DC33" s="385">
        <v>-1.1921314943971306E-2</v>
      </c>
      <c r="DD33" s="385">
        <v>-3.0075627989891607E-2</v>
      </c>
      <c r="DE33" s="385">
        <v>-1.7733732852036055E-2</v>
      </c>
      <c r="DF33" s="385">
        <v>-3.6571985364986181E-2</v>
      </c>
      <c r="DG33" s="385">
        <v>-1.8087742103813809E-2</v>
      </c>
      <c r="DH33" s="386">
        <v>-3.7497325725741493E-2</v>
      </c>
      <c r="DI33" s="386">
        <v>-3.7497325725741493E-2</v>
      </c>
      <c r="DJ33" s="386">
        <v>-3.7497325725741493E-2</v>
      </c>
      <c r="DK33" s="386">
        <v>-1.8751176644647649E-2</v>
      </c>
      <c r="DL33" s="386">
        <v>-3.0821349594207237E-2</v>
      </c>
      <c r="DM33" s="385">
        <v>-2.4344334249220001E-2</v>
      </c>
      <c r="DN33" s="385">
        <v>-1.4317765836708296E-2</v>
      </c>
      <c r="DO33" s="385">
        <v>-1.4536500590218715E-2</v>
      </c>
      <c r="DP33" s="385">
        <v>-2.5447663909258345E-2</v>
      </c>
      <c r="DQ33" s="385">
        <v>-1.5576846094714103E-2</v>
      </c>
      <c r="DR33" s="385">
        <v>-1.8534242825013147E-2</v>
      </c>
      <c r="DS33" s="385">
        <v>-2.2176515426180377E-2</v>
      </c>
      <c r="DT33" s="385">
        <v>-1.61305913139419E-2</v>
      </c>
      <c r="DU33" s="385">
        <v>-3.9647400248221443E-2</v>
      </c>
      <c r="DV33" s="385">
        <v>-3.3818010497811857E-2</v>
      </c>
      <c r="DW33" s="385">
        <v>0</v>
      </c>
    </row>
    <row r="34" spans="1:127" ht="14.25" customHeight="1">
      <c r="A34" s="544"/>
      <c r="B34" s="196" t="s">
        <v>65</v>
      </c>
      <c r="C34" s="156">
        <v>0</v>
      </c>
      <c r="D34" s="156">
        <v>0</v>
      </c>
      <c r="E34" s="156">
        <v>0</v>
      </c>
      <c r="F34" s="156">
        <v>0</v>
      </c>
      <c r="G34" s="156">
        <v>0</v>
      </c>
      <c r="H34" s="156">
        <v>0</v>
      </c>
      <c r="I34" s="156">
        <v>0</v>
      </c>
      <c r="J34" s="156">
        <v>0</v>
      </c>
      <c r="K34" s="156">
        <v>0</v>
      </c>
      <c r="L34" s="156">
        <v>0</v>
      </c>
      <c r="M34" s="156">
        <v>0</v>
      </c>
      <c r="N34" s="156">
        <v>0</v>
      </c>
      <c r="O34" s="156">
        <v>0</v>
      </c>
      <c r="P34" s="156">
        <v>0</v>
      </c>
      <c r="Q34" s="156">
        <v>0</v>
      </c>
      <c r="R34" s="156">
        <v>0</v>
      </c>
      <c r="S34" s="156">
        <v>0</v>
      </c>
      <c r="T34" s="156">
        <v>0</v>
      </c>
      <c r="U34" s="156">
        <v>0</v>
      </c>
      <c r="V34" s="156">
        <v>0</v>
      </c>
      <c r="W34" s="200">
        <v>0</v>
      </c>
      <c r="AA34" s="544"/>
      <c r="AB34" s="196" t="s">
        <v>65</v>
      </c>
      <c r="AC34" s="156">
        <v>0</v>
      </c>
      <c r="AD34" s="156">
        <v>0</v>
      </c>
      <c r="AE34" s="156">
        <v>0</v>
      </c>
      <c r="AF34" s="156">
        <v>0</v>
      </c>
      <c r="AG34" s="156">
        <v>0</v>
      </c>
      <c r="AH34" s="156">
        <v>0</v>
      </c>
      <c r="AI34" s="156">
        <v>0</v>
      </c>
      <c r="AJ34" s="156">
        <v>0</v>
      </c>
      <c r="AK34" s="156">
        <v>0</v>
      </c>
      <c r="AL34" s="156">
        <v>0</v>
      </c>
      <c r="AM34" s="156">
        <v>0</v>
      </c>
      <c r="AN34" s="156">
        <v>0</v>
      </c>
      <c r="AO34" s="156">
        <v>0</v>
      </c>
      <c r="AP34" s="156">
        <v>0</v>
      </c>
      <c r="AQ34" s="156">
        <v>0</v>
      </c>
      <c r="AR34" s="156">
        <v>0</v>
      </c>
      <c r="AS34" s="156">
        <v>0</v>
      </c>
      <c r="AT34" s="156">
        <v>0</v>
      </c>
      <c r="AU34" s="156">
        <v>0</v>
      </c>
      <c r="AV34" s="156">
        <v>0</v>
      </c>
      <c r="AW34" s="200">
        <v>0</v>
      </c>
      <c r="BF34" s="538"/>
      <c r="BG34" s="363" t="s">
        <v>65</v>
      </c>
      <c r="BH34" s="385">
        <v>1.3796185159114119E-7</v>
      </c>
      <c r="BI34" s="385">
        <v>1.2605860415195159E-7</v>
      </c>
      <c r="BJ34" s="385">
        <v>1.3276851424361769E-7</v>
      </c>
      <c r="BK34" s="385">
        <v>1.120137321392665E-7</v>
      </c>
      <c r="BL34" s="385">
        <v>1.3012628725014531E-7</v>
      </c>
      <c r="BM34" s="386">
        <v>1.184436418195679E-7</v>
      </c>
      <c r="BN34" s="386">
        <v>1.184436418195679E-7</v>
      </c>
      <c r="BO34" s="386">
        <v>1.184436418195679E-7</v>
      </c>
      <c r="BP34" s="385">
        <v>1.25599352149213E-7</v>
      </c>
      <c r="BQ34" s="385">
        <v>1.271843018020269E-7</v>
      </c>
      <c r="BR34" s="385">
        <v>1.333359210897622E-7</v>
      </c>
      <c r="BS34" s="385">
        <v>1.246013960898753E-7</v>
      </c>
      <c r="BT34" s="385">
        <v>1.3877193755065869E-7</v>
      </c>
      <c r="BU34" s="385">
        <v>1.3051933287634009E-7</v>
      </c>
      <c r="BV34" s="385">
        <v>1.3342935302091841E-7</v>
      </c>
      <c r="BW34" s="385">
        <v>1.309577322605237E-7</v>
      </c>
      <c r="BX34" s="385">
        <v>1.305438894105114E-7</v>
      </c>
      <c r="BY34" s="385">
        <v>1.2797607328947241E-7</v>
      </c>
      <c r="BZ34" s="385">
        <v>1.306860422910198E-7</v>
      </c>
      <c r="CA34" s="385">
        <v>1.2963291862363529E-7</v>
      </c>
      <c r="CB34" s="385">
        <v>0</v>
      </c>
      <c r="CC34"/>
      <c r="CO34" s="69">
        <v>0</v>
      </c>
      <c r="CP34" s="69">
        <v>0</v>
      </c>
      <c r="CQ34" s="69">
        <v>0</v>
      </c>
      <c r="CR34" s="69">
        <v>0</v>
      </c>
      <c r="CS34" s="69">
        <v>0</v>
      </c>
      <c r="CT34" s="69">
        <v>0</v>
      </c>
      <c r="DA34" s="538"/>
      <c r="DB34" s="363" t="s">
        <v>65</v>
      </c>
      <c r="DC34" s="385">
        <v>-1.0795270226860554E-2</v>
      </c>
      <c r="DD34" s="385">
        <v>-1.4853572927870706E-2</v>
      </c>
      <c r="DE34" s="385">
        <v>-2.2714756609912623E-2</v>
      </c>
      <c r="DF34" s="385">
        <v>-2.1652499439028805E-2</v>
      </c>
      <c r="DG34" s="385">
        <v>-2.3656972758612338E-2</v>
      </c>
      <c r="DH34" s="386">
        <v>-1.9035977233127888E-2</v>
      </c>
      <c r="DI34" s="386">
        <v>-1.9035977233127888E-2</v>
      </c>
      <c r="DJ34" s="386">
        <v>-1.9035977233127888E-2</v>
      </c>
      <c r="DK34" s="386">
        <v>-6.5862421573477103E-3</v>
      </c>
      <c r="DL34" s="386">
        <v>-1.9069066749577646E-2</v>
      </c>
      <c r="DM34" s="385">
        <v>-1.4147403263774283E-2</v>
      </c>
      <c r="DN34" s="385">
        <v>-6.4048311992686013E-3</v>
      </c>
      <c r="DO34" s="385">
        <v>-9.5146041219882349E-3</v>
      </c>
      <c r="DP34" s="385">
        <v>-1.9273701666474463E-2</v>
      </c>
      <c r="DQ34" s="385">
        <v>-6.1569101652843017E-3</v>
      </c>
      <c r="DR34" s="385">
        <v>-8.5888566306978609E-3</v>
      </c>
      <c r="DS34" s="385">
        <v>-1.5427548850501349E-2</v>
      </c>
      <c r="DT34" s="385">
        <v>-8.0649950613314036E-3</v>
      </c>
      <c r="DU34" s="385">
        <v>-1.6270757737359975E-2</v>
      </c>
      <c r="DV34" s="385">
        <v>-2.1058417417933017E-2</v>
      </c>
      <c r="DW34" s="385">
        <v>0</v>
      </c>
    </row>
    <row r="35" spans="1:127" ht="14.25" customHeight="1">
      <c r="A35" s="544"/>
      <c r="B35" s="196" t="s">
        <v>67</v>
      </c>
      <c r="C35" s="156">
        <v>0</v>
      </c>
      <c r="D35" s="156">
        <v>0</v>
      </c>
      <c r="E35" s="156">
        <v>0</v>
      </c>
      <c r="F35" s="156">
        <v>0</v>
      </c>
      <c r="G35" s="156">
        <v>0</v>
      </c>
      <c r="H35" s="156">
        <v>0</v>
      </c>
      <c r="I35" s="156">
        <v>0</v>
      </c>
      <c r="J35" s="156">
        <v>0</v>
      </c>
      <c r="K35" s="156">
        <v>0</v>
      </c>
      <c r="L35" s="156">
        <v>0</v>
      </c>
      <c r="M35" s="156">
        <v>0</v>
      </c>
      <c r="N35" s="156">
        <v>0</v>
      </c>
      <c r="O35" s="156">
        <v>0</v>
      </c>
      <c r="P35" s="156">
        <v>0</v>
      </c>
      <c r="Q35" s="156">
        <v>0</v>
      </c>
      <c r="R35" s="156">
        <v>0</v>
      </c>
      <c r="S35" s="156">
        <v>0</v>
      </c>
      <c r="T35" s="156">
        <v>0</v>
      </c>
      <c r="U35" s="156">
        <v>0</v>
      </c>
      <c r="V35" s="156">
        <v>0</v>
      </c>
      <c r="W35" s="200">
        <v>0</v>
      </c>
      <c r="AA35" s="544"/>
      <c r="AB35" s="196" t="s">
        <v>67</v>
      </c>
      <c r="AC35" s="156">
        <v>0</v>
      </c>
      <c r="AD35" s="156">
        <v>0</v>
      </c>
      <c r="AE35" s="156">
        <v>0</v>
      </c>
      <c r="AF35" s="156">
        <v>0</v>
      </c>
      <c r="AG35" s="156">
        <v>0</v>
      </c>
      <c r="AH35" s="156">
        <v>0</v>
      </c>
      <c r="AI35" s="156">
        <v>0</v>
      </c>
      <c r="AJ35" s="156">
        <v>0</v>
      </c>
      <c r="AK35" s="156">
        <v>0</v>
      </c>
      <c r="AL35" s="156">
        <v>0</v>
      </c>
      <c r="AM35" s="156">
        <v>0</v>
      </c>
      <c r="AN35" s="156">
        <v>0</v>
      </c>
      <c r="AO35" s="156">
        <v>0</v>
      </c>
      <c r="AP35" s="156">
        <v>0</v>
      </c>
      <c r="AQ35" s="156">
        <v>0</v>
      </c>
      <c r="AR35" s="156">
        <v>0</v>
      </c>
      <c r="AS35" s="156">
        <v>0</v>
      </c>
      <c r="AT35" s="156">
        <v>0</v>
      </c>
      <c r="AU35" s="156">
        <v>0</v>
      </c>
      <c r="AV35" s="156">
        <v>0</v>
      </c>
      <c r="AW35" s="200">
        <v>0</v>
      </c>
      <c r="BF35" s="538"/>
      <c r="BG35" s="363" t="s">
        <v>67</v>
      </c>
      <c r="BH35" s="385">
        <v>2.7136116721942269E-6</v>
      </c>
      <c r="BI35" s="385">
        <v>3.3595815224324608E-6</v>
      </c>
      <c r="BJ35" s="385">
        <v>2.048699924154543E-6</v>
      </c>
      <c r="BK35" s="385">
        <v>6.4626901774703568E-6</v>
      </c>
      <c r="BL35" s="385">
        <v>1.7149215660104541E-6</v>
      </c>
      <c r="BM35" s="386">
        <v>3.735984536617391E-6</v>
      </c>
      <c r="BN35" s="386">
        <v>3.735984536617391E-6</v>
      </c>
      <c r="BO35" s="386">
        <v>3.735984536617391E-6</v>
      </c>
      <c r="BP35" s="385">
        <v>3.101255347231626E-6</v>
      </c>
      <c r="BQ35" s="385">
        <v>2.4238351742472509E-6</v>
      </c>
      <c r="BR35" s="385">
        <v>2.1214207327448079E-6</v>
      </c>
      <c r="BS35" s="385">
        <v>2.5440237584908218E-6</v>
      </c>
      <c r="BT35" s="385">
        <v>1.9711670865450209E-6</v>
      </c>
      <c r="BU35" s="385">
        <v>1.615795761660396E-6</v>
      </c>
      <c r="BV35" s="385">
        <v>1.0450026240935901E-6</v>
      </c>
      <c r="BW35" s="385">
        <v>1.730721113586034E-6</v>
      </c>
      <c r="BX35" s="385">
        <v>1.501277608159052E-6</v>
      </c>
      <c r="BY35" s="385">
        <v>1.6713117720582639E-6</v>
      </c>
      <c r="BZ35" s="385">
        <v>1.6985938278858919E-6</v>
      </c>
      <c r="CA35" s="385">
        <v>1.6340796093637629E-6</v>
      </c>
      <c r="CB35" s="385">
        <v>0</v>
      </c>
      <c r="CC35"/>
      <c r="CO35" s="69">
        <v>0</v>
      </c>
      <c r="CP35" s="69">
        <v>0</v>
      </c>
      <c r="CQ35" s="69">
        <v>0</v>
      </c>
      <c r="CR35" s="69">
        <v>0</v>
      </c>
      <c r="CS35" s="69">
        <v>0</v>
      </c>
      <c r="CT35" s="69">
        <v>0</v>
      </c>
      <c r="DA35" s="538"/>
      <c r="DB35" s="363" t="s">
        <v>67</v>
      </c>
      <c r="DC35" s="385">
        <v>-2.1881764891674593E-2</v>
      </c>
      <c r="DD35" s="385">
        <v>-4.5606018455653707E-2</v>
      </c>
      <c r="DE35" s="385">
        <v>-2.6094540036572744E-2</v>
      </c>
      <c r="DF35" s="385">
        <v>-3.5679011725911813E-2</v>
      </c>
      <c r="DG35" s="385">
        <v>-3.287166865081026E-2</v>
      </c>
      <c r="DH35" s="386">
        <v>-6.421537452473669E-2</v>
      </c>
      <c r="DI35" s="386">
        <v>-6.421537452473669E-2</v>
      </c>
      <c r="DJ35" s="386">
        <v>-6.421537452473669E-2</v>
      </c>
      <c r="DK35" s="386">
        <v>-1.0714708771885073E-2</v>
      </c>
      <c r="DL35" s="386">
        <v>-4.1478907604964421E-2</v>
      </c>
      <c r="DM35" s="385">
        <v>-4.606078785807588E-2</v>
      </c>
      <c r="DN35" s="385">
        <v>-8.5103634218256508E-3</v>
      </c>
      <c r="DO35" s="385">
        <v>-2.9412943935295699E-2</v>
      </c>
      <c r="DP35" s="385">
        <v>-4.3602851766034179E-2</v>
      </c>
      <c r="DQ35" s="385">
        <v>-2.7764334815685521E-2</v>
      </c>
      <c r="DR35" s="385">
        <v>-3.5954015649333315E-2</v>
      </c>
      <c r="DS35" s="385">
        <v>-3.4114112036015887E-2</v>
      </c>
      <c r="DT35" s="385">
        <v>-3.9389439104149382E-3</v>
      </c>
      <c r="DU35" s="385">
        <v>-5.8932506632658921E-2</v>
      </c>
      <c r="DV35" s="385">
        <v>-5.0132876542821836E-2</v>
      </c>
      <c r="DW35" s="385">
        <v>0</v>
      </c>
    </row>
    <row r="36" spans="1:127" ht="14.25" customHeight="1">
      <c r="A36" s="544"/>
      <c r="B36" s="196" t="s">
        <v>69</v>
      </c>
      <c r="C36" s="156">
        <v>0</v>
      </c>
      <c r="D36" s="156">
        <v>0</v>
      </c>
      <c r="E36" s="156">
        <v>0</v>
      </c>
      <c r="F36" s="156">
        <v>0</v>
      </c>
      <c r="G36" s="156">
        <v>0</v>
      </c>
      <c r="H36" s="156">
        <v>0</v>
      </c>
      <c r="I36" s="156">
        <v>0</v>
      </c>
      <c r="J36" s="156">
        <v>0</v>
      </c>
      <c r="K36" s="156">
        <v>0</v>
      </c>
      <c r="L36" s="156">
        <v>0</v>
      </c>
      <c r="M36" s="156">
        <v>0</v>
      </c>
      <c r="N36" s="156">
        <v>0</v>
      </c>
      <c r="O36" s="156">
        <v>0</v>
      </c>
      <c r="P36" s="156">
        <v>0</v>
      </c>
      <c r="Q36" s="156">
        <v>0</v>
      </c>
      <c r="R36" s="156">
        <v>0</v>
      </c>
      <c r="S36" s="156">
        <v>0</v>
      </c>
      <c r="T36" s="156">
        <v>0</v>
      </c>
      <c r="U36" s="156">
        <v>0</v>
      </c>
      <c r="V36" s="156">
        <v>0</v>
      </c>
      <c r="W36" s="200">
        <v>0</v>
      </c>
      <c r="AA36" s="544"/>
      <c r="AB36" s="196" t="s">
        <v>69</v>
      </c>
      <c r="AC36" s="156">
        <v>0</v>
      </c>
      <c r="AD36" s="156">
        <v>0</v>
      </c>
      <c r="AE36" s="156">
        <v>0</v>
      </c>
      <c r="AF36" s="156">
        <v>0</v>
      </c>
      <c r="AG36" s="156">
        <v>0</v>
      </c>
      <c r="AH36" s="156">
        <v>0</v>
      </c>
      <c r="AI36" s="156">
        <v>0</v>
      </c>
      <c r="AJ36" s="156">
        <v>0</v>
      </c>
      <c r="AK36" s="156">
        <v>0</v>
      </c>
      <c r="AL36" s="156">
        <v>0</v>
      </c>
      <c r="AM36" s="156">
        <v>0</v>
      </c>
      <c r="AN36" s="156">
        <v>0</v>
      </c>
      <c r="AO36" s="156">
        <v>0</v>
      </c>
      <c r="AP36" s="156">
        <v>0</v>
      </c>
      <c r="AQ36" s="156">
        <v>0</v>
      </c>
      <c r="AR36" s="156">
        <v>0</v>
      </c>
      <c r="AS36" s="156">
        <v>0</v>
      </c>
      <c r="AT36" s="156">
        <v>0</v>
      </c>
      <c r="AU36" s="156">
        <v>0</v>
      </c>
      <c r="AV36" s="156">
        <v>0</v>
      </c>
      <c r="AW36" s="200">
        <v>0</v>
      </c>
      <c r="BF36" s="538"/>
      <c r="BG36" s="363" t="s">
        <v>69</v>
      </c>
      <c r="BH36" s="385">
        <v>2.3642924975799121E-7</v>
      </c>
      <c r="BI36" s="385">
        <v>2.3543685242634139E-7</v>
      </c>
      <c r="BJ36" s="385">
        <v>2.4393195754120079E-7</v>
      </c>
      <c r="BK36" s="385">
        <v>2.4648256447293497E-7</v>
      </c>
      <c r="BL36" s="385">
        <v>2.4680415126756112E-7</v>
      </c>
      <c r="BM36" s="386">
        <v>2.375042470227777E-7</v>
      </c>
      <c r="BN36" s="386">
        <v>2.375042470227777E-7</v>
      </c>
      <c r="BO36" s="386">
        <v>2.375042470227777E-7</v>
      </c>
      <c r="BP36" s="385">
        <v>2.3300973256466001E-7</v>
      </c>
      <c r="BQ36" s="385">
        <v>2.3605521742967379E-7</v>
      </c>
      <c r="BR36" s="385">
        <v>2.254945619214815E-7</v>
      </c>
      <c r="BS36" s="385">
        <v>2.346107172333401E-7</v>
      </c>
      <c r="BT36" s="385">
        <v>2.2255960797421151E-7</v>
      </c>
      <c r="BU36" s="385">
        <v>2.3012067859148069E-7</v>
      </c>
      <c r="BV36" s="385">
        <v>2.2326074985997849E-7</v>
      </c>
      <c r="BW36" s="385">
        <v>2.280714894642553E-7</v>
      </c>
      <c r="BX36" s="385">
        <v>2.2818233723684489E-7</v>
      </c>
      <c r="BY36" s="385">
        <v>2.288236325978106E-7</v>
      </c>
      <c r="BZ36" s="385">
        <v>2.2586766203103101E-7</v>
      </c>
      <c r="CA36" s="385">
        <v>2.2624506765479649E-7</v>
      </c>
      <c r="CB36" s="385">
        <v>0</v>
      </c>
      <c r="CC36"/>
      <c r="DA36" s="538"/>
      <c r="DB36" s="363" t="s">
        <v>69</v>
      </c>
      <c r="DC36" s="385">
        <v>1.3650792845433024E-2</v>
      </c>
      <c r="DD36" s="385">
        <v>1.379872183183295E-2</v>
      </c>
      <c r="DE36" s="385">
        <v>4.308416037595908E-3</v>
      </c>
      <c r="DF36" s="385">
        <v>-5.9653465547626627E-3</v>
      </c>
      <c r="DG36" s="385">
        <v>5.9660140210240353E-3</v>
      </c>
      <c r="DH36" s="386">
        <v>9.3944359188191662E-4</v>
      </c>
      <c r="DI36" s="386">
        <v>9.3944359188191662E-4</v>
      </c>
      <c r="DJ36" s="386">
        <v>9.3944359188191662E-4</v>
      </c>
      <c r="DK36" s="386">
        <v>2.1398852540708946E-2</v>
      </c>
      <c r="DL36" s="386">
        <v>5.83332304243811E-3</v>
      </c>
      <c r="DM36" s="385">
        <v>9.8502220490119807E-3</v>
      </c>
      <c r="DN36" s="385">
        <v>2.2550802207703002E-2</v>
      </c>
      <c r="DO36" s="385">
        <v>1.3561885686151021E-2</v>
      </c>
      <c r="DP36" s="385">
        <v>6.6253191047100923E-3</v>
      </c>
      <c r="DQ36" s="385">
        <v>1.8478923438330019E-2</v>
      </c>
      <c r="DR36" s="385">
        <v>1.6434218961381086E-2</v>
      </c>
      <c r="DS36" s="385">
        <v>1.0921467130966978E-2</v>
      </c>
      <c r="DT36" s="385">
        <v>1.8501696124737954E-2</v>
      </c>
      <c r="DU36" s="385">
        <v>5.9116807263599469E-3</v>
      </c>
      <c r="DV36" s="385">
        <v>5.5343271005761085E-3</v>
      </c>
      <c r="DW36" s="385">
        <v>0</v>
      </c>
    </row>
    <row r="37" spans="1:127" ht="14.25" customHeight="1">
      <c r="A37" s="544"/>
      <c r="B37" s="196" t="s">
        <v>145</v>
      </c>
      <c r="C37" s="156">
        <v>0</v>
      </c>
      <c r="D37" s="156">
        <v>0</v>
      </c>
      <c r="E37" s="156">
        <v>0</v>
      </c>
      <c r="F37" s="156">
        <v>0</v>
      </c>
      <c r="G37" s="156">
        <v>0</v>
      </c>
      <c r="H37" s="156">
        <v>0</v>
      </c>
      <c r="I37" s="156">
        <v>0</v>
      </c>
      <c r="J37" s="156">
        <v>0</v>
      </c>
      <c r="K37" s="156">
        <v>0</v>
      </c>
      <c r="L37" s="156">
        <v>0</v>
      </c>
      <c r="M37" s="156">
        <v>0</v>
      </c>
      <c r="N37" s="156">
        <v>0</v>
      </c>
      <c r="O37" s="156">
        <v>0</v>
      </c>
      <c r="P37" s="156">
        <v>0</v>
      </c>
      <c r="Q37" s="156">
        <v>0</v>
      </c>
      <c r="R37" s="156">
        <v>0</v>
      </c>
      <c r="S37" s="156">
        <v>0</v>
      </c>
      <c r="T37" s="156">
        <v>0</v>
      </c>
      <c r="U37" s="156">
        <v>0</v>
      </c>
      <c r="V37" s="156">
        <v>0</v>
      </c>
      <c r="W37" s="200">
        <v>0</v>
      </c>
      <c r="AA37" s="544"/>
      <c r="AB37" s="196" t="s">
        <v>145</v>
      </c>
      <c r="AC37" s="156">
        <v>0</v>
      </c>
      <c r="AD37" s="156">
        <v>0</v>
      </c>
      <c r="AE37" s="156">
        <v>0</v>
      </c>
      <c r="AF37" s="156">
        <v>0</v>
      </c>
      <c r="AG37" s="156">
        <v>0</v>
      </c>
      <c r="AH37" s="156">
        <v>0</v>
      </c>
      <c r="AI37" s="156">
        <v>0</v>
      </c>
      <c r="AJ37" s="156">
        <v>0</v>
      </c>
      <c r="AK37" s="156">
        <v>0</v>
      </c>
      <c r="AL37" s="156">
        <v>0</v>
      </c>
      <c r="AM37" s="156">
        <v>0</v>
      </c>
      <c r="AN37" s="156">
        <v>0</v>
      </c>
      <c r="AO37" s="156">
        <v>0</v>
      </c>
      <c r="AP37" s="156">
        <v>0</v>
      </c>
      <c r="AQ37" s="156">
        <v>0</v>
      </c>
      <c r="AR37" s="156">
        <v>0</v>
      </c>
      <c r="AS37" s="156">
        <v>0</v>
      </c>
      <c r="AT37" s="156">
        <v>0</v>
      </c>
      <c r="AU37" s="156">
        <v>0</v>
      </c>
      <c r="AV37" s="156">
        <v>0</v>
      </c>
      <c r="AW37" s="200">
        <v>0</v>
      </c>
      <c r="BF37" s="538"/>
      <c r="BG37" s="363" t="s">
        <v>145</v>
      </c>
      <c r="BH37" s="385">
        <v>1.379183718130682E-7</v>
      </c>
      <c r="BI37" s="385">
        <v>1.3233098748585569E-7</v>
      </c>
      <c r="BJ37" s="385">
        <v>1.3366226238338079E-7</v>
      </c>
      <c r="BK37" s="385">
        <v>1.5127885518929309E-7</v>
      </c>
      <c r="BL37" s="385">
        <v>1.340854622812415E-7</v>
      </c>
      <c r="BM37" s="386">
        <v>1.2832151872092131E-7</v>
      </c>
      <c r="BN37" s="386">
        <v>1.2832151872092131E-7</v>
      </c>
      <c r="BO37" s="386">
        <v>1.2832151872092131E-7</v>
      </c>
      <c r="BP37" s="385">
        <v>1.2533687601386011E-7</v>
      </c>
      <c r="BQ37" s="385">
        <v>1.2823893490765069E-7</v>
      </c>
      <c r="BR37" s="385">
        <v>1.2613858480995269E-7</v>
      </c>
      <c r="BS37" s="385">
        <v>1.3079830451154569E-7</v>
      </c>
      <c r="BT37" s="385">
        <v>1.2664893248047809E-7</v>
      </c>
      <c r="BU37" s="385">
        <v>1.17118470041991E-7</v>
      </c>
      <c r="BV37" s="385">
        <v>9.983411640679508E-8</v>
      </c>
      <c r="BW37" s="385">
        <v>1.198516537307369E-7</v>
      </c>
      <c r="BX37" s="385">
        <v>1.222779486689393E-7</v>
      </c>
      <c r="BY37" s="385">
        <v>1.156303165096522E-7</v>
      </c>
      <c r="BZ37" s="385">
        <v>1.153208168837559E-7</v>
      </c>
      <c r="CA37" s="385">
        <v>1.2727003638903641E-7</v>
      </c>
      <c r="CB37" s="385">
        <v>0</v>
      </c>
      <c r="CC37"/>
      <c r="DA37" s="538"/>
      <c r="DB37" s="363" t="s">
        <v>145</v>
      </c>
      <c r="DC37" s="385">
        <v>-1.406865142006275E-2</v>
      </c>
      <c r="DD37" s="385">
        <v>-2.0338343450173824E-2</v>
      </c>
      <c r="DE37" s="385">
        <v>-2.0976069110950624E-2</v>
      </c>
      <c r="DF37" s="385">
        <v>-4.7666943152663954E-2</v>
      </c>
      <c r="DG37" s="385">
        <v>-2.2670271862359703E-2</v>
      </c>
      <c r="DH37" s="386">
        <v>-3.9628902819257239E-2</v>
      </c>
      <c r="DI37" s="386">
        <v>-3.9628902819257239E-2</v>
      </c>
      <c r="DJ37" s="386">
        <v>-3.9628902819257239E-2</v>
      </c>
      <c r="DK37" s="386">
        <v>-8.5114034655716653E-3</v>
      </c>
      <c r="DL37" s="386">
        <v>-1.9767549114034777E-2</v>
      </c>
      <c r="DM37" s="385">
        <v>-1.5014453030964936E-2</v>
      </c>
      <c r="DN37" s="385">
        <v>-1.0124229984390665E-2</v>
      </c>
      <c r="DO37" s="385">
        <v>-1.1169849676897159E-2</v>
      </c>
      <c r="DP37" s="385">
        <v>-1.7918497262497723E-2</v>
      </c>
      <c r="DQ37" s="385">
        <v>-1.8499299769364375E-2</v>
      </c>
      <c r="DR37" s="385">
        <v>-8.9997740930793935E-3</v>
      </c>
      <c r="DS37" s="385">
        <v>-1.4539900470078138E-2</v>
      </c>
      <c r="DT37" s="385">
        <v>-1.1128018252369087E-2</v>
      </c>
      <c r="DU37" s="385">
        <v>-2.154763806167681E-2</v>
      </c>
      <c r="DV37" s="385">
        <v>-2.0796240401821486E-2</v>
      </c>
      <c r="DW37" s="385">
        <v>0</v>
      </c>
    </row>
    <row r="38" spans="1:127" ht="14.25" customHeight="1">
      <c r="A38" s="544"/>
      <c r="B38" s="196" t="s">
        <v>73</v>
      </c>
      <c r="C38" s="156">
        <v>0</v>
      </c>
      <c r="D38" s="156">
        <v>0</v>
      </c>
      <c r="E38" s="156">
        <v>0</v>
      </c>
      <c r="F38" s="156">
        <v>0</v>
      </c>
      <c r="G38" s="156">
        <v>0</v>
      </c>
      <c r="H38" s="156">
        <v>0</v>
      </c>
      <c r="I38" s="156">
        <v>0</v>
      </c>
      <c r="J38" s="156">
        <v>0</v>
      </c>
      <c r="K38" s="156">
        <v>0</v>
      </c>
      <c r="L38" s="156">
        <v>0</v>
      </c>
      <c r="M38" s="156">
        <v>0</v>
      </c>
      <c r="N38" s="156">
        <v>0</v>
      </c>
      <c r="O38" s="156">
        <v>0</v>
      </c>
      <c r="P38" s="156">
        <v>0</v>
      </c>
      <c r="Q38" s="156">
        <v>0</v>
      </c>
      <c r="R38" s="156">
        <v>0</v>
      </c>
      <c r="S38" s="156">
        <v>0</v>
      </c>
      <c r="T38" s="156">
        <v>0</v>
      </c>
      <c r="U38" s="156">
        <v>0</v>
      </c>
      <c r="V38" s="156">
        <v>0</v>
      </c>
      <c r="W38" s="200">
        <v>0</v>
      </c>
      <c r="AA38" s="544"/>
      <c r="AB38" s="196" t="s">
        <v>73</v>
      </c>
      <c r="AC38" s="156">
        <v>0</v>
      </c>
      <c r="AD38" s="156">
        <v>0</v>
      </c>
      <c r="AE38" s="156">
        <v>0</v>
      </c>
      <c r="AF38" s="156">
        <v>0</v>
      </c>
      <c r="AG38" s="156">
        <v>0</v>
      </c>
      <c r="AH38" s="156">
        <v>0</v>
      </c>
      <c r="AI38" s="156">
        <v>0</v>
      </c>
      <c r="AJ38" s="156">
        <v>0</v>
      </c>
      <c r="AK38" s="156">
        <v>0</v>
      </c>
      <c r="AL38" s="156">
        <v>0</v>
      </c>
      <c r="AM38" s="156">
        <v>0</v>
      </c>
      <c r="AN38" s="156">
        <v>0</v>
      </c>
      <c r="AO38" s="156">
        <v>0</v>
      </c>
      <c r="AP38" s="156">
        <v>0</v>
      </c>
      <c r="AQ38" s="156">
        <v>0</v>
      </c>
      <c r="AR38" s="156">
        <v>0</v>
      </c>
      <c r="AS38" s="156">
        <v>0</v>
      </c>
      <c r="AT38" s="156">
        <v>0</v>
      </c>
      <c r="AU38" s="156">
        <v>0</v>
      </c>
      <c r="AV38" s="156">
        <v>0</v>
      </c>
      <c r="AW38" s="200">
        <v>0</v>
      </c>
      <c r="BF38" s="538"/>
      <c r="BG38" s="363" t="s">
        <v>73</v>
      </c>
      <c r="BH38" s="385">
        <v>5.2026855410191497E-8</v>
      </c>
      <c r="BI38" s="385">
        <v>4.9444484402115489E-8</v>
      </c>
      <c r="BJ38" s="385">
        <v>5.2173727594961048E-8</v>
      </c>
      <c r="BK38" s="385">
        <v>4.3520303114616987E-8</v>
      </c>
      <c r="BL38" s="385">
        <v>5.3555242304630248E-8</v>
      </c>
      <c r="BM38" s="386">
        <v>4.7539330901972992E-8</v>
      </c>
      <c r="BN38" s="386">
        <v>4.7539330901972992E-8</v>
      </c>
      <c r="BO38" s="386">
        <v>4.7539330901972992E-8</v>
      </c>
      <c r="BP38" s="385">
        <v>5.0698001302461568E-8</v>
      </c>
      <c r="BQ38" s="385">
        <v>5.1218426776146599E-8</v>
      </c>
      <c r="BR38" s="385">
        <v>5.4976205177685633E-8</v>
      </c>
      <c r="BS38" s="385">
        <v>5.0751622291898263E-8</v>
      </c>
      <c r="BT38" s="385">
        <v>5.3266061351847611E-8</v>
      </c>
      <c r="BU38" s="385">
        <v>5.3086937422940068E-8</v>
      </c>
      <c r="BV38" s="385">
        <v>6.4272012953619125E-8</v>
      </c>
      <c r="BW38" s="385">
        <v>5.5087314672521187E-8</v>
      </c>
      <c r="BX38" s="385">
        <v>5.3181917942777928E-8</v>
      </c>
      <c r="BY38" s="385">
        <v>5.4627054247227213E-8</v>
      </c>
      <c r="BZ38" s="385">
        <v>5.3101870114886129E-8</v>
      </c>
      <c r="CA38" s="385">
        <v>5.2389303514796391E-8</v>
      </c>
      <c r="CB38" s="385">
        <v>0</v>
      </c>
      <c r="CC38"/>
      <c r="DA38" s="538"/>
      <c r="DB38" s="363" t="s">
        <v>73</v>
      </c>
      <c r="DC38" s="385">
        <v>-1.5803011027839764E-2</v>
      </c>
      <c r="DD38" s="385">
        <v>-1.2685266286541097E-2</v>
      </c>
      <c r="DE38" s="385">
        <v>-1.9973939820967734E-2</v>
      </c>
      <c r="DF38" s="385">
        <v>-2.6328366307615925E-2</v>
      </c>
      <c r="DG38" s="385">
        <v>-2.3160201756579069E-2</v>
      </c>
      <c r="DH38" s="386">
        <v>-1.9449733128019564E-2</v>
      </c>
      <c r="DI38" s="386">
        <v>-1.9449733128019564E-2</v>
      </c>
      <c r="DJ38" s="386">
        <v>-1.9449733128019564E-2</v>
      </c>
      <c r="DK38" s="386">
        <v>-2.1250475286364034E-3</v>
      </c>
      <c r="DL38" s="386">
        <v>-2.1160034886490209E-2</v>
      </c>
      <c r="DM38" s="385">
        <v>-9.8924698162270452E-3</v>
      </c>
      <c r="DN38" s="385">
        <v>-4.2488873231703028E-3</v>
      </c>
      <c r="DO38" s="385">
        <v>-7.584582672395257E-3</v>
      </c>
      <c r="DP38" s="385">
        <v>-1.5892310774056062E-2</v>
      </c>
      <c r="DQ38" s="385">
        <v>-4.4940839259783205E-2</v>
      </c>
      <c r="DR38" s="385">
        <v>-7.2005494494252753E-3</v>
      </c>
      <c r="DS38" s="385">
        <v>-1.3430306653082313E-2</v>
      </c>
      <c r="DT38" s="385">
        <v>-1.6218926065974526E-2</v>
      </c>
      <c r="DU38" s="385">
        <v>-1.876338523580956E-2</v>
      </c>
      <c r="DV38" s="385">
        <v>-1.6630972716388692E-2</v>
      </c>
      <c r="DW38" s="385">
        <v>0</v>
      </c>
    </row>
    <row r="39" spans="1:127" ht="14.25" customHeight="1">
      <c r="A39" s="544"/>
      <c r="B39" s="196" t="s">
        <v>75</v>
      </c>
      <c r="C39" s="156">
        <v>0</v>
      </c>
      <c r="D39" s="156">
        <v>0</v>
      </c>
      <c r="E39" s="156">
        <v>0</v>
      </c>
      <c r="F39" s="156">
        <v>0</v>
      </c>
      <c r="G39" s="156">
        <v>0</v>
      </c>
      <c r="H39" s="156">
        <v>0</v>
      </c>
      <c r="I39" s="156">
        <v>0</v>
      </c>
      <c r="J39" s="156">
        <v>0</v>
      </c>
      <c r="K39" s="156">
        <v>0</v>
      </c>
      <c r="L39" s="156">
        <v>0</v>
      </c>
      <c r="M39" s="156">
        <v>0</v>
      </c>
      <c r="N39" s="156">
        <v>0</v>
      </c>
      <c r="O39" s="156">
        <v>0</v>
      </c>
      <c r="P39" s="156">
        <v>0</v>
      </c>
      <c r="Q39" s="156">
        <v>0</v>
      </c>
      <c r="R39" s="156">
        <v>0</v>
      </c>
      <c r="S39" s="156">
        <v>0</v>
      </c>
      <c r="T39" s="156">
        <v>0</v>
      </c>
      <c r="U39" s="156">
        <v>0</v>
      </c>
      <c r="V39" s="156">
        <v>0</v>
      </c>
      <c r="W39" s="200">
        <v>0</v>
      </c>
      <c r="AA39" s="544"/>
      <c r="AB39" s="196" t="s">
        <v>75</v>
      </c>
      <c r="AC39" s="156">
        <v>0</v>
      </c>
      <c r="AD39" s="156">
        <v>0</v>
      </c>
      <c r="AE39" s="156">
        <v>0</v>
      </c>
      <c r="AF39" s="156">
        <v>0</v>
      </c>
      <c r="AG39" s="156">
        <v>0</v>
      </c>
      <c r="AH39" s="156">
        <v>0</v>
      </c>
      <c r="AI39" s="156">
        <v>0</v>
      </c>
      <c r="AJ39" s="156">
        <v>0</v>
      </c>
      <c r="AK39" s="156">
        <v>0</v>
      </c>
      <c r="AL39" s="156">
        <v>0</v>
      </c>
      <c r="AM39" s="156">
        <v>0</v>
      </c>
      <c r="AN39" s="156">
        <v>0</v>
      </c>
      <c r="AO39" s="156">
        <v>0</v>
      </c>
      <c r="AP39" s="156">
        <v>0</v>
      </c>
      <c r="AQ39" s="156">
        <v>0</v>
      </c>
      <c r="AR39" s="156">
        <v>0</v>
      </c>
      <c r="AS39" s="156">
        <v>0</v>
      </c>
      <c r="AT39" s="156">
        <v>0</v>
      </c>
      <c r="AU39" s="156">
        <v>0</v>
      </c>
      <c r="AV39" s="156">
        <v>0</v>
      </c>
      <c r="AW39" s="200">
        <v>0</v>
      </c>
      <c r="BF39" s="538"/>
      <c r="BG39" s="363" t="s">
        <v>75</v>
      </c>
      <c r="BH39" s="385">
        <v>1.3525819392474159E-7</v>
      </c>
      <c r="BI39" s="385">
        <v>1.488506965759239E-7</v>
      </c>
      <c r="BJ39" s="385">
        <v>1.149365838404528E-7</v>
      </c>
      <c r="BK39" s="385">
        <v>2.7518291002870179E-7</v>
      </c>
      <c r="BL39" s="385">
        <v>1.011275488205967E-7</v>
      </c>
      <c r="BM39" s="386">
        <v>1.918417361285247E-7</v>
      </c>
      <c r="BN39" s="386">
        <v>1.918417361285247E-7</v>
      </c>
      <c r="BO39" s="386">
        <v>1.918417361285247E-7</v>
      </c>
      <c r="BP39" s="385">
        <v>1.2858933048797181E-7</v>
      </c>
      <c r="BQ39" s="385">
        <v>1.141423746226215E-7</v>
      </c>
      <c r="BR39" s="385">
        <v>1.082100921466625E-7</v>
      </c>
      <c r="BS39" s="385">
        <v>1.4455520224949819E-7</v>
      </c>
      <c r="BT39" s="385">
        <v>1.108213584488582E-7</v>
      </c>
      <c r="BU39" s="385">
        <v>1.045605047164763E-7</v>
      </c>
      <c r="BV39" s="385">
        <v>9.6167581239680671E-8</v>
      </c>
      <c r="BW39" s="385">
        <v>1.027162911857842E-7</v>
      </c>
      <c r="BX39" s="385">
        <v>1.1053893993634511E-7</v>
      </c>
      <c r="BY39" s="385">
        <v>1.2001783377478319E-7</v>
      </c>
      <c r="BZ39" s="385">
        <v>1.0639319930860909E-7</v>
      </c>
      <c r="CA39" s="385">
        <v>1.056079891935305E-7</v>
      </c>
      <c r="CB39" s="385">
        <v>0</v>
      </c>
      <c r="CC39"/>
      <c r="DA39" s="538"/>
      <c r="DB39" s="363" t="s">
        <v>75</v>
      </c>
      <c r="DC39" s="385">
        <v>1.4454087849675945E-2</v>
      </c>
      <c r="DD39" s="385">
        <v>-5.0199776727055667E-3</v>
      </c>
      <c r="DE39" s="385">
        <v>5.9948655995749611E-3</v>
      </c>
      <c r="DF39" s="385">
        <v>-2.5751964271636729E-2</v>
      </c>
      <c r="DG39" s="385">
        <v>-1.9776345200472889E-4</v>
      </c>
      <c r="DH39" s="386">
        <v>-2.6633180768435571E-2</v>
      </c>
      <c r="DI39" s="386">
        <v>-2.6633180768435571E-2</v>
      </c>
      <c r="DJ39" s="386">
        <v>-2.6633180768435571E-2</v>
      </c>
      <c r="DK39" s="386">
        <v>2.2110535090521077E-2</v>
      </c>
      <c r="DL39" s="386">
        <v>-1.2352857404682727E-3</v>
      </c>
      <c r="DM39" s="385">
        <v>2.3272211113920083E-2</v>
      </c>
      <c r="DN39" s="385">
        <v>1.8068900588732895E-2</v>
      </c>
      <c r="DO39" s="385">
        <v>3.3431212015103906E-2</v>
      </c>
      <c r="DP39" s="385">
        <v>1.5005686004806895E-2</v>
      </c>
      <c r="DQ39" s="385">
        <v>4.1721958630871914E-2</v>
      </c>
      <c r="DR39" s="385">
        <v>3.4211363831313069E-2</v>
      </c>
      <c r="DS39" s="385">
        <v>1.4843816480476946E-2</v>
      </c>
      <c r="DT39" s="385">
        <v>3.059942670270499E-2</v>
      </c>
      <c r="DU39" s="385">
        <v>1.4482819457332985E-2</v>
      </c>
      <c r="DV39" s="385">
        <v>6.6299707113071094E-3</v>
      </c>
      <c r="DW39" s="385">
        <v>0</v>
      </c>
    </row>
    <row r="40" spans="1:127" ht="14.25" customHeight="1">
      <c r="A40" s="544"/>
      <c r="B40" s="196" t="s">
        <v>146</v>
      </c>
      <c r="C40" s="156">
        <v>0</v>
      </c>
      <c r="D40" s="156">
        <v>0</v>
      </c>
      <c r="E40" s="156">
        <v>0</v>
      </c>
      <c r="F40" s="156">
        <v>0</v>
      </c>
      <c r="G40" s="156">
        <v>0</v>
      </c>
      <c r="H40" s="156">
        <v>0</v>
      </c>
      <c r="I40" s="156">
        <v>0</v>
      </c>
      <c r="J40" s="156">
        <v>0</v>
      </c>
      <c r="K40" s="156">
        <v>0</v>
      </c>
      <c r="L40" s="156">
        <v>0</v>
      </c>
      <c r="M40" s="156">
        <v>0</v>
      </c>
      <c r="N40" s="156">
        <v>0</v>
      </c>
      <c r="O40" s="156">
        <v>0</v>
      </c>
      <c r="P40" s="156">
        <v>0</v>
      </c>
      <c r="Q40" s="156">
        <v>0</v>
      </c>
      <c r="R40" s="156">
        <v>0</v>
      </c>
      <c r="S40" s="156">
        <v>0</v>
      </c>
      <c r="T40" s="156">
        <v>0</v>
      </c>
      <c r="U40" s="156">
        <v>0</v>
      </c>
      <c r="V40" s="156">
        <v>0</v>
      </c>
      <c r="W40" s="200">
        <v>0</v>
      </c>
      <c r="X40" s="70"/>
      <c r="Y40" s="70"/>
      <c r="Z40" s="70"/>
      <c r="AA40" s="544"/>
      <c r="AB40" s="196" t="s">
        <v>146</v>
      </c>
      <c r="AC40" s="156">
        <v>0</v>
      </c>
      <c r="AD40" s="156">
        <v>0</v>
      </c>
      <c r="AE40" s="156">
        <v>0</v>
      </c>
      <c r="AF40" s="156">
        <v>0</v>
      </c>
      <c r="AG40" s="156">
        <v>0</v>
      </c>
      <c r="AH40" s="156">
        <v>0</v>
      </c>
      <c r="AI40" s="156">
        <v>0</v>
      </c>
      <c r="AJ40" s="156">
        <v>0</v>
      </c>
      <c r="AK40" s="156">
        <v>0</v>
      </c>
      <c r="AL40" s="156">
        <v>0</v>
      </c>
      <c r="AM40" s="156">
        <v>0</v>
      </c>
      <c r="AN40" s="156">
        <v>0</v>
      </c>
      <c r="AO40" s="156">
        <v>0</v>
      </c>
      <c r="AP40" s="156">
        <v>0</v>
      </c>
      <c r="AQ40" s="156">
        <v>0</v>
      </c>
      <c r="AR40" s="156">
        <v>0</v>
      </c>
      <c r="AS40" s="156">
        <v>0</v>
      </c>
      <c r="AT40" s="156">
        <v>0</v>
      </c>
      <c r="AU40" s="156">
        <v>0</v>
      </c>
      <c r="AV40" s="156">
        <v>0</v>
      </c>
      <c r="AW40" s="200">
        <v>0</v>
      </c>
      <c r="BF40" s="538"/>
      <c r="BG40" s="363" t="s">
        <v>146</v>
      </c>
      <c r="BH40" s="385">
        <v>1.064349379738182E-7</v>
      </c>
      <c r="BI40" s="385">
        <v>9.9685939665447202E-8</v>
      </c>
      <c r="BJ40" s="385">
        <v>1.003101778314011E-7</v>
      </c>
      <c r="BK40" s="385">
        <v>1.5500433062883711E-7</v>
      </c>
      <c r="BL40" s="385">
        <v>9.8508029330064556E-8</v>
      </c>
      <c r="BM40" s="386">
        <v>1.3352865218148611E-7</v>
      </c>
      <c r="BN40" s="386">
        <v>1.3352865218148611E-7</v>
      </c>
      <c r="BO40" s="386">
        <v>1.3352865218148611E-7</v>
      </c>
      <c r="BP40" s="385">
        <v>9.9052018202884407E-8</v>
      </c>
      <c r="BQ40" s="385">
        <v>9.8392585501364747E-8</v>
      </c>
      <c r="BR40" s="385">
        <v>1.011238964700123E-7</v>
      </c>
      <c r="BS40" s="385">
        <v>1.207705949988015E-7</v>
      </c>
      <c r="BT40" s="385">
        <v>9.6133998388009049E-8</v>
      </c>
      <c r="BU40" s="385">
        <v>9.2573239554000732E-8</v>
      </c>
      <c r="BV40" s="385">
        <v>1.050938518978976E-7</v>
      </c>
      <c r="BW40" s="385">
        <v>9.1554281400797648E-8</v>
      </c>
      <c r="BX40" s="385">
        <v>1.070557475324439E-7</v>
      </c>
      <c r="BY40" s="385">
        <v>1.013634580749721E-7</v>
      </c>
      <c r="BZ40" s="385">
        <v>8.9496943642642761E-8</v>
      </c>
      <c r="CA40" s="385">
        <v>8.5845337019564559E-8</v>
      </c>
      <c r="CB40" s="385">
        <v>0</v>
      </c>
      <c r="CC40"/>
      <c r="DA40" s="538"/>
      <c r="DB40" s="363" t="s">
        <v>146</v>
      </c>
      <c r="DC40" s="385">
        <v>9.5357264117719165E-3</v>
      </c>
      <c r="DD40" s="385">
        <v>5.5119805178660553E-3</v>
      </c>
      <c r="DE40" s="385">
        <v>-7.7871291802766862E-4</v>
      </c>
      <c r="DF40" s="385">
        <v>-1.0427136327487485E-2</v>
      </c>
      <c r="DG40" s="385">
        <v>7.0224575367006103E-4</v>
      </c>
      <c r="DH40" s="386">
        <v>-2.3040159603280319E-3</v>
      </c>
      <c r="DI40" s="386">
        <v>-2.3040159603280319E-3</v>
      </c>
      <c r="DJ40" s="386">
        <v>-2.3040159603280319E-3</v>
      </c>
      <c r="DK40" s="386">
        <v>1.4559289541588027E-2</v>
      </c>
      <c r="DL40" s="386">
        <v>1.5370072418419145E-3</v>
      </c>
      <c r="DM40" s="385">
        <v>6.2933627794192759E-4</v>
      </c>
      <c r="DN40" s="385">
        <v>1.6092103613649655E-3</v>
      </c>
      <c r="DO40" s="385">
        <v>9.9579361693109547E-3</v>
      </c>
      <c r="DP40" s="385">
        <v>-5.9921815058172623E-4</v>
      </c>
      <c r="DQ40" s="385">
        <v>9.338088246078069E-3</v>
      </c>
      <c r="DR40" s="385">
        <v>7.5578855600288986E-3</v>
      </c>
      <c r="DS40" s="385">
        <v>-8.6108081327581631E-3</v>
      </c>
      <c r="DT40" s="385">
        <v>5.9088170773160531E-3</v>
      </c>
      <c r="DU40" s="385">
        <v>-3.9708124220416696E-3</v>
      </c>
      <c r="DV40" s="385">
        <v>-4.0667783438006477E-3</v>
      </c>
      <c r="DW40" s="385">
        <v>0</v>
      </c>
    </row>
    <row r="41" spans="1:127" ht="14.25" customHeight="1">
      <c r="A41" s="544"/>
      <c r="B41" s="196" t="s">
        <v>83</v>
      </c>
      <c r="C41" s="156">
        <v>0</v>
      </c>
      <c r="D41" s="156">
        <v>0</v>
      </c>
      <c r="E41" s="156">
        <v>0</v>
      </c>
      <c r="F41" s="156">
        <v>0</v>
      </c>
      <c r="G41" s="156">
        <v>0</v>
      </c>
      <c r="H41" s="156">
        <v>0</v>
      </c>
      <c r="I41" s="156">
        <v>0</v>
      </c>
      <c r="J41" s="156">
        <v>0</v>
      </c>
      <c r="K41" s="156">
        <v>0</v>
      </c>
      <c r="L41" s="156">
        <v>0</v>
      </c>
      <c r="M41" s="156">
        <v>0</v>
      </c>
      <c r="N41" s="156">
        <v>0</v>
      </c>
      <c r="O41" s="156">
        <v>0</v>
      </c>
      <c r="P41" s="156">
        <v>0</v>
      </c>
      <c r="Q41" s="156">
        <v>0</v>
      </c>
      <c r="R41" s="156">
        <v>0</v>
      </c>
      <c r="S41" s="156">
        <v>0</v>
      </c>
      <c r="T41" s="156">
        <v>0</v>
      </c>
      <c r="U41" s="156">
        <v>0</v>
      </c>
      <c r="V41" s="156">
        <v>0</v>
      </c>
      <c r="W41" s="200">
        <v>0</v>
      </c>
      <c r="X41" s="36"/>
      <c r="Y41" s="36"/>
      <c r="Z41" s="36"/>
      <c r="AA41" s="544"/>
      <c r="AB41" s="196" t="s">
        <v>83</v>
      </c>
      <c r="AC41" s="156">
        <v>0</v>
      </c>
      <c r="AD41" s="156">
        <v>0</v>
      </c>
      <c r="AE41" s="156">
        <v>0</v>
      </c>
      <c r="AF41" s="156">
        <v>0</v>
      </c>
      <c r="AG41" s="156">
        <v>0</v>
      </c>
      <c r="AH41" s="156">
        <v>0</v>
      </c>
      <c r="AI41" s="156">
        <v>0</v>
      </c>
      <c r="AJ41" s="156">
        <v>0</v>
      </c>
      <c r="AK41" s="156">
        <v>0</v>
      </c>
      <c r="AL41" s="156">
        <v>0</v>
      </c>
      <c r="AM41" s="156">
        <v>0</v>
      </c>
      <c r="AN41" s="156">
        <v>0</v>
      </c>
      <c r="AO41" s="156">
        <v>0</v>
      </c>
      <c r="AP41" s="156">
        <v>0</v>
      </c>
      <c r="AQ41" s="156">
        <v>0</v>
      </c>
      <c r="AR41" s="156">
        <v>0</v>
      </c>
      <c r="AS41" s="156">
        <v>0</v>
      </c>
      <c r="AT41" s="156">
        <v>0</v>
      </c>
      <c r="AU41" s="156">
        <v>0</v>
      </c>
      <c r="AV41" s="156">
        <v>0</v>
      </c>
      <c r="AW41" s="200">
        <v>0</v>
      </c>
      <c r="BF41" s="538"/>
      <c r="BG41" s="363" t="s">
        <v>83</v>
      </c>
      <c r="BH41" s="385">
        <v>3.7098576304456018E-7</v>
      </c>
      <c r="BI41" s="385">
        <v>4.0022920255463161E-7</v>
      </c>
      <c r="BJ41" s="385">
        <v>3.6866518574374219E-7</v>
      </c>
      <c r="BK41" s="385">
        <v>2.419006279872329E-7</v>
      </c>
      <c r="BL41" s="385">
        <v>3.4986225116537492E-7</v>
      </c>
      <c r="BM41" s="386">
        <v>4.4546505899241159E-7</v>
      </c>
      <c r="BN41" s="386">
        <v>4.4546505899241159E-7</v>
      </c>
      <c r="BO41" s="386">
        <v>4.4546505899241159E-7</v>
      </c>
      <c r="BP41" s="385">
        <v>4.8992390908659999E-7</v>
      </c>
      <c r="BQ41" s="385">
        <v>3.778915899976903E-7</v>
      </c>
      <c r="BR41" s="385">
        <v>4.4398129736448132E-7</v>
      </c>
      <c r="BS41" s="385">
        <v>3.8773639517788142E-7</v>
      </c>
      <c r="BT41" s="385">
        <v>4.3266489300809041E-7</v>
      </c>
      <c r="BU41" s="385">
        <v>4.6542960203305741E-7</v>
      </c>
      <c r="BV41" s="385">
        <v>6.0470681706283001E-7</v>
      </c>
      <c r="BW41" s="385">
        <v>4.3140426392232488E-7</v>
      </c>
      <c r="BX41" s="385">
        <v>4.3127424624329488E-7</v>
      </c>
      <c r="BY41" s="385">
        <v>4.5082314005248022E-7</v>
      </c>
      <c r="BZ41" s="385">
        <v>4.6162046176626222E-7</v>
      </c>
      <c r="CA41" s="385">
        <v>4.266587345381664E-7</v>
      </c>
      <c r="CB41" s="385">
        <v>0</v>
      </c>
      <c r="CC41"/>
      <c r="DA41" s="538"/>
      <c r="DB41" s="363" t="s">
        <v>83</v>
      </c>
      <c r="DC41" s="385">
        <v>-7.3888217944404477E-3</v>
      </c>
      <c r="DD41" s="385">
        <v>-4.6333589079287085E-3</v>
      </c>
      <c r="DE41" s="385">
        <v>-2.0534680871768796E-2</v>
      </c>
      <c r="DF41" s="385">
        <v>2.8718890364700655E-3</v>
      </c>
      <c r="DG41" s="385">
        <v>-1.7245601224082141E-2</v>
      </c>
      <c r="DH41" s="386">
        <v>1.3971995494882039E-2</v>
      </c>
      <c r="DI41" s="386">
        <v>1.3971995494882039E-2</v>
      </c>
      <c r="DJ41" s="386">
        <v>1.3971995494882039E-2</v>
      </c>
      <c r="DK41" s="386">
        <v>-1.1986238577888719E-2</v>
      </c>
      <c r="DL41" s="386">
        <v>-1.2224677374198523E-2</v>
      </c>
      <c r="DM41" s="385">
        <v>-1.2280124410331994E-2</v>
      </c>
      <c r="DN41" s="385">
        <v>-5.9902221510297338E-3</v>
      </c>
      <c r="DO41" s="385">
        <v>-1.0777356875477651E-2</v>
      </c>
      <c r="DP41" s="385">
        <v>-1.6257683557389102E-2</v>
      </c>
      <c r="DQ41" s="385">
        <v>1.2745723615599003E-2</v>
      </c>
      <c r="DR41" s="385">
        <v>-9.7615455485973168E-3</v>
      </c>
      <c r="DS41" s="385">
        <v>-1.3301528686403996E-2</v>
      </c>
      <c r="DT41" s="385">
        <v>-1.0602267623697315E-2</v>
      </c>
      <c r="DU41" s="385">
        <v>-1.0559547217015575E-2</v>
      </c>
      <c r="DV41" s="385">
        <v>-2.0083000638311366E-2</v>
      </c>
      <c r="DW41" s="385">
        <v>0</v>
      </c>
    </row>
    <row r="42" spans="1:127" ht="14.25" customHeight="1">
      <c r="A42" s="544"/>
      <c r="B42" s="196" t="s">
        <v>85</v>
      </c>
      <c r="C42" s="156">
        <v>0</v>
      </c>
      <c r="D42" s="156">
        <v>0</v>
      </c>
      <c r="E42" s="156">
        <v>0</v>
      </c>
      <c r="F42" s="156">
        <v>0</v>
      </c>
      <c r="G42" s="156">
        <v>0</v>
      </c>
      <c r="H42" s="156">
        <v>0</v>
      </c>
      <c r="I42" s="156">
        <v>0</v>
      </c>
      <c r="J42" s="156">
        <v>0</v>
      </c>
      <c r="K42" s="156">
        <v>0</v>
      </c>
      <c r="L42" s="156">
        <v>0</v>
      </c>
      <c r="M42" s="156">
        <v>0</v>
      </c>
      <c r="N42" s="156">
        <v>0</v>
      </c>
      <c r="O42" s="156">
        <v>0</v>
      </c>
      <c r="P42" s="156">
        <v>0</v>
      </c>
      <c r="Q42" s="156">
        <v>0</v>
      </c>
      <c r="R42" s="156">
        <v>0</v>
      </c>
      <c r="S42" s="156">
        <v>0</v>
      </c>
      <c r="T42" s="156">
        <v>0</v>
      </c>
      <c r="U42" s="156">
        <v>0</v>
      </c>
      <c r="V42" s="156">
        <v>0</v>
      </c>
      <c r="W42" s="200">
        <v>0</v>
      </c>
      <c r="X42" s="70"/>
      <c r="Y42" s="70"/>
      <c r="Z42" s="70"/>
      <c r="AA42" s="544"/>
      <c r="AB42" s="196" t="s">
        <v>85</v>
      </c>
      <c r="AC42" s="156">
        <v>0</v>
      </c>
      <c r="AD42" s="156">
        <v>0</v>
      </c>
      <c r="AE42" s="156">
        <v>0</v>
      </c>
      <c r="AF42" s="156">
        <v>0</v>
      </c>
      <c r="AG42" s="156">
        <v>0</v>
      </c>
      <c r="AH42" s="156">
        <v>0</v>
      </c>
      <c r="AI42" s="156">
        <v>0</v>
      </c>
      <c r="AJ42" s="156">
        <v>0</v>
      </c>
      <c r="AK42" s="156">
        <v>0</v>
      </c>
      <c r="AL42" s="156">
        <v>0</v>
      </c>
      <c r="AM42" s="156">
        <v>0</v>
      </c>
      <c r="AN42" s="156">
        <v>0</v>
      </c>
      <c r="AO42" s="156">
        <v>0</v>
      </c>
      <c r="AP42" s="156">
        <v>0</v>
      </c>
      <c r="AQ42" s="156">
        <v>0</v>
      </c>
      <c r="AR42" s="156">
        <v>0</v>
      </c>
      <c r="AS42" s="156">
        <v>0</v>
      </c>
      <c r="AT42" s="156">
        <v>0</v>
      </c>
      <c r="AU42" s="156">
        <v>0</v>
      </c>
      <c r="AV42" s="156">
        <v>0</v>
      </c>
      <c r="AW42" s="200">
        <v>0</v>
      </c>
      <c r="BF42" s="538"/>
      <c r="BG42" s="363" t="s">
        <v>85</v>
      </c>
      <c r="BH42" s="385">
        <v>1.646196615648329E-7</v>
      </c>
      <c r="BI42" s="385">
        <v>1.5380048820110811E-7</v>
      </c>
      <c r="BJ42" s="385">
        <v>1.5953294969117259E-7</v>
      </c>
      <c r="BK42" s="385">
        <v>1.2915271415925899E-7</v>
      </c>
      <c r="BL42" s="385">
        <v>1.7316370077921099E-7</v>
      </c>
      <c r="BM42" s="386">
        <v>1.3883315106896309E-7</v>
      </c>
      <c r="BN42" s="386">
        <v>1.3883315106896309E-7</v>
      </c>
      <c r="BO42" s="386">
        <v>1.3883315106896309E-7</v>
      </c>
      <c r="BP42" s="385">
        <v>1.482309819525861E-7</v>
      </c>
      <c r="BQ42" s="385">
        <v>1.551355114146767E-7</v>
      </c>
      <c r="BR42" s="385">
        <v>1.5434623414155551E-7</v>
      </c>
      <c r="BS42" s="385">
        <v>1.492198936142857E-7</v>
      </c>
      <c r="BT42" s="385">
        <v>1.556809027653761E-7</v>
      </c>
      <c r="BU42" s="385">
        <v>1.4862712363847469E-7</v>
      </c>
      <c r="BV42" s="385">
        <v>1.4397703482581571E-7</v>
      </c>
      <c r="BW42" s="385">
        <v>1.5265590014032411E-7</v>
      </c>
      <c r="BX42" s="385">
        <v>1.5320154284005149E-7</v>
      </c>
      <c r="BY42" s="385">
        <v>1.350193341469798E-7</v>
      </c>
      <c r="BZ42" s="385">
        <v>1.3315771246297849E-7</v>
      </c>
      <c r="CA42" s="385">
        <v>1.512322375809822E-7</v>
      </c>
      <c r="CB42" s="385">
        <v>0</v>
      </c>
      <c r="CC42"/>
      <c r="DA42" s="538"/>
      <c r="DB42" s="363" t="s">
        <v>85</v>
      </c>
      <c r="DC42" s="385">
        <v>9.1974194968200695E-3</v>
      </c>
      <c r="DD42" s="385">
        <v>6.010402402828019E-3</v>
      </c>
      <c r="DE42" s="385">
        <v>-1.9457002503994181E-3</v>
      </c>
      <c r="DF42" s="385">
        <v>1.1828973086374095E-2</v>
      </c>
      <c r="DG42" s="385">
        <v>-5.017155551977015E-3</v>
      </c>
      <c r="DH42" s="386">
        <v>9.0526234617380741E-3</v>
      </c>
      <c r="DI42" s="386">
        <v>9.0526234617380741E-3</v>
      </c>
      <c r="DJ42" s="386">
        <v>9.0526234617380741E-3</v>
      </c>
      <c r="DK42" s="386">
        <v>1.3774929858050067E-2</v>
      </c>
      <c r="DL42" s="386">
        <v>3.7506879936350934E-3</v>
      </c>
      <c r="DM42" s="385">
        <v>1.3304420154635954E-2</v>
      </c>
      <c r="DN42" s="385">
        <v>1.8903101800016975E-2</v>
      </c>
      <c r="DO42" s="385">
        <v>1.7008391633654973E-2</v>
      </c>
      <c r="DP42" s="385">
        <v>7.7573721371479998E-3</v>
      </c>
      <c r="DQ42" s="385">
        <v>2.477404976474995E-2</v>
      </c>
      <c r="DR42" s="385">
        <v>2.5039404601441051E-2</v>
      </c>
      <c r="DS42" s="385">
        <v>8.8964430986631093E-3</v>
      </c>
      <c r="DT42" s="385">
        <v>1.9043131479600017E-2</v>
      </c>
      <c r="DU42" s="385">
        <v>1.3468830072463023E-2</v>
      </c>
      <c r="DV42" s="385">
        <v>7.724997335381012E-4</v>
      </c>
      <c r="DW42" s="385">
        <v>0</v>
      </c>
    </row>
    <row r="43" spans="1:127" ht="14.25" customHeight="1">
      <c r="A43" s="544"/>
      <c r="B43" s="196" t="s">
        <v>88</v>
      </c>
      <c r="C43" s="156">
        <v>0</v>
      </c>
      <c r="D43" s="156">
        <v>0</v>
      </c>
      <c r="E43" s="156">
        <v>0</v>
      </c>
      <c r="F43" s="156">
        <v>0</v>
      </c>
      <c r="G43" s="156">
        <v>0</v>
      </c>
      <c r="H43" s="156">
        <v>0</v>
      </c>
      <c r="I43" s="156">
        <v>0</v>
      </c>
      <c r="J43" s="156">
        <v>0</v>
      </c>
      <c r="K43" s="156">
        <v>0</v>
      </c>
      <c r="L43" s="156">
        <v>0</v>
      </c>
      <c r="M43" s="156">
        <v>0</v>
      </c>
      <c r="N43" s="156">
        <v>0</v>
      </c>
      <c r="O43" s="156">
        <v>0</v>
      </c>
      <c r="P43" s="156">
        <v>0</v>
      </c>
      <c r="Q43" s="156">
        <v>0</v>
      </c>
      <c r="R43" s="156">
        <v>0</v>
      </c>
      <c r="S43" s="156">
        <v>0</v>
      </c>
      <c r="T43" s="156">
        <v>0</v>
      </c>
      <c r="U43" s="156">
        <v>0</v>
      </c>
      <c r="V43" s="156">
        <v>0</v>
      </c>
      <c r="W43" s="200">
        <v>0</v>
      </c>
      <c r="X43" s="102"/>
      <c r="Y43" s="102"/>
      <c r="Z43" s="102"/>
      <c r="AA43" s="544"/>
      <c r="AB43" s="196" t="s">
        <v>88</v>
      </c>
      <c r="AC43" s="156">
        <v>0</v>
      </c>
      <c r="AD43" s="156">
        <v>0</v>
      </c>
      <c r="AE43" s="156">
        <v>0</v>
      </c>
      <c r="AF43" s="156">
        <v>0</v>
      </c>
      <c r="AG43" s="156">
        <v>0</v>
      </c>
      <c r="AH43" s="156">
        <v>0</v>
      </c>
      <c r="AI43" s="156">
        <v>0</v>
      </c>
      <c r="AJ43" s="156">
        <v>0</v>
      </c>
      <c r="AK43" s="156">
        <v>0</v>
      </c>
      <c r="AL43" s="156">
        <v>0</v>
      </c>
      <c r="AM43" s="156">
        <v>0</v>
      </c>
      <c r="AN43" s="156">
        <v>0</v>
      </c>
      <c r="AO43" s="156">
        <v>0</v>
      </c>
      <c r="AP43" s="156">
        <v>0</v>
      </c>
      <c r="AQ43" s="156">
        <v>0</v>
      </c>
      <c r="AR43" s="156">
        <v>0</v>
      </c>
      <c r="AS43" s="156">
        <v>0</v>
      </c>
      <c r="AT43" s="156">
        <v>0</v>
      </c>
      <c r="AU43" s="156">
        <v>0</v>
      </c>
      <c r="AV43" s="156">
        <v>0</v>
      </c>
      <c r="AW43" s="200">
        <v>0</v>
      </c>
      <c r="BF43" s="538"/>
      <c r="BG43" s="363" t="s">
        <v>88</v>
      </c>
      <c r="BH43" s="385">
        <v>1.2640719284183199E-7</v>
      </c>
      <c r="BI43" s="385">
        <v>1.3164136849672989E-7</v>
      </c>
      <c r="BJ43" s="385">
        <v>1.296406870485398E-7</v>
      </c>
      <c r="BK43" s="385">
        <v>1.275590774057499E-7</v>
      </c>
      <c r="BL43" s="385">
        <v>1.3440537946706499E-7</v>
      </c>
      <c r="BM43" s="386">
        <v>1.3369299491818939E-7</v>
      </c>
      <c r="BN43" s="386">
        <v>1.3369299491818939E-7</v>
      </c>
      <c r="BO43" s="386">
        <v>1.3369299491818939E-7</v>
      </c>
      <c r="BP43" s="385">
        <v>1.3031099822977651E-7</v>
      </c>
      <c r="BQ43" s="385">
        <v>1.3300150561031841E-7</v>
      </c>
      <c r="BR43" s="385">
        <v>1.3037396906621849E-7</v>
      </c>
      <c r="BS43" s="385">
        <v>1.3216647895235761E-7</v>
      </c>
      <c r="BT43" s="385">
        <v>1.2697446024727421E-7</v>
      </c>
      <c r="BU43" s="385">
        <v>1.310986996337082E-7</v>
      </c>
      <c r="BV43" s="385">
        <v>1.2536291966846689E-7</v>
      </c>
      <c r="BW43" s="385">
        <v>1.3016000647521319E-7</v>
      </c>
      <c r="BX43" s="385">
        <v>1.334340960091293E-7</v>
      </c>
      <c r="BY43" s="385">
        <v>1.388472944563172E-7</v>
      </c>
      <c r="BZ43" s="385">
        <v>1.3519489721748959E-7</v>
      </c>
      <c r="CA43" s="385">
        <v>1.4699767185509001E-7</v>
      </c>
      <c r="CB43" s="385">
        <v>0</v>
      </c>
      <c r="CC43"/>
      <c r="DA43" s="538"/>
      <c r="DB43" s="363" t="s">
        <v>88</v>
      </c>
      <c r="DC43" s="385">
        <v>8.0783924832630305E-3</v>
      </c>
      <c r="DD43" s="385">
        <v>1.463007668211902E-2</v>
      </c>
      <c r="DE43" s="385">
        <v>-1.3334319846949327E-3</v>
      </c>
      <c r="DF43" s="385">
        <v>1.8836154978361108E-2</v>
      </c>
      <c r="DG43" s="385">
        <v>2.0219937945760158E-3</v>
      </c>
      <c r="DH43" s="386">
        <v>1.9650353399712106E-2</v>
      </c>
      <c r="DI43" s="386">
        <v>1.9650353399712106E-2</v>
      </c>
      <c r="DJ43" s="386">
        <v>1.9650353399712106E-2</v>
      </c>
      <c r="DK43" s="386">
        <v>1.6394170904665106E-2</v>
      </c>
      <c r="DL43" s="386">
        <v>3.4171814096730646E-3</v>
      </c>
      <c r="DM43" s="385">
        <v>7.2381269876029553E-3</v>
      </c>
      <c r="DN43" s="385">
        <v>2.119267097617894E-2</v>
      </c>
      <c r="DO43" s="385">
        <v>1.100669315677405E-2</v>
      </c>
      <c r="DP43" s="385">
        <v>2.6432423210860367E-3</v>
      </c>
      <c r="DQ43" s="385">
        <v>1.0396235232940976E-2</v>
      </c>
      <c r="DR43" s="385">
        <v>1.371441056138889E-2</v>
      </c>
      <c r="DS43" s="385">
        <v>7.823999009983984E-3</v>
      </c>
      <c r="DT43" s="385">
        <v>1.8698325574205032E-2</v>
      </c>
      <c r="DU43" s="385">
        <v>7.5618789510520923E-3</v>
      </c>
      <c r="DV43" s="385">
        <v>1.1616337663349352E-3</v>
      </c>
      <c r="DW43" s="385">
        <v>0</v>
      </c>
    </row>
    <row r="44" spans="1:127" ht="14.25" customHeight="1">
      <c r="A44" s="545"/>
      <c r="B44" s="196" t="s">
        <v>147</v>
      </c>
      <c r="C44" s="156">
        <v>0</v>
      </c>
      <c r="D44" s="156">
        <v>0</v>
      </c>
      <c r="E44" s="156">
        <v>0</v>
      </c>
      <c r="F44" s="156">
        <v>0</v>
      </c>
      <c r="G44" s="156">
        <v>0</v>
      </c>
      <c r="H44" s="156">
        <v>0</v>
      </c>
      <c r="I44" s="156">
        <v>0</v>
      </c>
      <c r="J44" s="156">
        <v>0</v>
      </c>
      <c r="K44" s="156">
        <v>0</v>
      </c>
      <c r="L44" s="156">
        <v>0</v>
      </c>
      <c r="M44" s="156">
        <v>0</v>
      </c>
      <c r="N44" s="156">
        <v>0</v>
      </c>
      <c r="O44" s="156">
        <v>0</v>
      </c>
      <c r="P44" s="156">
        <v>0</v>
      </c>
      <c r="Q44" s="156">
        <v>0</v>
      </c>
      <c r="R44" s="156">
        <v>0</v>
      </c>
      <c r="S44" s="156">
        <v>0</v>
      </c>
      <c r="T44" s="156">
        <v>0</v>
      </c>
      <c r="U44" s="156">
        <v>0</v>
      </c>
      <c r="V44" s="156">
        <v>0</v>
      </c>
      <c r="W44" s="200">
        <v>0</v>
      </c>
      <c r="AA44" s="545"/>
      <c r="AB44" s="196" t="s">
        <v>147</v>
      </c>
      <c r="AC44" s="156">
        <v>0</v>
      </c>
      <c r="AD44" s="156">
        <v>0</v>
      </c>
      <c r="AE44" s="156">
        <v>0</v>
      </c>
      <c r="AF44" s="156">
        <v>0</v>
      </c>
      <c r="AG44" s="156">
        <v>0</v>
      </c>
      <c r="AH44" s="156">
        <v>0</v>
      </c>
      <c r="AI44" s="156">
        <v>0</v>
      </c>
      <c r="AJ44" s="156">
        <v>0</v>
      </c>
      <c r="AK44" s="156">
        <v>0</v>
      </c>
      <c r="AL44" s="156">
        <v>0</v>
      </c>
      <c r="AM44" s="156">
        <v>0</v>
      </c>
      <c r="AN44" s="156">
        <v>0</v>
      </c>
      <c r="AO44" s="156">
        <v>0</v>
      </c>
      <c r="AP44" s="156">
        <v>0</v>
      </c>
      <c r="AQ44" s="156">
        <v>0</v>
      </c>
      <c r="AR44" s="156">
        <v>0</v>
      </c>
      <c r="AS44" s="156">
        <v>0</v>
      </c>
      <c r="AT44" s="156">
        <v>0</v>
      </c>
      <c r="AU44" s="156">
        <v>0</v>
      </c>
      <c r="AV44" s="156">
        <v>0</v>
      </c>
      <c r="AW44" s="200">
        <v>0</v>
      </c>
      <c r="BF44" s="538"/>
      <c r="BG44" s="363" t="s">
        <v>147</v>
      </c>
      <c r="BH44" s="385">
        <v>0</v>
      </c>
      <c r="BI44" s="385">
        <v>0</v>
      </c>
      <c r="BJ44" s="385">
        <v>0</v>
      </c>
      <c r="BK44" s="385">
        <v>0</v>
      </c>
      <c r="BL44" s="385">
        <v>0</v>
      </c>
      <c r="BM44" s="386">
        <v>0</v>
      </c>
      <c r="BN44" s="386">
        <v>0</v>
      </c>
      <c r="BO44" s="386">
        <v>0</v>
      </c>
      <c r="BP44" s="385">
        <v>0</v>
      </c>
      <c r="BQ44" s="385">
        <v>0</v>
      </c>
      <c r="BR44" s="385">
        <v>0</v>
      </c>
      <c r="BS44" s="385">
        <v>0</v>
      </c>
      <c r="BT44" s="385">
        <v>0</v>
      </c>
      <c r="BU44" s="385">
        <v>0</v>
      </c>
      <c r="BV44" s="385">
        <v>0</v>
      </c>
      <c r="BW44" s="385">
        <v>0</v>
      </c>
      <c r="BX44" s="385">
        <v>0</v>
      </c>
      <c r="BY44" s="385">
        <v>0</v>
      </c>
      <c r="BZ44" s="385">
        <v>0</v>
      </c>
      <c r="CA44" s="385">
        <v>0</v>
      </c>
      <c r="CB44" s="385">
        <v>0</v>
      </c>
      <c r="CC44"/>
      <c r="DA44" s="538"/>
      <c r="DB44" s="363" t="s">
        <v>147</v>
      </c>
      <c r="DC44" s="385">
        <v>6.8889290377059931E-2</v>
      </c>
      <c r="DD44" s="385">
        <v>-0.17385274891916525</v>
      </c>
      <c r="DE44" s="385">
        <v>6.3715842666381972E-2</v>
      </c>
      <c r="DF44" s="385">
        <v>5.6680330921274891E-2</v>
      </c>
      <c r="DG44" s="385">
        <v>4.541738982960597E-2</v>
      </c>
      <c r="DH44" s="386">
        <v>5.6550189047821942E-2</v>
      </c>
      <c r="DI44" s="386">
        <v>5.6550189047821942E-2</v>
      </c>
      <c r="DJ44" s="386">
        <v>5.6550189047821942E-2</v>
      </c>
      <c r="DK44" s="386">
        <v>6.6670006634486079E-2</v>
      </c>
      <c r="DL44" s="386">
        <v>3.5378356275292067E-2</v>
      </c>
      <c r="DM44" s="385">
        <v>9.764890954730987E-3</v>
      </c>
      <c r="DN44" s="385">
        <v>1.7997043756724951E-2</v>
      </c>
      <c r="DO44" s="385">
        <v>2.1841361787223068E-2</v>
      </c>
      <c r="DP44" s="385">
        <v>1.3419869537357965E-2</v>
      </c>
      <c r="DQ44" s="385">
        <v>5.1911623935045892E-2</v>
      </c>
      <c r="DR44" s="385">
        <v>-1.0817299792053148E-2</v>
      </c>
      <c r="DS44" s="385">
        <v>1.1227462364429064E-2</v>
      </c>
      <c r="DT44" s="385">
        <v>8.9087911822429033E-2</v>
      </c>
      <c r="DU44" s="385">
        <v>4.9095012313445041E-2</v>
      </c>
      <c r="DV44" s="385">
        <v>-1.8795099937966242E-2</v>
      </c>
      <c r="DW44" s="385">
        <v>0</v>
      </c>
    </row>
    <row r="45" spans="1:127" ht="14.25" customHeight="1">
      <c r="A45" s="543" t="s">
        <v>610</v>
      </c>
      <c r="B45" s="196" t="s">
        <v>139</v>
      </c>
      <c r="C45" s="156">
        <v>0</v>
      </c>
      <c r="D45" s="156">
        <v>0</v>
      </c>
      <c r="E45" s="156">
        <v>0</v>
      </c>
      <c r="F45" s="156">
        <v>0</v>
      </c>
      <c r="G45" s="156">
        <v>0</v>
      </c>
      <c r="H45" s="156">
        <v>0</v>
      </c>
      <c r="I45" s="156">
        <v>0</v>
      </c>
      <c r="J45" s="156">
        <v>0</v>
      </c>
      <c r="K45" s="156">
        <v>0</v>
      </c>
      <c r="L45" s="156">
        <v>0</v>
      </c>
      <c r="M45" s="156">
        <v>0</v>
      </c>
      <c r="N45" s="156">
        <v>0</v>
      </c>
      <c r="O45" s="156">
        <v>0</v>
      </c>
      <c r="P45" s="156">
        <v>0</v>
      </c>
      <c r="Q45" s="156">
        <v>0</v>
      </c>
      <c r="R45" s="156">
        <v>0</v>
      </c>
      <c r="S45" s="156">
        <v>0</v>
      </c>
      <c r="T45" s="156">
        <v>0</v>
      </c>
      <c r="U45" s="156">
        <v>0</v>
      </c>
      <c r="V45" s="156">
        <v>0</v>
      </c>
      <c r="W45" s="200">
        <v>0</v>
      </c>
      <c r="AA45" s="543" t="s">
        <v>610</v>
      </c>
      <c r="AB45" s="196" t="s">
        <v>139</v>
      </c>
      <c r="AC45" s="156">
        <v>0</v>
      </c>
      <c r="AD45" s="156">
        <v>0</v>
      </c>
      <c r="AE45" s="156">
        <v>0</v>
      </c>
      <c r="AF45" s="156">
        <v>0</v>
      </c>
      <c r="AG45" s="156">
        <v>0</v>
      </c>
      <c r="AH45" s="156">
        <v>0</v>
      </c>
      <c r="AI45" s="156">
        <v>0</v>
      </c>
      <c r="AJ45" s="156">
        <v>0</v>
      </c>
      <c r="AK45" s="156">
        <v>0</v>
      </c>
      <c r="AL45" s="156">
        <v>0</v>
      </c>
      <c r="AM45" s="156">
        <v>0</v>
      </c>
      <c r="AN45" s="156">
        <v>0</v>
      </c>
      <c r="AO45" s="156">
        <v>0</v>
      </c>
      <c r="AP45" s="156">
        <v>0</v>
      </c>
      <c r="AQ45" s="156">
        <v>0</v>
      </c>
      <c r="AR45" s="156">
        <v>0</v>
      </c>
      <c r="AS45" s="156">
        <v>0</v>
      </c>
      <c r="AT45" s="156">
        <v>0</v>
      </c>
      <c r="AU45" s="156">
        <v>0</v>
      </c>
      <c r="AV45" s="156">
        <v>0</v>
      </c>
      <c r="AW45" s="200">
        <v>0</v>
      </c>
      <c r="BF45" s="538" t="s">
        <v>610</v>
      </c>
      <c r="BG45" s="363" t="s">
        <v>139</v>
      </c>
      <c r="BH45" s="385">
        <v>2.5291329050298142E-6</v>
      </c>
      <c r="BI45" s="385">
        <v>2.3919515000420361E-6</v>
      </c>
      <c r="BJ45" s="385">
        <v>2.4575674174339081E-6</v>
      </c>
      <c r="BK45" s="385">
        <v>2.5153075489043628E-6</v>
      </c>
      <c r="BL45" s="385">
        <v>2.3276964347679998E-6</v>
      </c>
      <c r="BM45" s="386">
        <v>2.4122427224332372E-6</v>
      </c>
      <c r="BN45" s="386">
        <v>2.4122427224332372E-6</v>
      </c>
      <c r="BO45" s="386">
        <v>2.4122427224332372E-6</v>
      </c>
      <c r="BP45" s="385">
        <v>2.3470156793714612E-6</v>
      </c>
      <c r="BQ45" s="385">
        <v>2.176705182158323E-6</v>
      </c>
      <c r="BR45" s="385">
        <v>2.415054993754626E-6</v>
      </c>
      <c r="BS45" s="385">
        <v>2.3944890240675908E-6</v>
      </c>
      <c r="BT45" s="385">
        <v>2.4750991635947889E-6</v>
      </c>
      <c r="BU45" s="385">
        <v>2.2628314006999979E-6</v>
      </c>
      <c r="BV45" s="385">
        <v>2.2436174076754661E-6</v>
      </c>
      <c r="BW45" s="385">
        <v>2.2659373638540729E-6</v>
      </c>
      <c r="BX45" s="385">
        <v>2.317358396017259E-6</v>
      </c>
      <c r="BY45" s="385">
        <v>2.3087386188371931E-6</v>
      </c>
      <c r="BZ45" s="385">
        <v>2.304379656356128E-6</v>
      </c>
      <c r="CA45" s="385">
        <v>2.3044453963124868E-6</v>
      </c>
      <c r="CB45" s="385">
        <v>0</v>
      </c>
      <c r="CC45"/>
      <c r="DA45" s="538" t="s">
        <v>610</v>
      </c>
      <c r="DB45" s="363" t="s">
        <v>139</v>
      </c>
      <c r="DC45" s="385">
        <v>-5.7881212509058866E-4</v>
      </c>
      <c r="DD45" s="385">
        <v>2.0637430369039311E-3</v>
      </c>
      <c r="DE45" s="385">
        <v>-8.5879372747692528E-3</v>
      </c>
      <c r="DF45" s="385">
        <v>-2.7221268701138612E-4</v>
      </c>
      <c r="DG45" s="385">
        <v>-1.1791588018322363E-2</v>
      </c>
      <c r="DH45" s="386">
        <v>-6.4769471839276616E-4</v>
      </c>
      <c r="DI45" s="386">
        <v>-6.4769471839276616E-4</v>
      </c>
      <c r="DJ45" s="386">
        <v>-6.4769471839276616E-4</v>
      </c>
      <c r="DK45" s="386">
        <v>4.6686734404068897E-3</v>
      </c>
      <c r="DL45" s="386">
        <v>-1.0538757737959092E-2</v>
      </c>
      <c r="DM45" s="385">
        <v>-5.410343758028846E-3</v>
      </c>
      <c r="DN45" s="385">
        <v>7.492520808972003E-3</v>
      </c>
      <c r="DO45" s="385">
        <v>-3.6433635612931337E-4</v>
      </c>
      <c r="DP45" s="385">
        <v>-9.6575979427588887E-3</v>
      </c>
      <c r="DQ45" s="385">
        <v>3.1980676516709661E-3</v>
      </c>
      <c r="DR45" s="385">
        <v>3.3542083815321089E-3</v>
      </c>
      <c r="DS45" s="385">
        <v>-4.6091177077950407E-3</v>
      </c>
      <c r="DT45" s="385">
        <v>3.687245742562073E-3</v>
      </c>
      <c r="DU45" s="385">
        <v>-4.7605137795818653E-3</v>
      </c>
      <c r="DV45" s="385">
        <v>-6.4540634450286349E-3</v>
      </c>
      <c r="DW45" s="385">
        <v>0</v>
      </c>
    </row>
    <row r="46" spans="1:127" ht="14.25" customHeight="1">
      <c r="A46" s="544"/>
      <c r="B46" s="196" t="s">
        <v>37</v>
      </c>
      <c r="C46" s="156">
        <v>0</v>
      </c>
      <c r="D46" s="156">
        <v>0</v>
      </c>
      <c r="E46" s="156">
        <v>0</v>
      </c>
      <c r="F46" s="156">
        <v>0.99274163635677792</v>
      </c>
      <c r="G46" s="156">
        <v>0</v>
      </c>
      <c r="H46" s="156">
        <v>0</v>
      </c>
      <c r="I46" s="156">
        <v>0</v>
      </c>
      <c r="J46" s="156">
        <v>0</v>
      </c>
      <c r="K46" s="156">
        <v>0</v>
      </c>
      <c r="L46" s="156">
        <v>0</v>
      </c>
      <c r="M46" s="156">
        <v>0.60964189979525607</v>
      </c>
      <c r="N46" s="156">
        <v>0</v>
      </c>
      <c r="O46" s="156">
        <v>0</v>
      </c>
      <c r="P46" s="156">
        <v>0</v>
      </c>
      <c r="Q46" s="156">
        <v>0</v>
      </c>
      <c r="R46" s="156">
        <v>0</v>
      </c>
      <c r="S46" s="156">
        <v>0</v>
      </c>
      <c r="T46" s="156">
        <v>0</v>
      </c>
      <c r="U46" s="156">
        <v>0</v>
      </c>
      <c r="V46" s="156">
        <v>0</v>
      </c>
      <c r="W46" s="200">
        <v>0</v>
      </c>
      <c r="AA46" s="544"/>
      <c r="AB46" s="196" t="s">
        <v>37</v>
      </c>
      <c r="AC46" s="156">
        <v>0</v>
      </c>
      <c r="AD46" s="156">
        <v>0</v>
      </c>
      <c r="AE46" s="156">
        <v>0</v>
      </c>
      <c r="AF46" s="156">
        <v>0.97551203182768631</v>
      </c>
      <c r="AG46" s="156">
        <v>0</v>
      </c>
      <c r="AH46" s="156">
        <v>0</v>
      </c>
      <c r="AI46" s="156">
        <v>0</v>
      </c>
      <c r="AJ46" s="156">
        <v>0</v>
      </c>
      <c r="AK46" s="156">
        <v>0</v>
      </c>
      <c r="AL46" s="156">
        <v>0</v>
      </c>
      <c r="AM46" s="156">
        <v>0.71291041005206002</v>
      </c>
      <c r="AN46" s="156">
        <v>0</v>
      </c>
      <c r="AO46" s="156">
        <v>0</v>
      </c>
      <c r="AP46" s="156">
        <v>0</v>
      </c>
      <c r="AQ46" s="156">
        <v>0</v>
      </c>
      <c r="AR46" s="156">
        <v>0</v>
      </c>
      <c r="AS46" s="156">
        <v>0</v>
      </c>
      <c r="AT46" s="156">
        <v>0</v>
      </c>
      <c r="AU46" s="156">
        <v>0</v>
      </c>
      <c r="AV46" s="156">
        <v>0</v>
      </c>
      <c r="AW46" s="200">
        <v>0</v>
      </c>
      <c r="BF46" s="538"/>
      <c r="BG46" s="363" t="s">
        <v>37</v>
      </c>
      <c r="BH46" s="385">
        <v>4.6516115767781242E-7</v>
      </c>
      <c r="BI46" s="385">
        <v>4.5536930444233273E-7</v>
      </c>
      <c r="BJ46" s="385">
        <v>4.7924587388375147E-7</v>
      </c>
      <c r="BK46" s="385">
        <v>4.4388011161607518E-7</v>
      </c>
      <c r="BL46" s="385">
        <v>4.928561651808482E-7</v>
      </c>
      <c r="BM46" s="386">
        <v>4.4665611663691271E-7</v>
      </c>
      <c r="BN46" s="386">
        <v>4.4665611663691271E-7</v>
      </c>
      <c r="BO46" s="386">
        <v>4.4665611663691271E-7</v>
      </c>
      <c r="BP46" s="385">
        <v>4.5566252151986248E-7</v>
      </c>
      <c r="BQ46" s="385">
        <v>4.6948609257155763E-7</v>
      </c>
      <c r="BR46" s="385">
        <v>4.6594213778684218E-7</v>
      </c>
      <c r="BS46" s="385">
        <v>4.5156032057913739E-7</v>
      </c>
      <c r="BT46" s="385">
        <v>4.7012088884099241E-7</v>
      </c>
      <c r="BU46" s="385">
        <v>4.7833621949624667E-7</v>
      </c>
      <c r="BV46" s="385">
        <v>4.7904829237115495E-7</v>
      </c>
      <c r="BW46" s="385">
        <v>4.7990036572976674E-7</v>
      </c>
      <c r="BX46" s="385">
        <v>4.7374939921729588E-7</v>
      </c>
      <c r="BY46" s="385">
        <v>4.6116323901809218E-7</v>
      </c>
      <c r="BZ46" s="385">
        <v>4.7178459229660202E-7</v>
      </c>
      <c r="CA46" s="385">
        <v>4.8377295293786967E-7</v>
      </c>
      <c r="CB46" s="385">
        <v>0</v>
      </c>
      <c r="CC46"/>
      <c r="DA46" s="538"/>
      <c r="DB46" s="363" t="s">
        <v>37</v>
      </c>
      <c r="DC46" s="385">
        <v>3.5612934878018088E-2</v>
      </c>
      <c r="DD46" s="385">
        <v>3.710030738755199E-2</v>
      </c>
      <c r="DE46" s="385">
        <v>2.1231249480780034E-2</v>
      </c>
      <c r="DF46" s="385">
        <v>3.7573943266427934E-2</v>
      </c>
      <c r="DG46" s="385">
        <v>1.6314507207559004E-2</v>
      </c>
      <c r="DH46" s="386">
        <v>3.6891970865114088E-2</v>
      </c>
      <c r="DI46" s="386">
        <v>3.6891970865114088E-2</v>
      </c>
      <c r="DJ46" s="386">
        <v>3.6891970865114088E-2</v>
      </c>
      <c r="DK46" s="386">
        <v>4.0110231039629962E-2</v>
      </c>
      <c r="DL46" s="386">
        <v>2.6002357361434081E-2</v>
      </c>
      <c r="DM46" s="385">
        <v>2.9277650310763015E-2</v>
      </c>
      <c r="DN46" s="385">
        <v>3.8428173042686975E-2</v>
      </c>
      <c r="DO46" s="385">
        <v>3.7798892843359022E-2</v>
      </c>
      <c r="DP46" s="385">
        <v>2.7185329466234975E-2</v>
      </c>
      <c r="DQ46" s="385">
        <v>4.1373199399580951E-2</v>
      </c>
      <c r="DR46" s="385">
        <v>3.6801830140031022E-2</v>
      </c>
      <c r="DS46" s="385">
        <v>3.0735872053377022E-2</v>
      </c>
      <c r="DT46" s="385">
        <v>3.9217144115283986E-2</v>
      </c>
      <c r="DU46" s="385">
        <v>3.2176986098030991E-2</v>
      </c>
      <c r="DV46" s="385">
        <v>3.2725624490014926E-2</v>
      </c>
      <c r="DW46" s="385">
        <v>0</v>
      </c>
    </row>
    <row r="47" spans="1:127" ht="14.25" customHeight="1">
      <c r="A47" s="544"/>
      <c r="B47" s="196" t="s">
        <v>140</v>
      </c>
      <c r="C47" s="156">
        <v>0</v>
      </c>
      <c r="D47" s="156">
        <v>0</v>
      </c>
      <c r="E47" s="156">
        <v>0</v>
      </c>
      <c r="F47" s="156">
        <v>0</v>
      </c>
      <c r="G47" s="156">
        <v>0</v>
      </c>
      <c r="H47" s="156">
        <v>0</v>
      </c>
      <c r="I47" s="156">
        <v>0</v>
      </c>
      <c r="J47" s="156">
        <v>0</v>
      </c>
      <c r="K47" s="156">
        <v>0</v>
      </c>
      <c r="L47" s="156">
        <v>0</v>
      </c>
      <c r="M47" s="156">
        <v>0</v>
      </c>
      <c r="N47" s="156">
        <v>0</v>
      </c>
      <c r="O47" s="156">
        <v>0</v>
      </c>
      <c r="P47" s="156">
        <v>0</v>
      </c>
      <c r="Q47" s="156">
        <v>0</v>
      </c>
      <c r="R47" s="156">
        <v>0</v>
      </c>
      <c r="S47" s="156">
        <v>0</v>
      </c>
      <c r="T47" s="156">
        <v>0</v>
      </c>
      <c r="U47" s="156">
        <v>0</v>
      </c>
      <c r="V47" s="156">
        <v>0</v>
      </c>
      <c r="W47" s="200">
        <v>0</v>
      </c>
      <c r="AA47" s="544"/>
      <c r="AB47" s="196" t="s">
        <v>140</v>
      </c>
      <c r="AC47" s="156">
        <v>0</v>
      </c>
      <c r="AD47" s="156">
        <v>0</v>
      </c>
      <c r="AE47" s="156">
        <v>0</v>
      </c>
      <c r="AF47" s="156">
        <v>0</v>
      </c>
      <c r="AG47" s="156">
        <v>0</v>
      </c>
      <c r="AH47" s="156">
        <v>0</v>
      </c>
      <c r="AI47" s="156">
        <v>0</v>
      </c>
      <c r="AJ47" s="156">
        <v>0</v>
      </c>
      <c r="AK47" s="156">
        <v>0</v>
      </c>
      <c r="AL47" s="156">
        <v>0</v>
      </c>
      <c r="AM47" s="156">
        <v>0</v>
      </c>
      <c r="AN47" s="156">
        <v>0</v>
      </c>
      <c r="AO47" s="156">
        <v>0</v>
      </c>
      <c r="AP47" s="156">
        <v>0</v>
      </c>
      <c r="AQ47" s="156">
        <v>0</v>
      </c>
      <c r="AR47" s="156">
        <v>0</v>
      </c>
      <c r="AS47" s="156">
        <v>0</v>
      </c>
      <c r="AT47" s="156">
        <v>0</v>
      </c>
      <c r="AU47" s="156">
        <v>0</v>
      </c>
      <c r="AV47" s="156">
        <v>0</v>
      </c>
      <c r="AW47" s="200">
        <v>0</v>
      </c>
      <c r="BF47" s="538"/>
      <c r="BG47" s="363" t="s">
        <v>140</v>
      </c>
      <c r="BH47" s="385">
        <v>6.9003741338937071E-7</v>
      </c>
      <c r="BI47" s="385">
        <v>7.4033925914833763E-7</v>
      </c>
      <c r="BJ47" s="385">
        <v>5.553464496979607E-7</v>
      </c>
      <c r="BK47" s="385">
        <v>8.1999649004736339E-7</v>
      </c>
      <c r="BL47" s="385">
        <v>4.987597908943656E-7</v>
      </c>
      <c r="BM47" s="386">
        <v>5.9508498462439783E-7</v>
      </c>
      <c r="BN47" s="386">
        <v>5.9508498462439783E-7</v>
      </c>
      <c r="BO47" s="386">
        <v>5.9508498462439783E-7</v>
      </c>
      <c r="BP47" s="385">
        <v>5.9519625512319597E-7</v>
      </c>
      <c r="BQ47" s="385">
        <v>5.4124136394363644E-7</v>
      </c>
      <c r="BR47" s="385">
        <v>5.6012488584861415E-7</v>
      </c>
      <c r="BS47" s="385">
        <v>6.0201737887410714E-7</v>
      </c>
      <c r="BT47" s="385">
        <v>5.4217159733072715E-7</v>
      </c>
      <c r="BU47" s="385">
        <v>5.1046896631832546E-7</v>
      </c>
      <c r="BV47" s="385">
        <v>5.3597946990698403E-7</v>
      </c>
      <c r="BW47" s="385">
        <v>5.3079928061839249E-7</v>
      </c>
      <c r="BX47" s="385">
        <v>5.1278706569790641E-7</v>
      </c>
      <c r="BY47" s="385">
        <v>5.4846846021782782E-7</v>
      </c>
      <c r="BZ47" s="385">
        <v>5.5405765679993246E-7</v>
      </c>
      <c r="CA47" s="385">
        <v>4.1248899816573182E-7</v>
      </c>
      <c r="CB47" s="385">
        <v>0</v>
      </c>
      <c r="CC47"/>
      <c r="DA47" s="538"/>
      <c r="DB47" s="363" t="s">
        <v>140</v>
      </c>
      <c r="DC47" s="385">
        <v>-2.1318265206595299E-2</v>
      </c>
      <c r="DD47" s="385">
        <v>-2.0127256339725008E-2</v>
      </c>
      <c r="DE47" s="385">
        <v>-4.6831912448650703E-2</v>
      </c>
      <c r="DF47" s="385">
        <v>-1.7569589784816375E-2</v>
      </c>
      <c r="DG47" s="385">
        <v>-5.0466021301685315E-2</v>
      </c>
      <c r="DH47" s="386">
        <v>-2.9746535329990498E-2</v>
      </c>
      <c r="DI47" s="386">
        <v>-2.9746535329990498E-2</v>
      </c>
      <c r="DJ47" s="386">
        <v>-2.9746535329990498E-2</v>
      </c>
      <c r="DK47" s="386">
        <v>-3.0021900376550836E-2</v>
      </c>
      <c r="DL47" s="386">
        <v>-4.7921775315124981E-2</v>
      </c>
      <c r="DM47" s="385">
        <v>-4.087276121692951E-2</v>
      </c>
      <c r="DN47" s="385">
        <v>-2.3392748268685537E-2</v>
      </c>
      <c r="DO47" s="385">
        <v>-3.164238733671576E-2</v>
      </c>
      <c r="DP47" s="385">
        <v>-4.7533511580324372E-2</v>
      </c>
      <c r="DQ47" s="385">
        <v>-3.3934703807324773E-2</v>
      </c>
      <c r="DR47" s="385">
        <v>-3.906297435858519E-2</v>
      </c>
      <c r="DS47" s="385">
        <v>-4.439533133461071E-2</v>
      </c>
      <c r="DT47" s="385">
        <v>-3.3002017894048663E-2</v>
      </c>
      <c r="DU47" s="385">
        <v>-4.5170657957482097E-2</v>
      </c>
      <c r="DV47" s="385">
        <v>-5.9217287463833368E-2</v>
      </c>
      <c r="DW47" s="385">
        <v>0</v>
      </c>
    </row>
    <row r="48" spans="1:127" ht="14.25" customHeight="1">
      <c r="A48" s="544"/>
      <c r="B48" s="196" t="s">
        <v>48</v>
      </c>
      <c r="C48" s="156">
        <v>0.99999999999999989</v>
      </c>
      <c r="D48" s="156">
        <v>1</v>
      </c>
      <c r="E48" s="156">
        <v>0.96247705611524603</v>
      </c>
      <c r="F48" s="156">
        <v>0.85607809542452018</v>
      </c>
      <c r="G48" s="156">
        <v>0.99999999999999978</v>
      </c>
      <c r="H48" s="156">
        <v>0.98681924720361547</v>
      </c>
      <c r="I48" s="156">
        <v>1</v>
      </c>
      <c r="J48" s="156">
        <v>0.99999999999999989</v>
      </c>
      <c r="K48" s="156">
        <v>0.99999999999999989</v>
      </c>
      <c r="L48" s="156">
        <v>1</v>
      </c>
      <c r="M48" s="156">
        <v>1</v>
      </c>
      <c r="N48" s="156">
        <v>1</v>
      </c>
      <c r="O48" s="156">
        <v>0.99999999999999978</v>
      </c>
      <c r="P48" s="156">
        <v>1</v>
      </c>
      <c r="Q48" s="156">
        <v>1</v>
      </c>
      <c r="R48" s="156">
        <v>1</v>
      </c>
      <c r="S48" s="156">
        <v>1</v>
      </c>
      <c r="T48" s="156">
        <v>0.99999999999999989</v>
      </c>
      <c r="U48" s="156">
        <v>1</v>
      </c>
      <c r="V48" s="156">
        <v>1</v>
      </c>
      <c r="W48" s="200">
        <v>0</v>
      </c>
      <c r="AA48" s="544"/>
      <c r="AB48" s="196" t="s">
        <v>48</v>
      </c>
      <c r="AC48" s="156">
        <v>1</v>
      </c>
      <c r="AD48" s="156">
        <v>1</v>
      </c>
      <c r="AE48" s="156">
        <v>0.99952214678352269</v>
      </c>
      <c r="AF48" s="156">
        <v>0.99999999172852472</v>
      </c>
      <c r="AG48" s="156">
        <v>0.99999999999999989</v>
      </c>
      <c r="AH48" s="156">
        <v>0.99992993052388957</v>
      </c>
      <c r="AI48" s="156">
        <v>0.99999999999999989</v>
      </c>
      <c r="AJ48" s="156">
        <v>1</v>
      </c>
      <c r="AK48" s="156">
        <v>1</v>
      </c>
      <c r="AL48" s="156">
        <v>1</v>
      </c>
      <c r="AM48" s="156">
        <v>1</v>
      </c>
      <c r="AN48" s="156">
        <v>0.99999999999999978</v>
      </c>
      <c r="AO48" s="156">
        <v>1</v>
      </c>
      <c r="AP48" s="156">
        <v>1</v>
      </c>
      <c r="AQ48" s="156">
        <v>1</v>
      </c>
      <c r="AR48" s="156">
        <v>1</v>
      </c>
      <c r="AS48" s="156">
        <v>1</v>
      </c>
      <c r="AT48" s="156">
        <v>1</v>
      </c>
      <c r="AU48" s="156">
        <v>1</v>
      </c>
      <c r="AV48" s="156">
        <v>1</v>
      </c>
      <c r="AW48" s="200">
        <v>0</v>
      </c>
      <c r="BF48" s="538"/>
      <c r="BG48" s="363" t="s">
        <v>48</v>
      </c>
      <c r="BH48" s="385">
        <v>4.2368210946005687E-6</v>
      </c>
      <c r="BI48" s="385">
        <v>4.2339673364929932E-6</v>
      </c>
      <c r="BJ48" s="385">
        <v>4.2671444252124501E-6</v>
      </c>
      <c r="BK48" s="385">
        <v>4.1040184352733097E-6</v>
      </c>
      <c r="BL48" s="385">
        <v>4.2961318535144536E-6</v>
      </c>
      <c r="BM48" s="386">
        <v>4.1485167922916666E-6</v>
      </c>
      <c r="BN48" s="386">
        <v>4.1485167922916666E-6</v>
      </c>
      <c r="BO48" s="386">
        <v>4.1485167922916666E-6</v>
      </c>
      <c r="BP48" s="385">
        <v>4.218438315553732E-6</v>
      </c>
      <c r="BQ48" s="385">
        <v>4.2172500747517826E-6</v>
      </c>
      <c r="BR48" s="385">
        <v>4.2361462099201211E-6</v>
      </c>
      <c r="BS48" s="385">
        <v>4.1918953134549794E-6</v>
      </c>
      <c r="BT48" s="385">
        <v>4.2321438372494429E-6</v>
      </c>
      <c r="BU48" s="385">
        <v>4.2321113267914654E-6</v>
      </c>
      <c r="BV48" s="385">
        <v>4.2517382060742943E-6</v>
      </c>
      <c r="BW48" s="385">
        <v>4.2438334446033709E-6</v>
      </c>
      <c r="BX48" s="385">
        <v>4.2466549366804279E-6</v>
      </c>
      <c r="BY48" s="385">
        <v>4.2127216392656242E-6</v>
      </c>
      <c r="BZ48" s="385">
        <v>4.2231008159972114E-6</v>
      </c>
      <c r="CA48" s="385">
        <v>4.3422037547159143E-6</v>
      </c>
      <c r="CB48" s="385">
        <v>0</v>
      </c>
      <c r="CC48"/>
      <c r="DA48" s="538"/>
      <c r="DB48" s="363" t="s">
        <v>48</v>
      </c>
      <c r="DC48" s="385">
        <v>-3.2017782147737206E-2</v>
      </c>
      <c r="DD48" s="385">
        <v>-2.8058791654333448E-2</v>
      </c>
      <c r="DE48" s="385">
        <v>-4.0278102343109579E-2</v>
      </c>
      <c r="DF48" s="385">
        <v>-1.9691851664915272E-2</v>
      </c>
      <c r="DG48" s="385">
        <v>-4.5544194428468687E-2</v>
      </c>
      <c r="DH48" s="386">
        <v>-2.2356739892815947E-2</v>
      </c>
      <c r="DI48" s="386">
        <v>-2.2356739892815947E-2</v>
      </c>
      <c r="DJ48" s="386">
        <v>-2.2356739892815947E-2</v>
      </c>
      <c r="DK48" s="386">
        <v>-2.5661432805441753E-2</v>
      </c>
      <c r="DL48" s="386">
        <v>-3.8839218329273617E-2</v>
      </c>
      <c r="DM48" s="385">
        <v>-3.9858305962578666E-2</v>
      </c>
      <c r="DN48" s="385">
        <v>-3.1865602707746965E-2</v>
      </c>
      <c r="DO48" s="385">
        <v>-3.1446604671351852E-2</v>
      </c>
      <c r="DP48" s="385">
        <v>-4.1131370642471521E-2</v>
      </c>
      <c r="DQ48" s="385">
        <v>-3.0399043007071525E-2</v>
      </c>
      <c r="DR48" s="385">
        <v>-3.1662084964003578E-2</v>
      </c>
      <c r="DS48" s="385">
        <v>-3.8170130112021861E-2</v>
      </c>
      <c r="DT48" s="385">
        <v>-2.9511492550593377E-2</v>
      </c>
      <c r="DU48" s="385">
        <v>-3.7256342459972336E-2</v>
      </c>
      <c r="DV48" s="385">
        <v>-3.9900450948899047E-2</v>
      </c>
      <c r="DW48" s="385">
        <v>0</v>
      </c>
    </row>
    <row r="49" spans="1:127" ht="14.25" customHeight="1">
      <c r="A49" s="544"/>
      <c r="B49" s="196" t="s">
        <v>141</v>
      </c>
      <c r="C49" s="156">
        <v>0</v>
      </c>
      <c r="D49" s="156">
        <v>0</v>
      </c>
      <c r="E49" s="156">
        <v>0</v>
      </c>
      <c r="F49" s="156">
        <v>0</v>
      </c>
      <c r="G49" s="156">
        <v>0</v>
      </c>
      <c r="H49" s="156">
        <v>0</v>
      </c>
      <c r="I49" s="156">
        <v>0</v>
      </c>
      <c r="J49" s="156">
        <v>0</v>
      </c>
      <c r="K49" s="156">
        <v>0</v>
      </c>
      <c r="L49" s="156">
        <v>0</v>
      </c>
      <c r="M49" s="156">
        <v>0</v>
      </c>
      <c r="N49" s="156">
        <v>0</v>
      </c>
      <c r="O49" s="156">
        <v>0</v>
      </c>
      <c r="P49" s="156">
        <v>0</v>
      </c>
      <c r="Q49" s="156">
        <v>0</v>
      </c>
      <c r="R49" s="156">
        <v>0</v>
      </c>
      <c r="S49" s="156">
        <v>0</v>
      </c>
      <c r="T49" s="156">
        <v>0</v>
      </c>
      <c r="U49" s="156">
        <v>0</v>
      </c>
      <c r="V49" s="156">
        <v>0</v>
      </c>
      <c r="W49" s="200">
        <v>0</v>
      </c>
      <c r="AA49" s="544"/>
      <c r="AB49" s="196" t="s">
        <v>141</v>
      </c>
      <c r="AC49" s="156">
        <v>0</v>
      </c>
      <c r="AD49" s="156">
        <v>0</v>
      </c>
      <c r="AE49" s="156">
        <v>0</v>
      </c>
      <c r="AF49" s="156">
        <v>0</v>
      </c>
      <c r="AG49" s="156">
        <v>0</v>
      </c>
      <c r="AH49" s="156">
        <v>0</v>
      </c>
      <c r="AI49" s="156">
        <v>0</v>
      </c>
      <c r="AJ49" s="156">
        <v>0</v>
      </c>
      <c r="AK49" s="156">
        <v>0</v>
      </c>
      <c r="AL49" s="156">
        <v>0</v>
      </c>
      <c r="AM49" s="156">
        <v>0</v>
      </c>
      <c r="AN49" s="156">
        <v>0</v>
      </c>
      <c r="AO49" s="156">
        <v>0</v>
      </c>
      <c r="AP49" s="156">
        <v>0</v>
      </c>
      <c r="AQ49" s="156">
        <v>0</v>
      </c>
      <c r="AR49" s="156">
        <v>0</v>
      </c>
      <c r="AS49" s="156">
        <v>0</v>
      </c>
      <c r="AT49" s="156">
        <v>0</v>
      </c>
      <c r="AU49" s="156">
        <v>0</v>
      </c>
      <c r="AV49" s="156">
        <v>0</v>
      </c>
      <c r="AW49" s="200">
        <v>0</v>
      </c>
      <c r="BF49" s="538"/>
      <c r="BG49" s="363" t="s">
        <v>141</v>
      </c>
      <c r="BH49" s="385">
        <v>1.6979103817769131E-7</v>
      </c>
      <c r="BI49" s="385">
        <v>1.403349759084448E-7</v>
      </c>
      <c r="BJ49" s="385">
        <v>1.4374299883160711E-7</v>
      </c>
      <c r="BK49" s="385">
        <v>1.9519938255143331E-7</v>
      </c>
      <c r="BL49" s="385">
        <v>1.2784575230971751E-7</v>
      </c>
      <c r="BM49" s="386">
        <v>1.6822852375928389E-7</v>
      </c>
      <c r="BN49" s="386">
        <v>1.6822852375928389E-7</v>
      </c>
      <c r="BO49" s="386">
        <v>1.6822852375928389E-7</v>
      </c>
      <c r="BP49" s="385">
        <v>1.3686190529461529E-7</v>
      </c>
      <c r="BQ49" s="385">
        <v>1.335431549236741E-7</v>
      </c>
      <c r="BR49" s="385">
        <v>1.204397948653791E-7</v>
      </c>
      <c r="BS49" s="385">
        <v>1.6816634654870081E-7</v>
      </c>
      <c r="BT49" s="385">
        <v>1.373581556527114E-7</v>
      </c>
      <c r="BU49" s="385">
        <v>1.3576219104265639E-7</v>
      </c>
      <c r="BV49" s="385">
        <v>1.4079006529392901E-7</v>
      </c>
      <c r="BW49" s="385">
        <v>1.235975913806336E-7</v>
      </c>
      <c r="BX49" s="385">
        <v>1.3577577845957091E-7</v>
      </c>
      <c r="BY49" s="385">
        <v>1.5302930457970051E-7</v>
      </c>
      <c r="BZ49" s="385">
        <v>1.442333349021616E-7</v>
      </c>
      <c r="CA49" s="385">
        <v>1.402773795632114E-7</v>
      </c>
      <c r="CB49" s="385">
        <v>0</v>
      </c>
      <c r="CC49"/>
      <c r="DA49" s="538"/>
      <c r="DB49" s="363" t="s">
        <v>141</v>
      </c>
      <c r="DC49" s="385">
        <v>-5.0495303359475052E-2</v>
      </c>
      <c r="DD49" s="385">
        <v>-5.6052437951637502E-2</v>
      </c>
      <c r="DE49" s="385">
        <v>-5.7619361083348752E-2</v>
      </c>
      <c r="DF49" s="385">
        <v>-5.1014935566033981E-2</v>
      </c>
      <c r="DG49" s="385">
        <v>-4.3434895705493637E-2</v>
      </c>
      <c r="DH49" s="386">
        <v>-5.2566331296898583E-2</v>
      </c>
      <c r="DI49" s="386">
        <v>-5.2566331296898583E-2</v>
      </c>
      <c r="DJ49" s="386">
        <v>-5.2566331296898583E-2</v>
      </c>
      <c r="DK49" s="386">
        <v>-3.5087609288557031E-2</v>
      </c>
      <c r="DL49" s="386">
        <v>-5.7997443550190542E-2</v>
      </c>
      <c r="DM49" s="385">
        <v>-3.8879339413403713E-2</v>
      </c>
      <c r="DN49" s="385">
        <v>-4.4904991449106979E-2</v>
      </c>
      <c r="DO49" s="385">
        <v>-5.0221194246041434E-2</v>
      </c>
      <c r="DP49" s="385">
        <v>-6.1414143766418738E-2</v>
      </c>
      <c r="DQ49" s="385">
        <v>-5.0929704559054878E-2</v>
      </c>
      <c r="DR49" s="385">
        <v>-5.7291486619830412E-2</v>
      </c>
      <c r="DS49" s="385">
        <v>-5.6732862571666876E-2</v>
      </c>
      <c r="DT49" s="385">
        <v>-5.3536215249233576E-2</v>
      </c>
      <c r="DU49" s="385">
        <v>-5.9038583384698029E-2</v>
      </c>
      <c r="DV49" s="385">
        <v>-6.0330820173093103E-2</v>
      </c>
      <c r="DW49" s="385">
        <v>0</v>
      </c>
    </row>
    <row r="50" spans="1:127" ht="14.25" customHeight="1">
      <c r="A50" s="544"/>
      <c r="B50" s="196" t="s">
        <v>142</v>
      </c>
      <c r="C50" s="156">
        <v>0</v>
      </c>
      <c r="D50" s="156">
        <v>0</v>
      </c>
      <c r="E50" s="156">
        <v>0</v>
      </c>
      <c r="F50" s="156">
        <v>0</v>
      </c>
      <c r="G50" s="156">
        <v>0</v>
      </c>
      <c r="H50" s="156">
        <v>0</v>
      </c>
      <c r="I50" s="156">
        <v>0</v>
      </c>
      <c r="J50" s="156">
        <v>0</v>
      </c>
      <c r="K50" s="156">
        <v>0</v>
      </c>
      <c r="L50" s="156">
        <v>0</v>
      </c>
      <c r="M50" s="156">
        <v>0</v>
      </c>
      <c r="N50" s="156">
        <v>0</v>
      </c>
      <c r="O50" s="156">
        <v>0</v>
      </c>
      <c r="P50" s="156">
        <v>0</v>
      </c>
      <c r="Q50" s="156">
        <v>0</v>
      </c>
      <c r="R50" s="156">
        <v>0</v>
      </c>
      <c r="S50" s="156">
        <v>0</v>
      </c>
      <c r="T50" s="156">
        <v>0</v>
      </c>
      <c r="U50" s="156">
        <v>0</v>
      </c>
      <c r="V50" s="156">
        <v>0</v>
      </c>
      <c r="W50" s="200">
        <v>0</v>
      </c>
      <c r="AA50" s="544"/>
      <c r="AB50" s="196" t="s">
        <v>142</v>
      </c>
      <c r="AC50" s="156">
        <v>0</v>
      </c>
      <c r="AD50" s="156">
        <v>0</v>
      </c>
      <c r="AE50" s="156">
        <v>0</v>
      </c>
      <c r="AF50" s="156">
        <v>0</v>
      </c>
      <c r="AG50" s="156">
        <v>0</v>
      </c>
      <c r="AH50" s="156">
        <v>0</v>
      </c>
      <c r="AI50" s="156">
        <v>0</v>
      </c>
      <c r="AJ50" s="156">
        <v>0</v>
      </c>
      <c r="AK50" s="156">
        <v>0</v>
      </c>
      <c r="AL50" s="156">
        <v>0</v>
      </c>
      <c r="AM50" s="156">
        <v>0</v>
      </c>
      <c r="AN50" s="156">
        <v>0</v>
      </c>
      <c r="AO50" s="156">
        <v>0</v>
      </c>
      <c r="AP50" s="156">
        <v>0</v>
      </c>
      <c r="AQ50" s="156">
        <v>0</v>
      </c>
      <c r="AR50" s="156">
        <v>0</v>
      </c>
      <c r="AS50" s="156">
        <v>0</v>
      </c>
      <c r="AT50" s="156">
        <v>0</v>
      </c>
      <c r="AU50" s="156">
        <v>0</v>
      </c>
      <c r="AV50" s="156">
        <v>0</v>
      </c>
      <c r="AW50" s="200">
        <v>0</v>
      </c>
      <c r="BF50" s="538"/>
      <c r="BG50" s="363" t="s">
        <v>142</v>
      </c>
      <c r="BH50" s="385">
        <v>3.5788420655020686E-6</v>
      </c>
      <c r="BI50" s="385">
        <v>3.9923216810074125E-6</v>
      </c>
      <c r="BJ50" s="385">
        <v>3.1802095742599178E-6</v>
      </c>
      <c r="BK50" s="385">
        <v>4.7151304942576673E-6</v>
      </c>
      <c r="BL50" s="385">
        <v>2.9246729819440007E-6</v>
      </c>
      <c r="BM50" s="386">
        <v>3.0993741316339125E-6</v>
      </c>
      <c r="BN50" s="386">
        <v>1.5528241023555011E-5</v>
      </c>
      <c r="BO50" s="386">
        <v>1.8031326400679726E-5</v>
      </c>
      <c r="BP50" s="385">
        <v>3.4785963268807369E-6</v>
      </c>
      <c r="BQ50" s="385">
        <v>3.2587181779411658E-6</v>
      </c>
      <c r="BR50" s="385">
        <v>3.1295420860038289E-6</v>
      </c>
      <c r="BS50" s="385">
        <v>3.8731458481582136E-6</v>
      </c>
      <c r="BT50" s="385">
        <v>3.2133612246182696E-6</v>
      </c>
      <c r="BU50" s="385">
        <v>3.0981661676456551E-6</v>
      </c>
      <c r="BV50" s="385">
        <v>3.1763947108993663E-6</v>
      </c>
      <c r="BW50" s="385">
        <v>3.1374431335044144E-6</v>
      </c>
      <c r="BX50" s="385">
        <v>3.1713109575837042E-6</v>
      </c>
      <c r="BY50" s="385">
        <v>3.2319740736593055E-6</v>
      </c>
      <c r="BZ50" s="385">
        <v>3.0710346163389264E-6</v>
      </c>
      <c r="CA50" s="385">
        <v>2.9766680563594651E-6</v>
      </c>
      <c r="CB50" s="385">
        <v>0</v>
      </c>
      <c r="CC50"/>
      <c r="DA50" s="538"/>
      <c r="DB50" s="363" t="s">
        <v>142</v>
      </c>
      <c r="DC50" s="385">
        <v>-5.4601738173996051E-2</v>
      </c>
      <c r="DD50" s="385">
        <v>-5.9961482243186315E-2</v>
      </c>
      <c r="DE50" s="385">
        <v>-6.820353939483248E-2</v>
      </c>
      <c r="DF50" s="385">
        <v>-5.9303659846260515E-2</v>
      </c>
      <c r="DG50" s="385">
        <v>-7.2377938700199485E-2</v>
      </c>
      <c r="DH50" s="386">
        <v>-7.9614211615727792E-2</v>
      </c>
      <c r="DI50" s="386">
        <v>-7.9614211615727792E-2</v>
      </c>
      <c r="DJ50" s="386">
        <v>-7.9614211615727792E-2</v>
      </c>
      <c r="DK50" s="386">
        <v>-5.0421947105015241E-2</v>
      </c>
      <c r="DL50" s="386">
        <v>-6.7281917052396834E-2</v>
      </c>
      <c r="DM50" s="385">
        <v>-6.6128181885744874E-2</v>
      </c>
      <c r="DN50" s="385">
        <v>-5.279385006656101E-2</v>
      </c>
      <c r="DO50" s="385">
        <v>-5.6648581755936012E-2</v>
      </c>
      <c r="DP50" s="385">
        <v>-6.9113870732250393E-2</v>
      </c>
      <c r="DQ50" s="385">
        <v>-5.6619144374204788E-2</v>
      </c>
      <c r="DR50" s="385">
        <v>-5.8559811285765706E-2</v>
      </c>
      <c r="DS50" s="385">
        <v>-6.4562567449402364E-2</v>
      </c>
      <c r="DT50" s="385">
        <v>-5.8867341067509682E-2</v>
      </c>
      <c r="DU50" s="385">
        <v>-6.6289665718661572E-2</v>
      </c>
      <c r="DV50" s="385">
        <v>-7.1731815446756664E-2</v>
      </c>
      <c r="DW50" s="385">
        <v>0</v>
      </c>
    </row>
    <row r="51" spans="1:127" ht="14.25" customHeight="1">
      <c r="A51" s="544"/>
      <c r="B51" s="196" t="s">
        <v>143</v>
      </c>
      <c r="C51" s="156">
        <v>0</v>
      </c>
      <c r="D51" s="156">
        <v>0</v>
      </c>
      <c r="E51" s="156">
        <v>0</v>
      </c>
      <c r="F51" s="156">
        <v>0</v>
      </c>
      <c r="G51" s="156">
        <v>0</v>
      </c>
      <c r="H51" s="156">
        <v>0</v>
      </c>
      <c r="I51" s="156">
        <v>0</v>
      </c>
      <c r="J51" s="156">
        <v>0</v>
      </c>
      <c r="K51" s="156">
        <v>0</v>
      </c>
      <c r="L51" s="156">
        <v>0</v>
      </c>
      <c r="M51" s="156">
        <v>0</v>
      </c>
      <c r="N51" s="156">
        <v>0</v>
      </c>
      <c r="O51" s="156">
        <v>0</v>
      </c>
      <c r="P51" s="156">
        <v>0</v>
      </c>
      <c r="Q51" s="156">
        <v>0</v>
      </c>
      <c r="R51" s="156">
        <v>0</v>
      </c>
      <c r="S51" s="156">
        <v>0</v>
      </c>
      <c r="T51" s="156">
        <v>0</v>
      </c>
      <c r="U51" s="156">
        <v>0</v>
      </c>
      <c r="V51" s="156">
        <v>0</v>
      </c>
      <c r="W51" s="200">
        <v>0</v>
      </c>
      <c r="AA51" s="544"/>
      <c r="AB51" s="196" t="s">
        <v>143</v>
      </c>
      <c r="AC51" s="156">
        <v>0</v>
      </c>
      <c r="AD51" s="156">
        <v>0</v>
      </c>
      <c r="AE51" s="156">
        <v>0</v>
      </c>
      <c r="AF51" s="156">
        <v>0</v>
      </c>
      <c r="AG51" s="156">
        <v>0</v>
      </c>
      <c r="AH51" s="156">
        <v>0</v>
      </c>
      <c r="AI51" s="156">
        <v>0</v>
      </c>
      <c r="AJ51" s="156">
        <v>0</v>
      </c>
      <c r="AK51" s="156">
        <v>0</v>
      </c>
      <c r="AL51" s="156">
        <v>0</v>
      </c>
      <c r="AM51" s="156">
        <v>0</v>
      </c>
      <c r="AN51" s="156">
        <v>0</v>
      </c>
      <c r="AO51" s="156">
        <v>0</v>
      </c>
      <c r="AP51" s="156">
        <v>0</v>
      </c>
      <c r="AQ51" s="156">
        <v>0</v>
      </c>
      <c r="AR51" s="156">
        <v>0</v>
      </c>
      <c r="AS51" s="156">
        <v>0</v>
      </c>
      <c r="AT51" s="156">
        <v>0</v>
      </c>
      <c r="AU51" s="156">
        <v>0</v>
      </c>
      <c r="AV51" s="156">
        <v>0</v>
      </c>
      <c r="AW51" s="200">
        <v>0</v>
      </c>
      <c r="BF51" s="538"/>
      <c r="BG51" s="363" t="s">
        <v>143</v>
      </c>
      <c r="BH51" s="385">
        <v>3.8298695546671307E-7</v>
      </c>
      <c r="BI51" s="385">
        <v>4.2723514976855443E-7</v>
      </c>
      <c r="BJ51" s="385">
        <v>3.4032761443498626E-7</v>
      </c>
      <c r="BK51" s="385">
        <v>5.0458596372026972E-7</v>
      </c>
      <c r="BL51" s="385">
        <v>3.1298156794559408E-7</v>
      </c>
      <c r="BM51" s="386">
        <v>3.3167707342241579E-7</v>
      </c>
      <c r="BN51" s="386">
        <v>1.6617424419734323E-6</v>
      </c>
      <c r="BO51" s="386">
        <v>1.9296081455480764E-6</v>
      </c>
      <c r="BP51" s="385">
        <v>3.7225923696715149E-7</v>
      </c>
      <c r="BQ51" s="385">
        <v>3.487291506166634E-7</v>
      </c>
      <c r="BR51" s="385">
        <v>3.3490547321914507E-7</v>
      </c>
      <c r="BS51" s="385">
        <v>4.1448164219466783E-7</v>
      </c>
      <c r="BT51" s="385">
        <v>3.4387531210005796E-7</v>
      </c>
      <c r="BU51" s="385">
        <v>3.3154780411080361E-7</v>
      </c>
      <c r="BV51" s="385">
        <v>3.3991936984714516E-7</v>
      </c>
      <c r="BW51" s="385">
        <v>3.3575099757363278E-7</v>
      </c>
      <c r="BX51" s="385">
        <v>3.3937533600349579E-7</v>
      </c>
      <c r="BY51" s="385">
        <v>3.4586715143141659E-7</v>
      </c>
      <c r="BZ51" s="385">
        <v>3.2864434258836977E-7</v>
      </c>
      <c r="CA51" s="385">
        <v>3.1854577974515843E-7</v>
      </c>
      <c r="CB51" s="385">
        <v>0</v>
      </c>
      <c r="CC51"/>
      <c r="DA51" s="538"/>
      <c r="DB51" s="363" t="s">
        <v>143</v>
      </c>
      <c r="DC51" s="385">
        <v>-5.4601738173996051E-2</v>
      </c>
      <c r="DD51" s="385">
        <v>-5.9961482243186315E-2</v>
      </c>
      <c r="DE51" s="385">
        <v>-6.820353939483248E-2</v>
      </c>
      <c r="DF51" s="385">
        <v>-5.9303659846260515E-2</v>
      </c>
      <c r="DG51" s="385">
        <v>-7.2377938700199485E-2</v>
      </c>
      <c r="DH51" s="386">
        <v>-7.9614211615727792E-2</v>
      </c>
      <c r="DI51" s="386">
        <v>-7.9614211615727792E-2</v>
      </c>
      <c r="DJ51" s="386">
        <v>-7.9614211615727792E-2</v>
      </c>
      <c r="DK51" s="386">
        <v>-5.0421947105015241E-2</v>
      </c>
      <c r="DL51" s="386">
        <v>-6.7281917052396834E-2</v>
      </c>
      <c r="DM51" s="385">
        <v>-6.6128181885744874E-2</v>
      </c>
      <c r="DN51" s="385">
        <v>-5.279385006656101E-2</v>
      </c>
      <c r="DO51" s="385">
        <v>-5.6648581755936012E-2</v>
      </c>
      <c r="DP51" s="385">
        <v>-6.9113870732250393E-2</v>
      </c>
      <c r="DQ51" s="385">
        <v>-5.6619144374204788E-2</v>
      </c>
      <c r="DR51" s="385">
        <v>-5.8559811285765706E-2</v>
      </c>
      <c r="DS51" s="385">
        <v>-6.4562567449402364E-2</v>
      </c>
      <c r="DT51" s="385">
        <v>-5.8867341067509682E-2</v>
      </c>
      <c r="DU51" s="385">
        <v>-6.6289665718661572E-2</v>
      </c>
      <c r="DV51" s="385">
        <v>-7.1731815446756664E-2</v>
      </c>
      <c r="DW51" s="385">
        <v>0</v>
      </c>
    </row>
    <row r="52" spans="1:127" ht="14.25" customHeight="1">
      <c r="A52" s="544"/>
      <c r="B52" s="196" t="s">
        <v>144</v>
      </c>
      <c r="C52" s="156">
        <v>0</v>
      </c>
      <c r="D52" s="156">
        <v>0</v>
      </c>
      <c r="E52" s="156">
        <v>0</v>
      </c>
      <c r="F52" s="156">
        <v>0</v>
      </c>
      <c r="G52" s="156">
        <v>0</v>
      </c>
      <c r="H52" s="156">
        <v>0</v>
      </c>
      <c r="I52" s="156">
        <v>0</v>
      </c>
      <c r="J52" s="156">
        <v>0</v>
      </c>
      <c r="K52" s="156">
        <v>0</v>
      </c>
      <c r="L52" s="156">
        <v>0</v>
      </c>
      <c r="M52" s="156">
        <v>0</v>
      </c>
      <c r="N52" s="156">
        <v>0</v>
      </c>
      <c r="O52" s="156">
        <v>0</v>
      </c>
      <c r="P52" s="156">
        <v>0</v>
      </c>
      <c r="Q52" s="156">
        <v>0</v>
      </c>
      <c r="R52" s="156">
        <v>0</v>
      </c>
      <c r="S52" s="156">
        <v>0</v>
      </c>
      <c r="T52" s="156">
        <v>0</v>
      </c>
      <c r="U52" s="156">
        <v>0</v>
      </c>
      <c r="V52" s="156">
        <v>0</v>
      </c>
      <c r="W52" s="200">
        <v>0</v>
      </c>
      <c r="AA52" s="544"/>
      <c r="AB52" s="196" t="s">
        <v>144</v>
      </c>
      <c r="AC52" s="156">
        <v>0</v>
      </c>
      <c r="AD52" s="156">
        <v>0</v>
      </c>
      <c r="AE52" s="156">
        <v>0</v>
      </c>
      <c r="AF52" s="156">
        <v>0</v>
      </c>
      <c r="AG52" s="156">
        <v>0</v>
      </c>
      <c r="AH52" s="156">
        <v>0</v>
      </c>
      <c r="AI52" s="156">
        <v>0</v>
      </c>
      <c r="AJ52" s="156">
        <v>0</v>
      </c>
      <c r="AK52" s="156">
        <v>0</v>
      </c>
      <c r="AL52" s="156">
        <v>0</v>
      </c>
      <c r="AM52" s="156">
        <v>0</v>
      </c>
      <c r="AN52" s="156">
        <v>0</v>
      </c>
      <c r="AO52" s="156">
        <v>0</v>
      </c>
      <c r="AP52" s="156">
        <v>0</v>
      </c>
      <c r="AQ52" s="156">
        <v>0</v>
      </c>
      <c r="AR52" s="156">
        <v>0</v>
      </c>
      <c r="AS52" s="156">
        <v>0</v>
      </c>
      <c r="AT52" s="156">
        <v>0</v>
      </c>
      <c r="AU52" s="156">
        <v>0</v>
      </c>
      <c r="AV52" s="156">
        <v>0</v>
      </c>
      <c r="AW52" s="200">
        <v>0</v>
      </c>
      <c r="BF52" s="538"/>
      <c r="BG52" s="363" t="s">
        <v>144</v>
      </c>
      <c r="BH52" s="385">
        <v>3.0989117787051451E-7</v>
      </c>
      <c r="BI52" s="385">
        <v>3.4569429036590279E-7</v>
      </c>
      <c r="BJ52" s="385">
        <v>2.7537367472633551E-7</v>
      </c>
      <c r="BK52" s="385">
        <v>4.082821527006121E-7</v>
      </c>
      <c r="BL52" s="385">
        <v>2.5324681521914241E-7</v>
      </c>
      <c r="BM52" s="386">
        <v>2.6837415083828069E-7</v>
      </c>
      <c r="BN52" s="386">
        <v>1.3445871074983107E-6</v>
      </c>
      <c r="BO52" s="386">
        <v>1.5613287411414314E-6</v>
      </c>
      <c r="BP52" s="385">
        <v>3.012109205556374E-7</v>
      </c>
      <c r="BQ52" s="385">
        <v>2.8217171812206669E-7</v>
      </c>
      <c r="BR52" s="385">
        <v>2.7098638762954738E-7</v>
      </c>
      <c r="BS52" s="385">
        <v>3.3537488019373119E-7</v>
      </c>
      <c r="BT52" s="385">
        <v>2.7824426912247573E-7</v>
      </c>
      <c r="BU52" s="385">
        <v>2.6826955349190583E-7</v>
      </c>
      <c r="BV52" s="385">
        <v>2.7504334651442251E-7</v>
      </c>
      <c r="BW52" s="385">
        <v>2.7167053766231051E-7</v>
      </c>
      <c r="BX52" s="385">
        <v>2.746031453895448E-7</v>
      </c>
      <c r="BY52" s="385">
        <v>2.7985595178610941E-7</v>
      </c>
      <c r="BZ52" s="385">
        <v>2.65920238199973E-7</v>
      </c>
      <c r="CA52" s="385">
        <v>2.5774905772081393E-7</v>
      </c>
      <c r="CB52" s="385">
        <v>0</v>
      </c>
      <c r="CC52"/>
      <c r="DA52" s="538"/>
      <c r="DB52" s="363" t="s">
        <v>144</v>
      </c>
      <c r="DC52" s="385">
        <v>-5.4601738173996051E-2</v>
      </c>
      <c r="DD52" s="385">
        <v>-5.9961482243186315E-2</v>
      </c>
      <c r="DE52" s="385">
        <v>-6.820353939483248E-2</v>
      </c>
      <c r="DF52" s="385">
        <v>-5.9303659846260515E-2</v>
      </c>
      <c r="DG52" s="385">
        <v>-7.2377938700199485E-2</v>
      </c>
      <c r="DH52" s="386">
        <v>-7.9614211615727792E-2</v>
      </c>
      <c r="DI52" s="386">
        <v>-7.9614211615727792E-2</v>
      </c>
      <c r="DJ52" s="386">
        <v>-7.9614211615727792E-2</v>
      </c>
      <c r="DK52" s="386">
        <v>-5.0421947105015241E-2</v>
      </c>
      <c r="DL52" s="386">
        <v>-6.7281917052396834E-2</v>
      </c>
      <c r="DM52" s="385">
        <v>-6.6128181885744874E-2</v>
      </c>
      <c r="DN52" s="385">
        <v>-5.279385006656101E-2</v>
      </c>
      <c r="DO52" s="385">
        <v>-5.6648581755936012E-2</v>
      </c>
      <c r="DP52" s="385">
        <v>-6.9113870732250393E-2</v>
      </c>
      <c r="DQ52" s="385">
        <v>-5.6619144374204788E-2</v>
      </c>
      <c r="DR52" s="385">
        <v>-5.8559811285765706E-2</v>
      </c>
      <c r="DS52" s="385">
        <v>-6.4562567449402364E-2</v>
      </c>
      <c r="DT52" s="385">
        <v>-5.8867341067509682E-2</v>
      </c>
      <c r="DU52" s="385">
        <v>-6.6289665718661572E-2</v>
      </c>
      <c r="DV52" s="385">
        <v>-7.1731815446756664E-2</v>
      </c>
      <c r="DW52" s="385">
        <v>0</v>
      </c>
    </row>
    <row r="53" spans="1:127" ht="14.25" customHeight="1">
      <c r="A53" s="544"/>
      <c r="B53" s="196" t="s">
        <v>61</v>
      </c>
      <c r="C53" s="156">
        <v>0</v>
      </c>
      <c r="D53" s="156">
        <v>0</v>
      </c>
      <c r="E53" s="156">
        <v>0</v>
      </c>
      <c r="F53" s="156">
        <v>0</v>
      </c>
      <c r="G53" s="156">
        <v>0</v>
      </c>
      <c r="H53" s="156">
        <v>0</v>
      </c>
      <c r="I53" s="156">
        <v>0</v>
      </c>
      <c r="J53" s="156">
        <v>0</v>
      </c>
      <c r="K53" s="156">
        <v>0</v>
      </c>
      <c r="L53" s="156">
        <v>0</v>
      </c>
      <c r="M53" s="156">
        <v>0</v>
      </c>
      <c r="N53" s="156">
        <v>0</v>
      </c>
      <c r="O53" s="156">
        <v>0</v>
      </c>
      <c r="P53" s="156">
        <v>0</v>
      </c>
      <c r="Q53" s="156">
        <v>0</v>
      </c>
      <c r="R53" s="156">
        <v>0</v>
      </c>
      <c r="S53" s="156">
        <v>0</v>
      </c>
      <c r="T53" s="156">
        <v>0</v>
      </c>
      <c r="U53" s="156">
        <v>0</v>
      </c>
      <c r="V53" s="156">
        <v>0</v>
      </c>
      <c r="W53" s="200">
        <v>0</v>
      </c>
      <c r="AA53" s="544"/>
      <c r="AB53" s="196" t="s">
        <v>61</v>
      </c>
      <c r="AC53" s="156">
        <v>0</v>
      </c>
      <c r="AD53" s="156">
        <v>0</v>
      </c>
      <c r="AE53" s="156">
        <v>0</v>
      </c>
      <c r="AF53" s="156">
        <v>0</v>
      </c>
      <c r="AG53" s="156">
        <v>0</v>
      </c>
      <c r="AH53" s="156">
        <v>0</v>
      </c>
      <c r="AI53" s="156">
        <v>0</v>
      </c>
      <c r="AJ53" s="156">
        <v>0</v>
      </c>
      <c r="AK53" s="156">
        <v>0</v>
      </c>
      <c r="AL53" s="156">
        <v>0</v>
      </c>
      <c r="AM53" s="156">
        <v>0</v>
      </c>
      <c r="AN53" s="156">
        <v>0</v>
      </c>
      <c r="AO53" s="156">
        <v>0</v>
      </c>
      <c r="AP53" s="156">
        <v>0</v>
      </c>
      <c r="AQ53" s="156">
        <v>0</v>
      </c>
      <c r="AR53" s="156">
        <v>0</v>
      </c>
      <c r="AS53" s="156">
        <v>0</v>
      </c>
      <c r="AT53" s="156">
        <v>0</v>
      </c>
      <c r="AU53" s="156">
        <v>0</v>
      </c>
      <c r="AV53" s="156">
        <v>0</v>
      </c>
      <c r="AW53" s="200">
        <v>0</v>
      </c>
      <c r="BF53" s="538"/>
      <c r="BG53" s="363" t="s">
        <v>61</v>
      </c>
      <c r="BH53" s="385">
        <v>1.959293497721432E-6</v>
      </c>
      <c r="BI53" s="385">
        <v>1.9917780860021621E-6</v>
      </c>
      <c r="BJ53" s="385">
        <v>1.6198797473798729E-6</v>
      </c>
      <c r="BK53" s="385">
        <v>4.2515706792931032E-6</v>
      </c>
      <c r="BL53" s="385">
        <v>1.4275043130982619E-6</v>
      </c>
      <c r="BM53" s="386">
        <v>2.4665391041474519E-6</v>
      </c>
      <c r="BN53" s="386">
        <v>2.4665391041474519E-6</v>
      </c>
      <c r="BO53" s="386">
        <v>2.4665391041474519E-6</v>
      </c>
      <c r="BP53" s="385">
        <v>1.820118327432735E-6</v>
      </c>
      <c r="BQ53" s="385">
        <v>1.6781935819331429E-6</v>
      </c>
      <c r="BR53" s="385">
        <v>1.7907377094530561E-6</v>
      </c>
      <c r="BS53" s="385">
        <v>2.216809270519601E-6</v>
      </c>
      <c r="BT53" s="385">
        <v>1.8403675120743579E-6</v>
      </c>
      <c r="BU53" s="385">
        <v>1.744340457506177E-6</v>
      </c>
      <c r="BV53" s="385">
        <v>1.708172652277591E-6</v>
      </c>
      <c r="BW53" s="385">
        <v>1.5789626403509609E-6</v>
      </c>
      <c r="BX53" s="385">
        <v>1.7276844808146869E-6</v>
      </c>
      <c r="BY53" s="385">
        <v>1.936636672624419E-6</v>
      </c>
      <c r="BZ53" s="385">
        <v>1.7767807709758969E-6</v>
      </c>
      <c r="CA53" s="385">
        <v>1.684588691076279E-6</v>
      </c>
      <c r="CB53" s="385">
        <v>0</v>
      </c>
      <c r="CC53"/>
      <c r="CN53" s="69" t="s">
        <v>1404</v>
      </c>
      <c r="CQ53" s="69" t="s">
        <v>1378</v>
      </c>
      <c r="CR53" s="69" t="s">
        <v>1379</v>
      </c>
      <c r="CS53" s="69" t="s">
        <v>1380</v>
      </c>
      <c r="CT53" s="69" t="s">
        <v>1381</v>
      </c>
      <c r="CU53" s="69" t="s">
        <v>1382</v>
      </c>
      <c r="CV53" s="69" t="s">
        <v>1383</v>
      </c>
      <c r="CW53" s="69" t="s">
        <v>1384</v>
      </c>
      <c r="DA53" s="538"/>
      <c r="DB53" s="363" t="s">
        <v>61</v>
      </c>
      <c r="DC53" s="385">
        <v>-4.5424906864438896E-2</v>
      </c>
      <c r="DD53" s="385">
        <v>-6.6832994934443724E-2</v>
      </c>
      <c r="DE53" s="385">
        <v>-6.2898677299227601E-2</v>
      </c>
      <c r="DF53" s="385">
        <v>-3.8607670348099421E-2</v>
      </c>
      <c r="DG53" s="385">
        <v>-6.3784830813930604E-2</v>
      </c>
      <c r="DH53" s="386">
        <v>-6.5226839496750344E-2</v>
      </c>
      <c r="DI53" s="386">
        <v>-6.5226839496750344E-2</v>
      </c>
      <c r="DJ53" s="386">
        <v>-6.5226839496750344E-2</v>
      </c>
      <c r="DK53" s="386">
        <v>-9.742965664993708E-2</v>
      </c>
      <c r="DL53" s="386">
        <v>-6.154288218504167E-2</v>
      </c>
      <c r="DM53" s="385">
        <v>-6.6709465594555373E-2</v>
      </c>
      <c r="DN53" s="385">
        <v>-4.3928631481224056E-2</v>
      </c>
      <c r="DO53" s="385">
        <v>-6.0382583424391845E-2</v>
      </c>
      <c r="DP53" s="385">
        <v>-8.3006247794000676E-2</v>
      </c>
      <c r="DQ53" s="385">
        <v>-5.8757656336981823E-2</v>
      </c>
      <c r="DR53" s="385">
        <v>-6.3878024992684024E-2</v>
      </c>
      <c r="DS53" s="385">
        <v>-6.9082265142551891E-2</v>
      </c>
      <c r="DT53" s="385">
        <v>-6.6706566214904783E-2</v>
      </c>
      <c r="DU53" s="385">
        <v>-7.5998567124907934E-2</v>
      </c>
      <c r="DV53" s="385">
        <v>-7.7072855535665119E-2</v>
      </c>
      <c r="DW53" s="385">
        <v>0</v>
      </c>
    </row>
    <row r="54" spans="1:127" ht="14.25" customHeight="1">
      <c r="A54" s="544"/>
      <c r="B54" s="196" t="s">
        <v>63</v>
      </c>
      <c r="C54" s="156">
        <v>0</v>
      </c>
      <c r="D54" s="156">
        <v>0</v>
      </c>
      <c r="E54" s="156">
        <v>0</v>
      </c>
      <c r="F54" s="156">
        <v>0</v>
      </c>
      <c r="G54" s="156">
        <v>0</v>
      </c>
      <c r="H54" s="156">
        <v>0</v>
      </c>
      <c r="I54" s="156">
        <v>0</v>
      </c>
      <c r="J54" s="156">
        <v>0</v>
      </c>
      <c r="K54" s="156">
        <v>0</v>
      </c>
      <c r="L54" s="156">
        <v>0</v>
      </c>
      <c r="M54" s="156">
        <v>0</v>
      </c>
      <c r="N54" s="156">
        <v>0</v>
      </c>
      <c r="O54" s="156">
        <v>0</v>
      </c>
      <c r="P54" s="156">
        <v>0</v>
      </c>
      <c r="Q54" s="156">
        <v>0</v>
      </c>
      <c r="R54" s="156">
        <v>0</v>
      </c>
      <c r="S54" s="156">
        <v>0</v>
      </c>
      <c r="T54" s="156">
        <v>0</v>
      </c>
      <c r="U54" s="156">
        <v>0</v>
      </c>
      <c r="V54" s="156">
        <v>0</v>
      </c>
      <c r="W54" s="200">
        <v>0</v>
      </c>
      <c r="AA54" s="544"/>
      <c r="AB54" s="196" t="s">
        <v>63</v>
      </c>
      <c r="AC54" s="156">
        <v>0</v>
      </c>
      <c r="AD54" s="156">
        <v>0</v>
      </c>
      <c r="AE54" s="156">
        <v>0</v>
      </c>
      <c r="AF54" s="156">
        <v>0</v>
      </c>
      <c r="AG54" s="156">
        <v>0</v>
      </c>
      <c r="AH54" s="156">
        <v>0</v>
      </c>
      <c r="AI54" s="156">
        <v>0</v>
      </c>
      <c r="AJ54" s="156">
        <v>0</v>
      </c>
      <c r="AK54" s="156">
        <v>0</v>
      </c>
      <c r="AL54" s="156">
        <v>0</v>
      </c>
      <c r="AM54" s="156">
        <v>0</v>
      </c>
      <c r="AN54" s="156">
        <v>0</v>
      </c>
      <c r="AO54" s="156">
        <v>0</v>
      </c>
      <c r="AP54" s="156">
        <v>0</v>
      </c>
      <c r="AQ54" s="156">
        <v>0</v>
      </c>
      <c r="AR54" s="156">
        <v>0</v>
      </c>
      <c r="AS54" s="156">
        <v>0</v>
      </c>
      <c r="AT54" s="156">
        <v>0</v>
      </c>
      <c r="AU54" s="156">
        <v>0</v>
      </c>
      <c r="AV54" s="156">
        <v>0</v>
      </c>
      <c r="AW54" s="200">
        <v>0</v>
      </c>
      <c r="BF54" s="538"/>
      <c r="BG54" s="363" t="s">
        <v>63</v>
      </c>
      <c r="BH54" s="385">
        <v>4.2144532653888029E-7</v>
      </c>
      <c r="BI54" s="385">
        <v>4.280545353195343E-7</v>
      </c>
      <c r="BJ54" s="385">
        <v>4.0689681075244578E-7</v>
      </c>
      <c r="BK54" s="385">
        <v>5.0368067018245462E-7</v>
      </c>
      <c r="BL54" s="385">
        <v>3.8732379217912412E-7</v>
      </c>
      <c r="BM54" s="386">
        <v>4.5684721675477902E-7</v>
      </c>
      <c r="BN54" s="386">
        <v>4.5684721675477902E-7</v>
      </c>
      <c r="BO54" s="386">
        <v>4.5684721675477902E-7</v>
      </c>
      <c r="BP54" s="385">
        <v>4.1415313572841739E-7</v>
      </c>
      <c r="BQ54" s="385">
        <v>4.32532772517629E-7</v>
      </c>
      <c r="BR54" s="385">
        <v>4.0822699728161612E-7</v>
      </c>
      <c r="BS54" s="385">
        <v>4.3777559059558151E-7</v>
      </c>
      <c r="BT54" s="385">
        <v>4.1551277705424469E-7</v>
      </c>
      <c r="BU54" s="385">
        <v>4.0553968831334178E-7</v>
      </c>
      <c r="BV54" s="385">
        <v>4.0435224369489712E-7</v>
      </c>
      <c r="BW54" s="385">
        <v>4.0318932065044022E-7</v>
      </c>
      <c r="BX54" s="385">
        <v>4.0662474855079359E-7</v>
      </c>
      <c r="BY54" s="385">
        <v>4.2214523071127041E-7</v>
      </c>
      <c r="BZ54" s="385">
        <v>4.0799701591133543E-7</v>
      </c>
      <c r="CA54" s="385">
        <v>3.9268884883526338E-7</v>
      </c>
      <c r="CB54" s="385">
        <v>0</v>
      </c>
      <c r="CC54"/>
      <c r="CN54" s="69">
        <v>0.27459581655447535</v>
      </c>
      <c r="CP54" s="69" t="s">
        <v>1385</v>
      </c>
      <c r="CQ54" s="69">
        <v>6.7012000000000003E-6</v>
      </c>
      <c r="CR54" s="69">
        <v>1.5798500000000001E-5</v>
      </c>
      <c r="CS54" s="69">
        <v>3.09928E-6</v>
      </c>
      <c r="CT54" s="69">
        <v>0</v>
      </c>
      <c r="CU54" s="69">
        <v>4.6859100000000002E-7</v>
      </c>
      <c r="CV54" s="69">
        <v>0</v>
      </c>
      <c r="CW54" s="69">
        <v>0</v>
      </c>
      <c r="DA54" s="538"/>
      <c r="DB54" s="363" t="s">
        <v>63</v>
      </c>
      <c r="DC54" s="385">
        <v>-2.1652733540365343E-2</v>
      </c>
      <c r="DD54" s="385">
        <v>-2.3866628614173435E-2</v>
      </c>
      <c r="DE54" s="385">
        <v>-3.4926539742815343E-2</v>
      </c>
      <c r="DF54" s="385">
        <v>-2.1492913577023764E-2</v>
      </c>
      <c r="DG54" s="385">
        <v>-3.3518731607452223E-2</v>
      </c>
      <c r="DH54" s="386">
        <v>-2.3227212786069207E-2</v>
      </c>
      <c r="DI54" s="386">
        <v>-2.3227212786069207E-2</v>
      </c>
      <c r="DJ54" s="386">
        <v>-2.3227212786069207E-2</v>
      </c>
      <c r="DK54" s="386">
        <v>-1.8007370645019005E-2</v>
      </c>
      <c r="DL54" s="386">
        <v>-3.7094070914270527E-2</v>
      </c>
      <c r="DM54" s="385">
        <v>-2.8692787870802983E-2</v>
      </c>
      <c r="DN54" s="385">
        <v>-1.9389366370575756E-2</v>
      </c>
      <c r="DO54" s="385">
        <v>-2.185690105127569E-2</v>
      </c>
      <c r="DP54" s="385">
        <v>-3.2448949349578649E-2</v>
      </c>
      <c r="DQ54" s="385">
        <v>-2.3394938359257655E-2</v>
      </c>
      <c r="DR54" s="385">
        <v>-2.3024894778980065E-2</v>
      </c>
      <c r="DS54" s="385">
        <v>-2.8565645847404286E-2</v>
      </c>
      <c r="DT54" s="385">
        <v>-2.3295632409329081E-2</v>
      </c>
      <c r="DU54" s="385">
        <v>-3.4806218603200767E-2</v>
      </c>
      <c r="DV54" s="385">
        <v>-3.3711730463509948E-2</v>
      </c>
      <c r="DW54" s="385">
        <v>0</v>
      </c>
    </row>
    <row r="55" spans="1:127" ht="14.25" customHeight="1">
      <c r="A55" s="544"/>
      <c r="B55" s="196" t="s">
        <v>65</v>
      </c>
      <c r="C55" s="156">
        <v>0</v>
      </c>
      <c r="D55" s="156">
        <v>0</v>
      </c>
      <c r="E55" s="156">
        <v>0</v>
      </c>
      <c r="F55" s="156">
        <v>0</v>
      </c>
      <c r="G55" s="156">
        <v>0</v>
      </c>
      <c r="H55" s="156">
        <v>0</v>
      </c>
      <c r="I55" s="156">
        <v>0</v>
      </c>
      <c r="J55" s="156">
        <v>0</v>
      </c>
      <c r="K55" s="156">
        <v>0</v>
      </c>
      <c r="L55" s="156">
        <v>0</v>
      </c>
      <c r="M55" s="156">
        <v>0</v>
      </c>
      <c r="N55" s="156">
        <v>0</v>
      </c>
      <c r="O55" s="156">
        <v>0</v>
      </c>
      <c r="P55" s="156">
        <v>0</v>
      </c>
      <c r="Q55" s="156">
        <v>0</v>
      </c>
      <c r="R55" s="156">
        <v>0</v>
      </c>
      <c r="S55" s="156">
        <v>0</v>
      </c>
      <c r="T55" s="156">
        <v>0</v>
      </c>
      <c r="U55" s="156">
        <v>0</v>
      </c>
      <c r="V55" s="156">
        <v>0</v>
      </c>
      <c r="W55" s="200">
        <v>0</v>
      </c>
      <c r="AA55" s="544"/>
      <c r="AB55" s="196" t="s">
        <v>65</v>
      </c>
      <c r="AC55" s="156">
        <v>0</v>
      </c>
      <c r="AD55" s="156">
        <v>0</v>
      </c>
      <c r="AE55" s="156">
        <v>0</v>
      </c>
      <c r="AF55" s="156">
        <v>0</v>
      </c>
      <c r="AG55" s="156">
        <v>0</v>
      </c>
      <c r="AH55" s="156">
        <v>0</v>
      </c>
      <c r="AI55" s="156">
        <v>0</v>
      </c>
      <c r="AJ55" s="156">
        <v>0</v>
      </c>
      <c r="AK55" s="156">
        <v>0</v>
      </c>
      <c r="AL55" s="156">
        <v>0</v>
      </c>
      <c r="AM55" s="156">
        <v>0</v>
      </c>
      <c r="AN55" s="156">
        <v>0</v>
      </c>
      <c r="AO55" s="156">
        <v>0</v>
      </c>
      <c r="AP55" s="156">
        <v>0</v>
      </c>
      <c r="AQ55" s="156">
        <v>0</v>
      </c>
      <c r="AR55" s="156">
        <v>0</v>
      </c>
      <c r="AS55" s="156">
        <v>0</v>
      </c>
      <c r="AT55" s="156">
        <v>0</v>
      </c>
      <c r="AU55" s="156">
        <v>0</v>
      </c>
      <c r="AV55" s="156">
        <v>0</v>
      </c>
      <c r="AW55" s="200">
        <v>0</v>
      </c>
      <c r="BF55" s="538"/>
      <c r="BG55" s="363" t="s">
        <v>65</v>
      </c>
      <c r="BH55" s="385">
        <v>5.0976614158038133E-7</v>
      </c>
      <c r="BI55" s="385">
        <v>5.1746895903009865E-7</v>
      </c>
      <c r="BJ55" s="385">
        <v>5.0260745022054206E-7</v>
      </c>
      <c r="BK55" s="385">
        <v>5.6475121007375615E-7</v>
      </c>
      <c r="BL55" s="385">
        <v>4.8679043253467151E-7</v>
      </c>
      <c r="BM55" s="386">
        <v>5.4892931887007615E-7</v>
      </c>
      <c r="BN55" s="386">
        <v>5.4892931887007615E-7</v>
      </c>
      <c r="BO55" s="386">
        <v>5.4892931887007615E-7</v>
      </c>
      <c r="BP55" s="385">
        <v>5.1347652039625556E-7</v>
      </c>
      <c r="BQ55" s="385">
        <v>5.0335967963986359E-7</v>
      </c>
      <c r="BR55" s="385">
        <v>5.0830848817492548E-7</v>
      </c>
      <c r="BS55" s="385">
        <v>5.3779933825548652E-7</v>
      </c>
      <c r="BT55" s="385">
        <v>5.2606947907828052E-7</v>
      </c>
      <c r="BU55" s="385">
        <v>5.0529443383341867E-7</v>
      </c>
      <c r="BV55" s="385">
        <v>5.1020833884227492E-7</v>
      </c>
      <c r="BW55" s="385">
        <v>5.0152353787746401E-7</v>
      </c>
      <c r="BX55" s="385">
        <v>5.0240387488440089E-7</v>
      </c>
      <c r="BY55" s="385">
        <v>5.207964360131245E-7</v>
      </c>
      <c r="BZ55" s="385">
        <v>5.1072383110759667E-7</v>
      </c>
      <c r="CA55" s="385">
        <v>4.6262397380209542E-7</v>
      </c>
      <c r="CB55" s="385">
        <v>0</v>
      </c>
      <c r="CC55"/>
      <c r="CD55"/>
      <c r="CE55"/>
      <c r="CF55"/>
      <c r="CG55"/>
      <c r="CH55"/>
      <c r="CI55"/>
      <c r="CJ55"/>
      <c r="CK55"/>
      <c r="CN55" s="69">
        <v>0.70583220550365533</v>
      </c>
      <c r="CP55" s="69" t="s">
        <v>1379</v>
      </c>
      <c r="CQ55" s="69">
        <v>0</v>
      </c>
      <c r="CR55" s="69">
        <v>0</v>
      </c>
      <c r="CS55" s="69">
        <v>3.3166699999999997E-7</v>
      </c>
      <c r="CT55" s="69">
        <v>0</v>
      </c>
      <c r="CU55" s="69">
        <v>0</v>
      </c>
      <c r="CV55" s="69">
        <v>0</v>
      </c>
      <c r="CW55" s="69">
        <v>0</v>
      </c>
      <c r="DA55" s="538"/>
      <c r="DB55" s="363" t="s">
        <v>65</v>
      </c>
      <c r="DC55" s="385">
        <v>-1.7947108178139715E-2</v>
      </c>
      <c r="DD55" s="385">
        <v>-2.4273309731080883E-2</v>
      </c>
      <c r="DE55" s="385">
        <v>-3.0785698227775327E-2</v>
      </c>
      <c r="DF55" s="385">
        <v>-2.4523552905367452E-2</v>
      </c>
      <c r="DG55" s="385">
        <v>-3.3047244297820355E-2</v>
      </c>
      <c r="DH55" s="386">
        <v>-2.5431941176693229E-2</v>
      </c>
      <c r="DI55" s="386">
        <v>-2.5431941176693229E-2</v>
      </c>
      <c r="DJ55" s="386">
        <v>-2.5431941176693229E-2</v>
      </c>
      <c r="DK55" s="386">
        <v>-1.8702954604939426E-2</v>
      </c>
      <c r="DL55" s="386">
        <v>-2.9582242206137255E-2</v>
      </c>
      <c r="DM55" s="385">
        <v>-2.770486429073804E-2</v>
      </c>
      <c r="DN55" s="385">
        <v>-1.7853304683553395E-2</v>
      </c>
      <c r="DO55" s="385">
        <v>-1.952732207640584E-2</v>
      </c>
      <c r="DP55" s="385">
        <v>-3.2141866817122167E-2</v>
      </c>
      <c r="DQ55" s="385">
        <v>-2.4450981888459067E-2</v>
      </c>
      <c r="DR55" s="385">
        <v>-2.3208112739133369E-2</v>
      </c>
      <c r="DS55" s="385">
        <v>-2.9309473074559445E-2</v>
      </c>
      <c r="DT55" s="385">
        <v>-1.9961922725535208E-2</v>
      </c>
      <c r="DU55" s="385">
        <v>-2.8387781414564994E-2</v>
      </c>
      <c r="DV55" s="385">
        <v>-3.7177936803141409E-2</v>
      </c>
      <c r="DW55" s="385">
        <v>0</v>
      </c>
    </row>
    <row r="56" spans="1:127" ht="14.25" customHeight="1">
      <c r="A56" s="544"/>
      <c r="B56" s="196" t="s">
        <v>67</v>
      </c>
      <c r="C56" s="156">
        <v>0</v>
      </c>
      <c r="D56" s="156">
        <v>0</v>
      </c>
      <c r="E56" s="156">
        <v>0</v>
      </c>
      <c r="F56" s="156">
        <v>0</v>
      </c>
      <c r="G56" s="156">
        <v>0</v>
      </c>
      <c r="H56" s="156">
        <v>0</v>
      </c>
      <c r="I56" s="156">
        <v>0</v>
      </c>
      <c r="J56" s="156">
        <v>0</v>
      </c>
      <c r="K56" s="156">
        <v>0</v>
      </c>
      <c r="L56" s="156">
        <v>0</v>
      </c>
      <c r="M56" s="156">
        <v>0</v>
      </c>
      <c r="N56" s="156">
        <v>0</v>
      </c>
      <c r="O56" s="156">
        <v>0</v>
      </c>
      <c r="P56" s="156">
        <v>0</v>
      </c>
      <c r="Q56" s="156">
        <v>0</v>
      </c>
      <c r="R56" s="156">
        <v>0</v>
      </c>
      <c r="S56" s="156">
        <v>0</v>
      </c>
      <c r="T56" s="156">
        <v>0</v>
      </c>
      <c r="U56" s="156">
        <v>0</v>
      </c>
      <c r="V56" s="156">
        <v>0</v>
      </c>
      <c r="W56" s="200">
        <v>0</v>
      </c>
      <c r="AA56" s="544"/>
      <c r="AB56" s="196" t="s">
        <v>67</v>
      </c>
      <c r="AC56" s="156">
        <v>0</v>
      </c>
      <c r="AD56" s="156">
        <v>0</v>
      </c>
      <c r="AE56" s="156">
        <v>0</v>
      </c>
      <c r="AF56" s="156">
        <v>0</v>
      </c>
      <c r="AG56" s="156">
        <v>0</v>
      </c>
      <c r="AH56" s="156">
        <v>0</v>
      </c>
      <c r="AI56" s="156">
        <v>0</v>
      </c>
      <c r="AJ56" s="156">
        <v>0</v>
      </c>
      <c r="AK56" s="156">
        <v>0</v>
      </c>
      <c r="AL56" s="156">
        <v>0</v>
      </c>
      <c r="AM56" s="156">
        <v>0</v>
      </c>
      <c r="AN56" s="156">
        <v>0</v>
      </c>
      <c r="AO56" s="156">
        <v>0</v>
      </c>
      <c r="AP56" s="156">
        <v>0</v>
      </c>
      <c r="AQ56" s="156">
        <v>0</v>
      </c>
      <c r="AR56" s="156">
        <v>0</v>
      </c>
      <c r="AS56" s="156">
        <v>0</v>
      </c>
      <c r="AT56" s="156">
        <v>0</v>
      </c>
      <c r="AU56" s="156">
        <v>0</v>
      </c>
      <c r="AV56" s="156">
        <v>0</v>
      </c>
      <c r="AW56" s="200">
        <v>0</v>
      </c>
      <c r="BF56" s="538"/>
      <c r="BG56" s="363" t="s">
        <v>67</v>
      </c>
      <c r="BH56" s="385">
        <v>9.5130255702638089E-6</v>
      </c>
      <c r="BI56" s="385">
        <v>1.096364472911469E-5</v>
      </c>
      <c r="BJ56" s="385">
        <v>9.7732101785948409E-6</v>
      </c>
      <c r="BK56" s="385">
        <v>8.7328230635001916E-6</v>
      </c>
      <c r="BL56" s="385">
        <v>9.6565705389728932E-6</v>
      </c>
      <c r="BM56" s="386">
        <v>1.346345697009346E-5</v>
      </c>
      <c r="BN56" s="386">
        <v>1.346345697009346E-5</v>
      </c>
      <c r="BO56" s="386">
        <v>1.346345697009346E-5</v>
      </c>
      <c r="BP56" s="385">
        <v>1.082310318109142E-5</v>
      </c>
      <c r="BQ56" s="385">
        <v>1.0054723077809449E-5</v>
      </c>
      <c r="BR56" s="385">
        <v>1.1138155283837771E-5</v>
      </c>
      <c r="BS56" s="385">
        <v>1.344983905612514E-5</v>
      </c>
      <c r="BT56" s="385">
        <v>1.08328729363889E-5</v>
      </c>
      <c r="BU56" s="385">
        <v>1.225391083238839E-5</v>
      </c>
      <c r="BV56" s="385">
        <v>1.722624174955438E-5</v>
      </c>
      <c r="BW56" s="385">
        <v>1.1735163882241909E-5</v>
      </c>
      <c r="BX56" s="385">
        <v>1.325860745585352E-5</v>
      </c>
      <c r="BY56" s="385">
        <v>1.6164093452279921E-5</v>
      </c>
      <c r="BZ56" s="385">
        <v>1.305433773407146E-5</v>
      </c>
      <c r="CA56" s="385">
        <v>1.034122515759615E-5</v>
      </c>
      <c r="CB56" s="385">
        <v>0</v>
      </c>
      <c r="CC56"/>
      <c r="CD56"/>
      <c r="CE56"/>
      <c r="CF56"/>
      <c r="CG56"/>
      <c r="CH56"/>
      <c r="CI56"/>
      <c r="CJ56"/>
      <c r="CK56"/>
      <c r="CN56" s="69">
        <v>1.9571977941869285E-2</v>
      </c>
      <c r="CP56" s="69" t="s">
        <v>1384</v>
      </c>
      <c r="CQ56" s="69">
        <v>0</v>
      </c>
      <c r="CR56" s="69">
        <v>0</v>
      </c>
      <c r="CS56" s="69">
        <v>2.6836600000000001E-7</v>
      </c>
      <c r="CT56" s="69">
        <v>0</v>
      </c>
      <c r="CU56" s="69">
        <v>5.5540700000000003E-6</v>
      </c>
      <c r="CV56" s="69">
        <v>0</v>
      </c>
      <c r="CW56" s="69">
        <v>0</v>
      </c>
      <c r="DA56" s="538"/>
      <c r="DB56" s="363" t="s">
        <v>67</v>
      </c>
      <c r="DC56" s="385">
        <v>1.0552704180216033E-2</v>
      </c>
      <c r="DD56" s="385">
        <v>1.9243383176994922E-2</v>
      </c>
      <c r="DE56" s="385">
        <v>-5.3278185330478678E-3</v>
      </c>
      <c r="DF56" s="385">
        <v>1.7630475037307969E-2</v>
      </c>
      <c r="DG56" s="385">
        <v>-7.2802209620025371E-3</v>
      </c>
      <c r="DH56" s="386">
        <v>3.0393374339670043E-2</v>
      </c>
      <c r="DI56" s="386">
        <v>3.0393374339670043E-2</v>
      </c>
      <c r="DJ56" s="386">
        <v>3.0393374339670043E-2</v>
      </c>
      <c r="DK56" s="386">
        <v>1.4813540211580989E-2</v>
      </c>
      <c r="DL56" s="386">
        <v>4.2582450236270386E-3</v>
      </c>
      <c r="DM56" s="385">
        <v>6.386738463016961E-3</v>
      </c>
      <c r="DN56" s="385">
        <v>6.4806730283559766E-3</v>
      </c>
      <c r="DO56" s="385">
        <v>8.5558003480139533E-3</v>
      </c>
      <c r="DP56" s="385">
        <v>-6.8633620979341448E-4</v>
      </c>
      <c r="DQ56" s="385">
        <v>8.1487644955420269E-3</v>
      </c>
      <c r="DR56" s="385">
        <v>5.1111448888980782E-3</v>
      </c>
      <c r="DS56" s="385">
        <v>-2.3417977808681822E-4</v>
      </c>
      <c r="DT56" s="385">
        <v>6.4843167012207381E-4</v>
      </c>
      <c r="DU56" s="385">
        <v>5.0178725832850102E-3</v>
      </c>
      <c r="DV56" s="385">
        <v>-6.2418853176116063E-3</v>
      </c>
      <c r="DW56" s="385">
        <v>0</v>
      </c>
    </row>
    <row r="57" spans="1:127" ht="14.25" customHeight="1">
      <c r="A57" s="544"/>
      <c r="B57" s="196" t="s">
        <v>69</v>
      </c>
      <c r="C57" s="156">
        <v>0</v>
      </c>
      <c r="D57" s="156">
        <v>0</v>
      </c>
      <c r="E57" s="156">
        <v>0</v>
      </c>
      <c r="F57" s="156">
        <v>0</v>
      </c>
      <c r="G57" s="156">
        <v>0</v>
      </c>
      <c r="H57" s="156">
        <v>0</v>
      </c>
      <c r="I57" s="156">
        <v>0</v>
      </c>
      <c r="J57" s="156">
        <v>0</v>
      </c>
      <c r="K57" s="156">
        <v>0</v>
      </c>
      <c r="L57" s="156">
        <v>0</v>
      </c>
      <c r="M57" s="156">
        <v>0</v>
      </c>
      <c r="N57" s="156">
        <v>0</v>
      </c>
      <c r="O57" s="156">
        <v>0</v>
      </c>
      <c r="P57" s="156">
        <v>0</v>
      </c>
      <c r="Q57" s="156">
        <v>0</v>
      </c>
      <c r="R57" s="156">
        <v>0</v>
      </c>
      <c r="S57" s="156">
        <v>0</v>
      </c>
      <c r="T57" s="156">
        <v>0</v>
      </c>
      <c r="U57" s="156">
        <v>0</v>
      </c>
      <c r="V57" s="156">
        <v>0</v>
      </c>
      <c r="W57" s="200">
        <v>0</v>
      </c>
      <c r="AA57" s="544"/>
      <c r="AB57" s="196" t="s">
        <v>69</v>
      </c>
      <c r="AC57" s="156">
        <v>0</v>
      </c>
      <c r="AD57" s="156">
        <v>0</v>
      </c>
      <c r="AE57" s="156">
        <v>0</v>
      </c>
      <c r="AF57" s="156">
        <v>0</v>
      </c>
      <c r="AG57" s="156">
        <v>0</v>
      </c>
      <c r="AH57" s="156">
        <v>0</v>
      </c>
      <c r="AI57" s="156">
        <v>0</v>
      </c>
      <c r="AJ57" s="156">
        <v>0</v>
      </c>
      <c r="AK57" s="156">
        <v>0</v>
      </c>
      <c r="AL57" s="156">
        <v>0</v>
      </c>
      <c r="AM57" s="156">
        <v>0</v>
      </c>
      <c r="AN57" s="156">
        <v>0</v>
      </c>
      <c r="AO57" s="156">
        <v>0</v>
      </c>
      <c r="AP57" s="156">
        <v>0</v>
      </c>
      <c r="AQ57" s="156">
        <v>0</v>
      </c>
      <c r="AR57" s="156">
        <v>0</v>
      </c>
      <c r="AS57" s="156">
        <v>0</v>
      </c>
      <c r="AT57" s="156">
        <v>0</v>
      </c>
      <c r="AU57" s="156">
        <v>0</v>
      </c>
      <c r="AV57" s="156">
        <v>0</v>
      </c>
      <c r="AW57" s="200">
        <v>0</v>
      </c>
      <c r="BF57" s="538"/>
      <c r="BG57" s="363" t="s">
        <v>69</v>
      </c>
      <c r="BH57" s="385">
        <v>8.4530989285597716E-7</v>
      </c>
      <c r="BI57" s="385">
        <v>8.8769106838309149E-7</v>
      </c>
      <c r="BJ57" s="385">
        <v>8.2990089769328213E-7</v>
      </c>
      <c r="BK57" s="385">
        <v>9.6217845470711841E-7</v>
      </c>
      <c r="BL57" s="385">
        <v>8.1802172896355078E-7</v>
      </c>
      <c r="BM57" s="386">
        <v>9.4748388493664333E-7</v>
      </c>
      <c r="BN57" s="386">
        <v>9.4748388493664333E-7</v>
      </c>
      <c r="BO57" s="386">
        <v>9.4748388493664333E-7</v>
      </c>
      <c r="BP57" s="385">
        <v>9.0369726246019813E-7</v>
      </c>
      <c r="BQ57" s="385">
        <v>9.1967682861978679E-7</v>
      </c>
      <c r="BR57" s="385">
        <v>9.4008964125237602E-7</v>
      </c>
      <c r="BS57" s="385">
        <v>9.1047061320265351E-7</v>
      </c>
      <c r="BT57" s="385">
        <v>9.3020263864769522E-7</v>
      </c>
      <c r="BU57" s="385">
        <v>9.2559351578648678E-7</v>
      </c>
      <c r="BV57" s="385">
        <v>9.5538559982668696E-7</v>
      </c>
      <c r="BW57" s="385">
        <v>9.3557905369202732E-7</v>
      </c>
      <c r="BX57" s="385">
        <v>9.338586092321683E-7</v>
      </c>
      <c r="BY57" s="385">
        <v>9.3501965954898323E-7</v>
      </c>
      <c r="BZ57" s="385">
        <v>9.5687648715525292E-7</v>
      </c>
      <c r="CA57" s="385">
        <v>9.4496671124623958E-7</v>
      </c>
      <c r="CB57" s="385">
        <v>0</v>
      </c>
      <c r="CC57"/>
      <c r="CD57"/>
      <c r="CE57"/>
      <c r="CF57"/>
      <c r="CG57"/>
      <c r="CH57"/>
      <c r="CI57"/>
      <c r="CJ57"/>
      <c r="CK57"/>
      <c r="DA57" s="538"/>
      <c r="DB57" s="363" t="s">
        <v>69</v>
      </c>
      <c r="DC57" s="385">
        <v>-1.4308458679053171E-3</v>
      </c>
      <c r="DD57" s="385">
        <v>-5.3136438981415957E-4</v>
      </c>
      <c r="DE57" s="385">
        <v>-1.4266834357596458E-2</v>
      </c>
      <c r="DF57" s="385">
        <v>6.5948482256839025E-3</v>
      </c>
      <c r="DG57" s="385">
        <v>-1.514031175253816E-2</v>
      </c>
      <c r="DH57" s="386">
        <v>8.2538358895440922E-3</v>
      </c>
      <c r="DI57" s="386">
        <v>8.2538358895440922E-3</v>
      </c>
      <c r="DJ57" s="386">
        <v>8.2538358895440922E-3</v>
      </c>
      <c r="DK57" s="386">
        <v>3.8858287838290373E-3</v>
      </c>
      <c r="DL57" s="386">
        <v>-2.8467910627044679E-3</v>
      </c>
      <c r="DM57" s="385">
        <v>-5.0943002413650351E-3</v>
      </c>
      <c r="DN57" s="385">
        <v>2.5850804833829066E-3</v>
      </c>
      <c r="DO57" s="385">
        <v>-1.045902448328806E-3</v>
      </c>
      <c r="DP57" s="385">
        <v>-1.0012816652147927E-2</v>
      </c>
      <c r="DQ57" s="385">
        <v>3.2151243406179919E-3</v>
      </c>
      <c r="DR57" s="385">
        <v>-6.5430510845509993E-5</v>
      </c>
      <c r="DS57" s="385">
        <v>-7.1739437789268834E-3</v>
      </c>
      <c r="DT57" s="385">
        <v>5.8383518238189769E-3</v>
      </c>
      <c r="DU57" s="385">
        <v>7.2241071329903761E-4</v>
      </c>
      <c r="DV57" s="385">
        <v>-1.0058321011347737E-2</v>
      </c>
      <c r="DW57" s="385">
        <v>0</v>
      </c>
    </row>
    <row r="58" spans="1:127" ht="14.25" customHeight="1">
      <c r="A58" s="544"/>
      <c r="B58" s="196" t="s">
        <v>145</v>
      </c>
      <c r="C58" s="156">
        <v>0</v>
      </c>
      <c r="D58" s="156">
        <v>0</v>
      </c>
      <c r="E58" s="156">
        <v>0</v>
      </c>
      <c r="F58" s="156">
        <v>0</v>
      </c>
      <c r="G58" s="156">
        <v>0</v>
      </c>
      <c r="H58" s="156">
        <v>0</v>
      </c>
      <c r="I58" s="156">
        <v>0</v>
      </c>
      <c r="J58" s="156">
        <v>0</v>
      </c>
      <c r="K58" s="156">
        <v>0</v>
      </c>
      <c r="L58" s="156">
        <v>0</v>
      </c>
      <c r="M58" s="156">
        <v>0</v>
      </c>
      <c r="N58" s="156">
        <v>0</v>
      </c>
      <c r="O58" s="156">
        <v>0</v>
      </c>
      <c r="P58" s="156">
        <v>0</v>
      </c>
      <c r="Q58" s="156">
        <v>0</v>
      </c>
      <c r="R58" s="156">
        <v>0</v>
      </c>
      <c r="S58" s="156">
        <v>0</v>
      </c>
      <c r="T58" s="156">
        <v>0</v>
      </c>
      <c r="U58" s="156">
        <v>0</v>
      </c>
      <c r="V58" s="156">
        <v>0</v>
      </c>
      <c r="W58" s="200">
        <v>0</v>
      </c>
      <c r="AA58" s="544"/>
      <c r="AB58" s="196" t="s">
        <v>145</v>
      </c>
      <c r="AC58" s="156">
        <v>0</v>
      </c>
      <c r="AD58" s="156">
        <v>0</v>
      </c>
      <c r="AE58" s="156">
        <v>0</v>
      </c>
      <c r="AF58" s="156">
        <v>0</v>
      </c>
      <c r="AG58" s="156">
        <v>0</v>
      </c>
      <c r="AH58" s="156">
        <v>0</v>
      </c>
      <c r="AI58" s="156">
        <v>0</v>
      </c>
      <c r="AJ58" s="156">
        <v>0</v>
      </c>
      <c r="AK58" s="156">
        <v>0</v>
      </c>
      <c r="AL58" s="156">
        <v>0</v>
      </c>
      <c r="AM58" s="156">
        <v>0</v>
      </c>
      <c r="AN58" s="156">
        <v>0</v>
      </c>
      <c r="AO58" s="156">
        <v>0</v>
      </c>
      <c r="AP58" s="156">
        <v>0</v>
      </c>
      <c r="AQ58" s="156">
        <v>0</v>
      </c>
      <c r="AR58" s="156">
        <v>0</v>
      </c>
      <c r="AS58" s="156">
        <v>0</v>
      </c>
      <c r="AT58" s="156">
        <v>0</v>
      </c>
      <c r="AU58" s="156">
        <v>0</v>
      </c>
      <c r="AV58" s="156">
        <v>0</v>
      </c>
      <c r="AW58" s="200">
        <v>0</v>
      </c>
      <c r="BF58" s="538"/>
      <c r="BG58" s="363" t="s">
        <v>145</v>
      </c>
      <c r="BH58" s="385">
        <v>4.2593946808284071E-7</v>
      </c>
      <c r="BI58" s="385">
        <v>3.9775054527851178E-7</v>
      </c>
      <c r="BJ58" s="385">
        <v>3.8680576656912011E-7</v>
      </c>
      <c r="BK58" s="385">
        <v>5.2344185754238055E-7</v>
      </c>
      <c r="BL58" s="385">
        <v>3.5423551596803738E-7</v>
      </c>
      <c r="BM58" s="386">
        <v>4.1401248204970092E-7</v>
      </c>
      <c r="BN58" s="386">
        <v>4.1401248204970092E-7</v>
      </c>
      <c r="BO58" s="386">
        <v>4.1401248204970092E-7</v>
      </c>
      <c r="BP58" s="385">
        <v>3.9695005900480503E-7</v>
      </c>
      <c r="BQ58" s="385">
        <v>3.744190993374727E-7</v>
      </c>
      <c r="BR58" s="385">
        <v>3.6685164326606841E-7</v>
      </c>
      <c r="BS58" s="385">
        <v>3.9991048491821399E-7</v>
      </c>
      <c r="BT58" s="385">
        <v>3.9230534172347602E-7</v>
      </c>
      <c r="BU58" s="385">
        <v>3.8915261627055601E-7</v>
      </c>
      <c r="BV58" s="385">
        <v>3.6914785915474742E-7</v>
      </c>
      <c r="BW58" s="385">
        <v>3.6127396959137321E-7</v>
      </c>
      <c r="BX58" s="385">
        <v>3.7358235284890478E-7</v>
      </c>
      <c r="BY58" s="385">
        <v>3.7544920895676302E-7</v>
      </c>
      <c r="BZ58" s="385">
        <v>3.7185654643945188E-7</v>
      </c>
      <c r="CA58" s="385">
        <v>3.6580553485325511E-7</v>
      </c>
      <c r="CB58" s="385">
        <v>0</v>
      </c>
      <c r="CC58"/>
      <c r="CD58"/>
      <c r="CE58" s="176"/>
      <c r="CF58"/>
      <c r="CG58"/>
      <c r="CH58"/>
      <c r="CI58"/>
      <c r="CJ58"/>
      <c r="CK58"/>
      <c r="CQ58" s="69">
        <v>1</v>
      </c>
      <c r="CR58" s="69">
        <v>1</v>
      </c>
      <c r="CS58" s="69">
        <v>1</v>
      </c>
      <c r="CT58" s="69" t="e">
        <v>#DIV/0!</v>
      </c>
      <c r="CU58" s="69">
        <v>1</v>
      </c>
      <c r="CV58" s="69">
        <v>0</v>
      </c>
      <c r="CW58" s="69" t="e">
        <v>#DIV/0!</v>
      </c>
      <c r="DA58" s="538"/>
      <c r="DB58" s="363" t="s">
        <v>145</v>
      </c>
      <c r="DC58" s="385">
        <v>-2.0826761528560667E-2</v>
      </c>
      <c r="DD58" s="385">
        <v>-1.9997656461370639E-2</v>
      </c>
      <c r="DE58" s="385">
        <v>-2.9220655863179013E-2</v>
      </c>
      <c r="DF58" s="385">
        <v>-2.4656094666326345E-2</v>
      </c>
      <c r="DG58" s="385">
        <v>-3.1595835948917572E-2</v>
      </c>
      <c r="DH58" s="386">
        <v>-2.9753705096034588E-2</v>
      </c>
      <c r="DI58" s="386">
        <v>-2.9753705096034588E-2</v>
      </c>
      <c r="DJ58" s="386">
        <v>-2.9753705096034588E-2</v>
      </c>
      <c r="DK58" s="386">
        <v>-2.1700451089754602E-2</v>
      </c>
      <c r="DL58" s="386">
        <v>-3.1029842695472487E-2</v>
      </c>
      <c r="DM58" s="385">
        <v>-2.5543643225271917E-2</v>
      </c>
      <c r="DN58" s="385">
        <v>-1.7075869936064469E-2</v>
      </c>
      <c r="DO58" s="385">
        <v>-2.2163653273821082E-2</v>
      </c>
      <c r="DP58" s="385">
        <v>-3.9542957005164525E-2</v>
      </c>
      <c r="DQ58" s="385">
        <v>-3.7904956597415329E-2</v>
      </c>
      <c r="DR58" s="385">
        <v>-2.1748271432119104E-2</v>
      </c>
      <c r="DS58" s="385">
        <v>-2.9508550448680504E-2</v>
      </c>
      <c r="DT58" s="385">
        <v>-2.7273855074903874E-2</v>
      </c>
      <c r="DU58" s="385">
        <v>-2.9816862888231488E-2</v>
      </c>
      <c r="DV58" s="385">
        <v>-4.1792641996447943E-2</v>
      </c>
      <c r="DW58" s="385">
        <v>0</v>
      </c>
    </row>
    <row r="59" spans="1:127" ht="14.25" customHeight="1">
      <c r="A59" s="544"/>
      <c r="B59" s="196" t="s">
        <v>73</v>
      </c>
      <c r="C59" s="156">
        <v>0</v>
      </c>
      <c r="D59" s="156">
        <v>0</v>
      </c>
      <c r="E59" s="156">
        <v>0</v>
      </c>
      <c r="F59" s="156">
        <v>0</v>
      </c>
      <c r="G59" s="156">
        <v>0</v>
      </c>
      <c r="H59" s="156">
        <v>0</v>
      </c>
      <c r="I59" s="156">
        <v>0</v>
      </c>
      <c r="J59" s="156">
        <v>0</v>
      </c>
      <c r="K59" s="156">
        <v>0</v>
      </c>
      <c r="L59" s="156">
        <v>0</v>
      </c>
      <c r="M59" s="156">
        <v>0</v>
      </c>
      <c r="N59" s="156">
        <v>0</v>
      </c>
      <c r="O59" s="156">
        <v>0</v>
      </c>
      <c r="P59" s="156">
        <v>0</v>
      </c>
      <c r="Q59" s="156">
        <v>0</v>
      </c>
      <c r="R59" s="156">
        <v>0</v>
      </c>
      <c r="S59" s="156">
        <v>0</v>
      </c>
      <c r="T59" s="156">
        <v>0</v>
      </c>
      <c r="U59" s="156">
        <v>0</v>
      </c>
      <c r="V59" s="156">
        <v>0</v>
      </c>
      <c r="W59" s="200">
        <v>0</v>
      </c>
      <c r="AA59" s="544"/>
      <c r="AB59" s="196" t="s">
        <v>73</v>
      </c>
      <c r="AC59" s="156">
        <v>0</v>
      </c>
      <c r="AD59" s="156">
        <v>0</v>
      </c>
      <c r="AE59" s="156">
        <v>0</v>
      </c>
      <c r="AF59" s="156">
        <v>0</v>
      </c>
      <c r="AG59" s="156">
        <v>0</v>
      </c>
      <c r="AH59" s="156">
        <v>0</v>
      </c>
      <c r="AI59" s="156">
        <v>0</v>
      </c>
      <c r="AJ59" s="156">
        <v>0</v>
      </c>
      <c r="AK59" s="156">
        <v>0</v>
      </c>
      <c r="AL59" s="156">
        <v>0</v>
      </c>
      <c r="AM59" s="156">
        <v>0</v>
      </c>
      <c r="AN59" s="156">
        <v>0</v>
      </c>
      <c r="AO59" s="156">
        <v>0</v>
      </c>
      <c r="AP59" s="156">
        <v>0</v>
      </c>
      <c r="AQ59" s="156">
        <v>0</v>
      </c>
      <c r="AR59" s="156">
        <v>0</v>
      </c>
      <c r="AS59" s="156">
        <v>0</v>
      </c>
      <c r="AT59" s="156">
        <v>0</v>
      </c>
      <c r="AU59" s="156">
        <v>0</v>
      </c>
      <c r="AV59" s="156">
        <v>0</v>
      </c>
      <c r="AW59" s="200">
        <v>0</v>
      </c>
      <c r="BF59" s="538"/>
      <c r="BG59" s="363" t="s">
        <v>73</v>
      </c>
      <c r="BH59" s="385">
        <v>2.878250254166706E-7</v>
      </c>
      <c r="BI59" s="385">
        <v>2.5112101334765912E-7</v>
      </c>
      <c r="BJ59" s="385">
        <v>2.468303612956175E-7</v>
      </c>
      <c r="BK59" s="385">
        <v>2.4591383311399331E-7</v>
      </c>
      <c r="BL59" s="385">
        <v>2.274640350248308E-7</v>
      </c>
      <c r="BM59" s="386">
        <v>2.5461628775118309E-7</v>
      </c>
      <c r="BN59" s="386">
        <v>2.5461628775118309E-7</v>
      </c>
      <c r="BO59" s="386">
        <v>2.5461628775118309E-7</v>
      </c>
      <c r="BP59" s="385">
        <v>2.7699709835596169E-7</v>
      </c>
      <c r="BQ59" s="385">
        <v>2.8171351643546742E-7</v>
      </c>
      <c r="BR59" s="385">
        <v>3.2180539132529411E-7</v>
      </c>
      <c r="BS59" s="385">
        <v>2.8970393530173112E-7</v>
      </c>
      <c r="BT59" s="385">
        <v>2.862820701167098E-7</v>
      </c>
      <c r="BU59" s="385">
        <v>3.0242303584850708E-7</v>
      </c>
      <c r="BV59" s="385">
        <v>4.9784111485639338E-7</v>
      </c>
      <c r="BW59" s="385">
        <v>3.1800233315158312E-7</v>
      </c>
      <c r="BX59" s="385">
        <v>2.9855577750983302E-7</v>
      </c>
      <c r="BY59" s="385">
        <v>2.9918832171450201E-7</v>
      </c>
      <c r="BZ59" s="385">
        <v>2.9323497125314868E-7</v>
      </c>
      <c r="CA59" s="385">
        <v>2.651474595513174E-7</v>
      </c>
      <c r="CB59" s="385">
        <v>0</v>
      </c>
      <c r="CC59"/>
      <c r="CD59"/>
      <c r="CE59" s="176"/>
      <c r="CF59"/>
      <c r="CG59"/>
      <c r="CH59"/>
      <c r="CI59"/>
      <c r="CJ59"/>
      <c r="CK59"/>
      <c r="CQ59" s="69">
        <v>0</v>
      </c>
      <c r="CR59" s="69">
        <v>0</v>
      </c>
      <c r="CS59" s="69">
        <v>0.10701420975194238</v>
      </c>
      <c r="CT59" s="69" t="e">
        <v>#DIV/0!</v>
      </c>
      <c r="CU59" s="69">
        <v>0</v>
      </c>
      <c r="CV59" s="69">
        <v>0</v>
      </c>
      <c r="CW59" s="69" t="e">
        <v>#DIV/0!</v>
      </c>
      <c r="DA59" s="538"/>
      <c r="DB59" s="363" t="s">
        <v>73</v>
      </c>
      <c r="DC59" s="385">
        <v>-3.6724748285837605E-2</v>
      </c>
      <c r="DD59" s="385">
        <v>-2.5542688626345789E-2</v>
      </c>
      <c r="DE59" s="385">
        <v>-3.2013440428285578E-2</v>
      </c>
      <c r="DF59" s="385">
        <v>-1.891093127819532E-2</v>
      </c>
      <c r="DG59" s="385">
        <v>-3.1721207497268922E-2</v>
      </c>
      <c r="DH59" s="386">
        <v>-1.7516497999909064E-2</v>
      </c>
      <c r="DI59" s="386">
        <v>-1.7516497999909064E-2</v>
      </c>
      <c r="DJ59" s="386">
        <v>-1.7516497999909064E-2</v>
      </c>
      <c r="DK59" s="386">
        <v>-1.7744352641843264E-2</v>
      </c>
      <c r="DL59" s="386">
        <v>-2.9745965981704425E-2</v>
      </c>
      <c r="DM59" s="385">
        <v>-2.3316318617371268E-2</v>
      </c>
      <c r="DN59" s="385">
        <v>-2.7533873976352541E-2</v>
      </c>
      <c r="DO59" s="385">
        <v>-2.0789405580919795E-2</v>
      </c>
      <c r="DP59" s="385">
        <v>-2.8827245621468434E-2</v>
      </c>
      <c r="DQ59" s="385">
        <v>-5.9372411043652873E-2</v>
      </c>
      <c r="DR59" s="385">
        <v>-1.8876441539659172E-3</v>
      </c>
      <c r="DS59" s="385">
        <v>-3.1572873599878482E-2</v>
      </c>
      <c r="DT59" s="385">
        <v>-2.6026908911220503E-2</v>
      </c>
      <c r="DU59" s="385">
        <v>-2.871151617035983E-2</v>
      </c>
      <c r="DV59" s="385">
        <v>-3.5952476949254741E-2</v>
      </c>
      <c r="DW59" s="385">
        <v>0</v>
      </c>
    </row>
    <row r="60" spans="1:127" ht="14.25" customHeight="1">
      <c r="A60" s="544"/>
      <c r="B60" s="196" t="s">
        <v>75</v>
      </c>
      <c r="C60" s="156">
        <v>0</v>
      </c>
      <c r="D60" s="156">
        <v>0</v>
      </c>
      <c r="E60" s="156">
        <v>0</v>
      </c>
      <c r="F60" s="156">
        <v>0</v>
      </c>
      <c r="G60" s="156">
        <v>0</v>
      </c>
      <c r="H60" s="156">
        <v>0</v>
      </c>
      <c r="I60" s="156">
        <v>0</v>
      </c>
      <c r="J60" s="156">
        <v>0</v>
      </c>
      <c r="K60" s="156">
        <v>0</v>
      </c>
      <c r="L60" s="156">
        <v>0</v>
      </c>
      <c r="M60" s="156">
        <v>0</v>
      </c>
      <c r="N60" s="156">
        <v>0</v>
      </c>
      <c r="O60" s="156">
        <v>0</v>
      </c>
      <c r="P60" s="156">
        <v>0</v>
      </c>
      <c r="Q60" s="156">
        <v>0</v>
      </c>
      <c r="R60" s="156">
        <v>0</v>
      </c>
      <c r="S60" s="156">
        <v>0</v>
      </c>
      <c r="T60" s="156">
        <v>0</v>
      </c>
      <c r="U60" s="156">
        <v>0</v>
      </c>
      <c r="V60" s="156">
        <v>0</v>
      </c>
      <c r="W60" s="200">
        <v>0</v>
      </c>
      <c r="AA60" s="544"/>
      <c r="AB60" s="196" t="s">
        <v>75</v>
      </c>
      <c r="AC60" s="156">
        <v>0</v>
      </c>
      <c r="AD60" s="156">
        <v>0</v>
      </c>
      <c r="AE60" s="156">
        <v>0</v>
      </c>
      <c r="AF60" s="156">
        <v>0</v>
      </c>
      <c r="AG60" s="156">
        <v>0</v>
      </c>
      <c r="AH60" s="156">
        <v>0</v>
      </c>
      <c r="AI60" s="156">
        <v>0</v>
      </c>
      <c r="AJ60" s="156">
        <v>0</v>
      </c>
      <c r="AK60" s="156">
        <v>0</v>
      </c>
      <c r="AL60" s="156">
        <v>0</v>
      </c>
      <c r="AM60" s="156">
        <v>0</v>
      </c>
      <c r="AN60" s="156">
        <v>0</v>
      </c>
      <c r="AO60" s="156">
        <v>0</v>
      </c>
      <c r="AP60" s="156">
        <v>0</v>
      </c>
      <c r="AQ60" s="156">
        <v>0</v>
      </c>
      <c r="AR60" s="156">
        <v>0</v>
      </c>
      <c r="AS60" s="156">
        <v>0</v>
      </c>
      <c r="AT60" s="156">
        <v>0</v>
      </c>
      <c r="AU60" s="156">
        <v>0</v>
      </c>
      <c r="AV60" s="156">
        <v>0</v>
      </c>
      <c r="AW60" s="200">
        <v>0</v>
      </c>
      <c r="BF60" s="538"/>
      <c r="BG60" s="363" t="s">
        <v>75</v>
      </c>
      <c r="BH60" s="385">
        <v>8.5017203257556072E-8</v>
      </c>
      <c r="BI60" s="385">
        <v>9.8191276588068589E-8</v>
      </c>
      <c r="BJ60" s="385">
        <v>8.0447544419230216E-8</v>
      </c>
      <c r="BK60" s="385">
        <v>1.6576532428134809E-7</v>
      </c>
      <c r="BL60" s="385">
        <v>7.604462617130488E-8</v>
      </c>
      <c r="BM60" s="386">
        <v>1.2505281247767119E-7</v>
      </c>
      <c r="BN60" s="386">
        <v>1.2505281247767119E-7</v>
      </c>
      <c r="BO60" s="386">
        <v>1.2505281247767119E-7</v>
      </c>
      <c r="BP60" s="385">
        <v>9.126055557868199E-8</v>
      </c>
      <c r="BQ60" s="385">
        <v>8.544450891576542E-8</v>
      </c>
      <c r="BR60" s="385">
        <v>8.1961027484858064E-8</v>
      </c>
      <c r="BS60" s="385">
        <v>1.014428753390869E-7</v>
      </c>
      <c r="BT60" s="385">
        <v>7.9569766010913863E-8</v>
      </c>
      <c r="BU60" s="385">
        <v>8.3239848535838602E-8</v>
      </c>
      <c r="BV60" s="385">
        <v>8.2406235224455587E-8</v>
      </c>
      <c r="BW60" s="385">
        <v>7.9455354895822091E-8</v>
      </c>
      <c r="BX60" s="385">
        <v>8.3981152106942447E-8</v>
      </c>
      <c r="BY60" s="385">
        <v>8.9196893299447134E-8</v>
      </c>
      <c r="BZ60" s="385">
        <v>8.2741545834816791E-8</v>
      </c>
      <c r="CA60" s="385">
        <v>7.5819860053397958E-8</v>
      </c>
      <c r="CB60" s="385">
        <v>0</v>
      </c>
      <c r="CC60"/>
      <c r="CD60"/>
      <c r="CE60" s="176"/>
      <c r="CF60"/>
      <c r="CG60"/>
      <c r="CH60"/>
      <c r="CI60"/>
      <c r="CJ60"/>
      <c r="CK60"/>
      <c r="CQ60" s="69">
        <v>0</v>
      </c>
      <c r="CR60" s="69">
        <v>0</v>
      </c>
      <c r="CS60" s="69">
        <v>8.6589788596061021E-2</v>
      </c>
      <c r="CT60" s="69" t="e">
        <v>#DIV/0!</v>
      </c>
      <c r="CU60" s="69">
        <v>11.852703103559394</v>
      </c>
      <c r="CV60" s="69">
        <v>0</v>
      </c>
      <c r="CW60" s="69" t="e">
        <v>#DIV/0!</v>
      </c>
      <c r="DA60" s="538"/>
      <c r="DB60" s="363" t="s">
        <v>75</v>
      </c>
      <c r="DC60" s="385">
        <v>-1.0208423493755281E-2</v>
      </c>
      <c r="DD60" s="385">
        <v>-1.9743226817425463E-2</v>
      </c>
      <c r="DE60" s="385">
        <v>-2.0450807084882339E-2</v>
      </c>
      <c r="DF60" s="385">
        <v>-2.7589811454492907E-2</v>
      </c>
      <c r="DG60" s="385">
        <v>-1.7857541966760593E-2</v>
      </c>
      <c r="DH60" s="386">
        <v>-2.814781966005564E-2</v>
      </c>
      <c r="DI60" s="386">
        <v>-2.814781966005564E-2</v>
      </c>
      <c r="DJ60" s="386">
        <v>-2.814781966005564E-2</v>
      </c>
      <c r="DK60" s="386">
        <v>-9.9177261902383407E-3</v>
      </c>
      <c r="DL60" s="386">
        <v>-2.048475342080236E-2</v>
      </c>
      <c r="DM60" s="385">
        <v>-2.549526977661376E-2</v>
      </c>
      <c r="DN60" s="385">
        <v>-9.6735312722565636E-3</v>
      </c>
      <c r="DO60" s="385">
        <v>-2.0303890381160983E-2</v>
      </c>
      <c r="DP60" s="385">
        <v>-2.7163963343948772E-2</v>
      </c>
      <c r="DQ60" s="385">
        <v>-1.986214344044801E-2</v>
      </c>
      <c r="DR60" s="385">
        <v>-2.1250891258140281E-2</v>
      </c>
      <c r="DS60" s="385">
        <v>-2.3474137620086877E-2</v>
      </c>
      <c r="DT60" s="385">
        <v>-1.3273456346712842E-2</v>
      </c>
      <c r="DU60" s="385">
        <v>-2.7088052510757521E-2</v>
      </c>
      <c r="DV60" s="385">
        <v>-3.2631578111226411E-2</v>
      </c>
      <c r="DW60" s="385">
        <v>0</v>
      </c>
    </row>
    <row r="61" spans="1:127" ht="14.25" customHeight="1">
      <c r="A61" s="544"/>
      <c r="B61" s="196" t="s">
        <v>146</v>
      </c>
      <c r="C61" s="156">
        <v>0</v>
      </c>
      <c r="D61" s="156">
        <v>0</v>
      </c>
      <c r="E61" s="156">
        <v>0</v>
      </c>
      <c r="F61" s="156">
        <v>0</v>
      </c>
      <c r="G61" s="156">
        <v>0</v>
      </c>
      <c r="H61" s="156">
        <v>0</v>
      </c>
      <c r="I61" s="156">
        <v>0</v>
      </c>
      <c r="J61" s="156">
        <v>0</v>
      </c>
      <c r="K61" s="156">
        <v>0</v>
      </c>
      <c r="L61" s="156">
        <v>0</v>
      </c>
      <c r="M61" s="156">
        <v>0</v>
      </c>
      <c r="N61" s="156">
        <v>0</v>
      </c>
      <c r="O61" s="156">
        <v>0</v>
      </c>
      <c r="P61" s="156">
        <v>0</v>
      </c>
      <c r="Q61" s="156">
        <v>0</v>
      </c>
      <c r="R61" s="156">
        <v>0</v>
      </c>
      <c r="S61" s="156">
        <v>0</v>
      </c>
      <c r="T61" s="156">
        <v>0</v>
      </c>
      <c r="U61" s="156">
        <v>0</v>
      </c>
      <c r="V61" s="156">
        <v>0</v>
      </c>
      <c r="W61" s="200">
        <v>0</v>
      </c>
      <c r="AA61" s="544"/>
      <c r="AB61" s="196" t="s">
        <v>146</v>
      </c>
      <c r="AC61" s="156">
        <v>0</v>
      </c>
      <c r="AD61" s="156">
        <v>0</v>
      </c>
      <c r="AE61" s="156">
        <v>0</v>
      </c>
      <c r="AF61" s="156">
        <v>0</v>
      </c>
      <c r="AG61" s="156">
        <v>0</v>
      </c>
      <c r="AH61" s="156">
        <v>0</v>
      </c>
      <c r="AI61" s="156">
        <v>0</v>
      </c>
      <c r="AJ61" s="156">
        <v>0</v>
      </c>
      <c r="AK61" s="156">
        <v>0</v>
      </c>
      <c r="AL61" s="156">
        <v>0</v>
      </c>
      <c r="AM61" s="156">
        <v>0</v>
      </c>
      <c r="AN61" s="156">
        <v>0</v>
      </c>
      <c r="AO61" s="156">
        <v>0</v>
      </c>
      <c r="AP61" s="156">
        <v>0</v>
      </c>
      <c r="AQ61" s="156">
        <v>0</v>
      </c>
      <c r="AR61" s="156">
        <v>0</v>
      </c>
      <c r="AS61" s="156">
        <v>0</v>
      </c>
      <c r="AT61" s="156">
        <v>0</v>
      </c>
      <c r="AU61" s="156">
        <v>0</v>
      </c>
      <c r="AV61" s="156">
        <v>0</v>
      </c>
      <c r="AW61" s="200">
        <v>0</v>
      </c>
      <c r="BF61" s="538"/>
      <c r="BG61" s="363" t="s">
        <v>146</v>
      </c>
      <c r="BH61" s="385">
        <v>6.3665616326106221E-7</v>
      </c>
      <c r="BI61" s="385">
        <v>7.8289498513348791E-7</v>
      </c>
      <c r="BJ61" s="385">
        <v>6.3720629522843026E-7</v>
      </c>
      <c r="BK61" s="385">
        <v>8.2399860586475689E-7</v>
      </c>
      <c r="BL61" s="385">
        <v>6.0371471379607645E-7</v>
      </c>
      <c r="BM61" s="386">
        <v>7.7520164425496225E-7</v>
      </c>
      <c r="BN61" s="386">
        <v>7.7520164425496225E-7</v>
      </c>
      <c r="BO61" s="386">
        <v>7.7520164425496225E-7</v>
      </c>
      <c r="BP61" s="385">
        <v>6.8872405216130035E-7</v>
      </c>
      <c r="BQ61" s="385">
        <v>6.8709103647447423E-7</v>
      </c>
      <c r="BR61" s="385">
        <v>7.1987647748138565E-7</v>
      </c>
      <c r="BS61" s="385">
        <v>9.165466039978353E-7</v>
      </c>
      <c r="BT61" s="385">
        <v>7.1013260445391584E-7</v>
      </c>
      <c r="BU61" s="385">
        <v>7.1343545826243304E-7</v>
      </c>
      <c r="BV61" s="385">
        <v>6.4152291919117093E-7</v>
      </c>
      <c r="BW61" s="385">
        <v>6.1457742680550236E-7</v>
      </c>
      <c r="BX61" s="385">
        <v>7.9952899405409233E-7</v>
      </c>
      <c r="BY61" s="385">
        <v>6.9764007178945576E-7</v>
      </c>
      <c r="BZ61" s="385">
        <v>6.5054744081886708E-7</v>
      </c>
      <c r="CA61" s="385">
        <v>6.2453206639046511E-7</v>
      </c>
      <c r="CB61" s="385">
        <v>0</v>
      </c>
      <c r="CC61"/>
      <c r="CD61"/>
      <c r="CE61"/>
      <c r="CF61"/>
      <c r="CG61"/>
      <c r="CH61"/>
      <c r="CI61"/>
      <c r="CJ61"/>
      <c r="CK61"/>
      <c r="DA61" s="538"/>
      <c r="DB61" s="363" t="s">
        <v>146</v>
      </c>
      <c r="DC61" s="385">
        <v>-4.9219444009328539E-3</v>
      </c>
      <c r="DD61" s="385">
        <v>-7.2557596993505502E-3</v>
      </c>
      <c r="DE61" s="385">
        <v>-1.8606513821426529E-2</v>
      </c>
      <c r="DF61" s="385">
        <v>-8.4011096897705917E-3</v>
      </c>
      <c r="DG61" s="385">
        <v>-1.9899031793191191E-2</v>
      </c>
      <c r="DH61" s="386">
        <v>-5.3368640714394067E-3</v>
      </c>
      <c r="DI61" s="386">
        <v>-5.3368640714394067E-3</v>
      </c>
      <c r="DJ61" s="386">
        <v>-5.3368640714394067E-3</v>
      </c>
      <c r="DK61" s="386">
        <v>-8.2159832154176105E-3</v>
      </c>
      <c r="DL61" s="386">
        <v>-1.3175073096875267E-2</v>
      </c>
      <c r="DM61" s="385">
        <v>-1.469054823108995E-2</v>
      </c>
      <c r="DN61" s="385">
        <v>-1.0574782730141563E-2</v>
      </c>
      <c r="DO61" s="385">
        <v>-1.0455902015769958E-2</v>
      </c>
      <c r="DP61" s="385">
        <v>-2.0885220738426469E-2</v>
      </c>
      <c r="DQ61" s="385">
        <v>-9.5146694729284498E-3</v>
      </c>
      <c r="DR61" s="385">
        <v>-1.1750942829543254E-2</v>
      </c>
      <c r="DS61" s="385">
        <v>-1.6315955632766999E-2</v>
      </c>
      <c r="DT61" s="385">
        <v>-6.3949932116154073E-3</v>
      </c>
      <c r="DU61" s="385">
        <v>-1.515574414661558E-2</v>
      </c>
      <c r="DV61" s="385">
        <v>-2.7311531822077129E-2</v>
      </c>
      <c r="DW61" s="385">
        <v>0</v>
      </c>
    </row>
    <row r="62" spans="1:127" ht="14.25" customHeight="1">
      <c r="A62" s="544"/>
      <c r="B62" s="196" t="s">
        <v>83</v>
      </c>
      <c r="C62" s="156">
        <v>0</v>
      </c>
      <c r="D62" s="156">
        <v>0</v>
      </c>
      <c r="E62" s="156">
        <v>0</v>
      </c>
      <c r="F62" s="156">
        <v>0</v>
      </c>
      <c r="G62" s="156">
        <v>0</v>
      </c>
      <c r="H62" s="156">
        <v>0</v>
      </c>
      <c r="I62" s="156">
        <v>0</v>
      </c>
      <c r="J62" s="156">
        <v>0</v>
      </c>
      <c r="K62" s="156">
        <v>0</v>
      </c>
      <c r="L62" s="156">
        <v>0</v>
      </c>
      <c r="M62" s="156">
        <v>0</v>
      </c>
      <c r="N62" s="156">
        <v>0</v>
      </c>
      <c r="O62" s="156">
        <v>0</v>
      </c>
      <c r="P62" s="156">
        <v>0</v>
      </c>
      <c r="Q62" s="156">
        <v>0</v>
      </c>
      <c r="R62" s="156">
        <v>0</v>
      </c>
      <c r="S62" s="156">
        <v>0</v>
      </c>
      <c r="T62" s="156">
        <v>0</v>
      </c>
      <c r="U62" s="156">
        <v>0</v>
      </c>
      <c r="V62" s="156">
        <v>0</v>
      </c>
      <c r="W62" s="200">
        <v>0</v>
      </c>
      <c r="AA62" s="544"/>
      <c r="AB62" s="196" t="s">
        <v>83</v>
      </c>
      <c r="AC62" s="156">
        <v>0</v>
      </c>
      <c r="AD62" s="156">
        <v>0</v>
      </c>
      <c r="AE62" s="156">
        <v>0</v>
      </c>
      <c r="AF62" s="156">
        <v>0</v>
      </c>
      <c r="AG62" s="156">
        <v>0</v>
      </c>
      <c r="AH62" s="156">
        <v>0</v>
      </c>
      <c r="AI62" s="156">
        <v>0</v>
      </c>
      <c r="AJ62" s="156">
        <v>0</v>
      </c>
      <c r="AK62" s="156">
        <v>0</v>
      </c>
      <c r="AL62" s="156">
        <v>0</v>
      </c>
      <c r="AM62" s="156">
        <v>0</v>
      </c>
      <c r="AN62" s="156">
        <v>0</v>
      </c>
      <c r="AO62" s="156">
        <v>0</v>
      </c>
      <c r="AP62" s="156">
        <v>0</v>
      </c>
      <c r="AQ62" s="156">
        <v>0</v>
      </c>
      <c r="AR62" s="156">
        <v>0</v>
      </c>
      <c r="AS62" s="156">
        <v>0</v>
      </c>
      <c r="AT62" s="156">
        <v>0</v>
      </c>
      <c r="AU62" s="156">
        <v>0</v>
      </c>
      <c r="AV62" s="156">
        <v>0</v>
      </c>
      <c r="AW62" s="200">
        <v>0</v>
      </c>
      <c r="BF62" s="538"/>
      <c r="BG62" s="363" t="s">
        <v>83</v>
      </c>
      <c r="BH62" s="385">
        <v>5.9652595806166639E-7</v>
      </c>
      <c r="BI62" s="385">
        <v>6.3719126063733445E-7</v>
      </c>
      <c r="BJ62" s="385">
        <v>5.8204885845993856E-7</v>
      </c>
      <c r="BK62" s="385">
        <v>5.805647451391851E-7</v>
      </c>
      <c r="BL62" s="385">
        <v>5.524395726170675E-7</v>
      </c>
      <c r="BM62" s="386">
        <v>7.1031422263385913E-7</v>
      </c>
      <c r="BN62" s="386">
        <v>7.1031422263385913E-7</v>
      </c>
      <c r="BO62" s="386">
        <v>7.1031422263385913E-7</v>
      </c>
      <c r="BP62" s="385">
        <v>7.0017510840999148E-7</v>
      </c>
      <c r="BQ62" s="385">
        <v>6.0029777850239576E-7</v>
      </c>
      <c r="BR62" s="385">
        <v>6.5997846911427593E-7</v>
      </c>
      <c r="BS62" s="385">
        <v>6.4321219495008141E-7</v>
      </c>
      <c r="BT62" s="385">
        <v>6.4668372709270462E-7</v>
      </c>
      <c r="BU62" s="385">
        <v>6.7416437818122989E-7</v>
      </c>
      <c r="BV62" s="385">
        <v>7.7715872196628695E-7</v>
      </c>
      <c r="BW62" s="385">
        <v>6.336849252652072E-7</v>
      </c>
      <c r="BX62" s="385">
        <v>6.492637696265086E-7</v>
      </c>
      <c r="BY62" s="385">
        <v>6.7520372457178649E-7</v>
      </c>
      <c r="BZ62" s="385">
        <v>6.7293815133820719E-7</v>
      </c>
      <c r="CA62" s="385">
        <v>6.3444221210918417E-7</v>
      </c>
      <c r="CB62" s="385">
        <v>0</v>
      </c>
      <c r="CC62"/>
      <c r="CD62"/>
      <c r="CE62" s="176"/>
      <c r="CF62"/>
      <c r="CG62"/>
      <c r="CH62"/>
      <c r="CI62"/>
      <c r="CJ62"/>
      <c r="CK62"/>
      <c r="DA62" s="538"/>
      <c r="DB62" s="363" t="s">
        <v>83</v>
      </c>
      <c r="DC62" s="385">
        <v>-8.8344990480555552E-3</v>
      </c>
      <c r="DD62" s="385">
        <v>-6.3979573858348182E-3</v>
      </c>
      <c r="DE62" s="385">
        <v>-2.2894303656053272E-2</v>
      </c>
      <c r="DF62" s="385">
        <v>1.1087670044906073E-2</v>
      </c>
      <c r="DG62" s="385">
        <v>-2.3129282983834987E-2</v>
      </c>
      <c r="DH62" s="386">
        <v>5.3165175438560919E-3</v>
      </c>
      <c r="DI62" s="386">
        <v>5.3165175438560919E-3</v>
      </c>
      <c r="DJ62" s="386">
        <v>5.3165175438560919E-3</v>
      </c>
      <c r="DK62" s="386">
        <v>-1.570901390776458E-2</v>
      </c>
      <c r="DL62" s="386">
        <v>-1.6472879459641376E-2</v>
      </c>
      <c r="DM62" s="385">
        <v>-1.6988801718420765E-2</v>
      </c>
      <c r="DN62" s="385">
        <v>-3.3603784801137238E-3</v>
      </c>
      <c r="DO62" s="385">
        <v>-1.3689877464617473E-2</v>
      </c>
      <c r="DP62" s="385">
        <v>-2.2020545960405924E-2</v>
      </c>
      <c r="DQ62" s="385">
        <v>-5.2265003236262597E-4</v>
      </c>
      <c r="DR62" s="385">
        <v>-1.4348837065108033E-2</v>
      </c>
      <c r="DS62" s="385">
        <v>-1.8015876793469943E-2</v>
      </c>
      <c r="DT62" s="385">
        <v>-1.1570071295040618E-2</v>
      </c>
      <c r="DU62" s="385">
        <v>-1.7276877669758384E-2</v>
      </c>
      <c r="DV62" s="385">
        <v>-2.5872140716924563E-2</v>
      </c>
      <c r="DW62" s="385">
        <v>0</v>
      </c>
    </row>
    <row r="63" spans="1:127" ht="14.25" customHeight="1">
      <c r="A63" s="544"/>
      <c r="B63" s="196" t="s">
        <v>85</v>
      </c>
      <c r="C63" s="156">
        <v>0</v>
      </c>
      <c r="D63" s="156">
        <v>0</v>
      </c>
      <c r="E63" s="156">
        <v>0</v>
      </c>
      <c r="F63" s="156">
        <v>0</v>
      </c>
      <c r="G63" s="156">
        <v>0</v>
      </c>
      <c r="H63" s="156">
        <v>0</v>
      </c>
      <c r="I63" s="156">
        <v>0</v>
      </c>
      <c r="J63" s="156">
        <v>0</v>
      </c>
      <c r="K63" s="156">
        <v>0</v>
      </c>
      <c r="L63" s="156">
        <v>0</v>
      </c>
      <c r="M63" s="156">
        <v>0</v>
      </c>
      <c r="N63" s="156">
        <v>0</v>
      </c>
      <c r="O63" s="156">
        <v>0</v>
      </c>
      <c r="P63" s="156">
        <v>0</v>
      </c>
      <c r="Q63" s="156">
        <v>0</v>
      </c>
      <c r="R63" s="156">
        <v>0</v>
      </c>
      <c r="S63" s="156">
        <v>0</v>
      </c>
      <c r="T63" s="156">
        <v>0</v>
      </c>
      <c r="U63" s="156">
        <v>0</v>
      </c>
      <c r="V63" s="156">
        <v>0</v>
      </c>
      <c r="W63" s="200">
        <v>0</v>
      </c>
      <c r="AA63" s="544"/>
      <c r="AB63" s="196" t="s">
        <v>85</v>
      </c>
      <c r="AC63" s="156">
        <v>0</v>
      </c>
      <c r="AD63" s="156">
        <v>0</v>
      </c>
      <c r="AE63" s="156">
        <v>0</v>
      </c>
      <c r="AF63" s="156">
        <v>0</v>
      </c>
      <c r="AG63" s="156">
        <v>0</v>
      </c>
      <c r="AH63" s="156">
        <v>0</v>
      </c>
      <c r="AI63" s="156">
        <v>0</v>
      </c>
      <c r="AJ63" s="156">
        <v>0</v>
      </c>
      <c r="AK63" s="156">
        <v>0</v>
      </c>
      <c r="AL63" s="156">
        <v>0</v>
      </c>
      <c r="AM63" s="156">
        <v>0</v>
      </c>
      <c r="AN63" s="156">
        <v>0</v>
      </c>
      <c r="AO63" s="156">
        <v>0</v>
      </c>
      <c r="AP63" s="156">
        <v>0</v>
      </c>
      <c r="AQ63" s="156">
        <v>0</v>
      </c>
      <c r="AR63" s="156">
        <v>0</v>
      </c>
      <c r="AS63" s="156">
        <v>0</v>
      </c>
      <c r="AT63" s="156">
        <v>0</v>
      </c>
      <c r="AU63" s="156">
        <v>0</v>
      </c>
      <c r="AV63" s="156">
        <v>0</v>
      </c>
      <c r="AW63" s="200">
        <v>0</v>
      </c>
      <c r="BF63" s="538"/>
      <c r="BG63" s="363" t="s">
        <v>85</v>
      </c>
      <c r="BH63" s="385">
        <v>5.4065511250658952E-7</v>
      </c>
      <c r="BI63" s="385">
        <v>5.708819461592017E-7</v>
      </c>
      <c r="BJ63" s="385">
        <v>5.3474664073992196E-7</v>
      </c>
      <c r="BK63" s="385">
        <v>7.1506178590645709E-7</v>
      </c>
      <c r="BL63" s="385">
        <v>5.0437726938980722E-7</v>
      </c>
      <c r="BM63" s="386">
        <v>6.0707683927496418E-7</v>
      </c>
      <c r="BN63" s="386">
        <v>6.0707683927496418E-7</v>
      </c>
      <c r="BO63" s="386">
        <v>6.0707683927496418E-7</v>
      </c>
      <c r="BP63" s="385">
        <v>5.8897514742113488E-7</v>
      </c>
      <c r="BQ63" s="385">
        <v>5.5930368954152619E-7</v>
      </c>
      <c r="BR63" s="385">
        <v>5.7159784759583578E-7</v>
      </c>
      <c r="BS63" s="385">
        <v>5.8070984703400503E-7</v>
      </c>
      <c r="BT63" s="385">
        <v>5.6043198246384979E-7</v>
      </c>
      <c r="BU63" s="385">
        <v>5.907501392520644E-7</v>
      </c>
      <c r="BV63" s="385">
        <v>5.942657951682834E-7</v>
      </c>
      <c r="BW63" s="385">
        <v>5.5058900491726976E-7</v>
      </c>
      <c r="BX63" s="385">
        <v>5.4936044450728503E-7</v>
      </c>
      <c r="BY63" s="385">
        <v>6.4700594165376847E-7</v>
      </c>
      <c r="BZ63" s="385">
        <v>6.7018211656992885E-7</v>
      </c>
      <c r="CA63" s="385">
        <v>5.2388588115100162E-7</v>
      </c>
      <c r="CB63" s="385">
        <v>0</v>
      </c>
      <c r="CC63"/>
      <c r="CD63"/>
      <c r="CE63"/>
      <c r="CF63"/>
      <c r="CG63"/>
      <c r="CH63"/>
      <c r="CI63"/>
      <c r="CJ63"/>
      <c r="CK63"/>
      <c r="DA63" s="538"/>
      <c r="DB63" s="363" t="s">
        <v>85</v>
      </c>
      <c r="DC63" s="385">
        <v>9.4411315259539386E-3</v>
      </c>
      <c r="DD63" s="385">
        <v>4.7982176921790298E-3</v>
      </c>
      <c r="DE63" s="385">
        <v>-5.6268072694432014E-3</v>
      </c>
      <c r="DF63" s="385">
        <v>2.0244727258277084E-2</v>
      </c>
      <c r="DG63" s="385">
        <v>-8.6301820415426445E-3</v>
      </c>
      <c r="DH63" s="386">
        <v>1.0173662638718106E-2</v>
      </c>
      <c r="DI63" s="386">
        <v>1.0173662638718106E-2</v>
      </c>
      <c r="DJ63" s="386">
        <v>1.0173662638718106E-2</v>
      </c>
      <c r="DK63" s="386">
        <v>1.112794199761602E-2</v>
      </c>
      <c r="DL63" s="386">
        <v>1.1347532049565956E-6</v>
      </c>
      <c r="DM63" s="385">
        <v>-2.3445285001353344E-3</v>
      </c>
      <c r="DN63" s="385">
        <v>1.0825294155180964E-2</v>
      </c>
      <c r="DO63" s="385">
        <v>5.0977720711029573E-3</v>
      </c>
      <c r="DP63" s="385">
        <v>-7.6234702393980225E-3</v>
      </c>
      <c r="DQ63" s="385">
        <v>1.910099467298032E-3</v>
      </c>
      <c r="DR63" s="385">
        <v>1.3579672990005065E-4</v>
      </c>
      <c r="DS63" s="385">
        <v>-7.839594798195737E-3</v>
      </c>
      <c r="DT63" s="385">
        <v>5.6084693062459223E-3</v>
      </c>
      <c r="DU63" s="385">
        <v>-3.0573869801364673E-4</v>
      </c>
      <c r="DV63" s="385">
        <v>-1.5429065099279438E-2</v>
      </c>
      <c r="DW63" s="385">
        <v>0</v>
      </c>
    </row>
    <row r="64" spans="1:127" ht="14.25" customHeight="1">
      <c r="A64" s="544"/>
      <c r="B64" s="196" t="s">
        <v>88</v>
      </c>
      <c r="C64" s="156">
        <v>0</v>
      </c>
      <c r="D64" s="156">
        <v>0</v>
      </c>
      <c r="E64" s="156">
        <v>0</v>
      </c>
      <c r="F64" s="156">
        <v>0</v>
      </c>
      <c r="G64" s="156">
        <v>0</v>
      </c>
      <c r="H64" s="156">
        <v>0</v>
      </c>
      <c r="I64" s="156">
        <v>0</v>
      </c>
      <c r="J64" s="156">
        <v>0</v>
      </c>
      <c r="K64" s="156">
        <v>0</v>
      </c>
      <c r="L64" s="156">
        <v>0</v>
      </c>
      <c r="M64" s="156">
        <v>0</v>
      </c>
      <c r="N64" s="156">
        <v>0</v>
      </c>
      <c r="O64" s="156">
        <v>0</v>
      </c>
      <c r="P64" s="156">
        <v>0</v>
      </c>
      <c r="Q64" s="156">
        <v>0</v>
      </c>
      <c r="R64" s="156">
        <v>0</v>
      </c>
      <c r="S64" s="156">
        <v>0</v>
      </c>
      <c r="T64" s="156">
        <v>0</v>
      </c>
      <c r="U64" s="156">
        <v>0</v>
      </c>
      <c r="V64" s="156">
        <v>0</v>
      </c>
      <c r="W64" s="200">
        <v>0</v>
      </c>
      <c r="AA64" s="544"/>
      <c r="AB64" s="196" t="s">
        <v>88</v>
      </c>
      <c r="AC64" s="156">
        <v>0</v>
      </c>
      <c r="AD64" s="156">
        <v>0</v>
      </c>
      <c r="AE64" s="156">
        <v>0</v>
      </c>
      <c r="AF64" s="156">
        <v>0</v>
      </c>
      <c r="AG64" s="156">
        <v>0</v>
      </c>
      <c r="AH64" s="156">
        <v>0</v>
      </c>
      <c r="AI64" s="156">
        <v>0</v>
      </c>
      <c r="AJ64" s="156">
        <v>0</v>
      </c>
      <c r="AK64" s="156">
        <v>0</v>
      </c>
      <c r="AL64" s="156">
        <v>0</v>
      </c>
      <c r="AM64" s="156">
        <v>0</v>
      </c>
      <c r="AN64" s="156">
        <v>0</v>
      </c>
      <c r="AO64" s="156">
        <v>0</v>
      </c>
      <c r="AP64" s="156">
        <v>0</v>
      </c>
      <c r="AQ64" s="156">
        <v>0</v>
      </c>
      <c r="AR64" s="156">
        <v>0</v>
      </c>
      <c r="AS64" s="156">
        <v>0</v>
      </c>
      <c r="AT64" s="156">
        <v>0</v>
      </c>
      <c r="AU64" s="156">
        <v>0</v>
      </c>
      <c r="AV64" s="156">
        <v>0</v>
      </c>
      <c r="AW64" s="200">
        <v>0</v>
      </c>
      <c r="BF64" s="538"/>
      <c r="BG64" s="363" t="s">
        <v>88</v>
      </c>
      <c r="BH64" s="385">
        <v>8.9760663220149623E-7</v>
      </c>
      <c r="BI64" s="385">
        <v>9.2690582744395531E-7</v>
      </c>
      <c r="BJ64" s="385">
        <v>8.1693881001532381E-7</v>
      </c>
      <c r="BK64" s="385">
        <v>1.223024492162584E-6</v>
      </c>
      <c r="BL64" s="385">
        <v>7.3015334185639463E-7</v>
      </c>
      <c r="BM64" s="386">
        <v>1.0200457644826381E-6</v>
      </c>
      <c r="BN64" s="386">
        <v>1.0200457644826381E-6</v>
      </c>
      <c r="BO64" s="386">
        <v>1.0200457644826381E-6</v>
      </c>
      <c r="BP64" s="385">
        <v>8.8104092001135565E-7</v>
      </c>
      <c r="BQ64" s="385">
        <v>8.3236055356954561E-7</v>
      </c>
      <c r="BR64" s="385">
        <v>8.6964744212916431E-7</v>
      </c>
      <c r="BS64" s="385">
        <v>9.3995568183375206E-7</v>
      </c>
      <c r="BT64" s="385">
        <v>9.0304122945971668E-7</v>
      </c>
      <c r="BU64" s="385">
        <v>8.8747941757691293E-7</v>
      </c>
      <c r="BV64" s="385">
        <v>8.8555157271671992E-7</v>
      </c>
      <c r="BW64" s="385">
        <v>7.9213064542532372E-7</v>
      </c>
      <c r="BX64" s="385">
        <v>8.4433928279817597E-7</v>
      </c>
      <c r="BY64" s="385">
        <v>1.3656795750623289E-6</v>
      </c>
      <c r="BZ64" s="385">
        <v>1.1715056136138921E-6</v>
      </c>
      <c r="CA64" s="385">
        <v>1.932564613592817E-6</v>
      </c>
      <c r="CB64" s="385">
        <v>0</v>
      </c>
      <c r="CC64"/>
      <c r="CD64"/>
      <c r="CE64" s="541" t="s">
        <v>1452</v>
      </c>
      <c r="CF64" s="541"/>
      <c r="CG64" s="541"/>
      <c r="CH64" s="541"/>
      <c r="CI64" s="541"/>
      <c r="CJ64" s="541"/>
      <c r="CK64" s="541"/>
      <c r="CL64" s="541"/>
      <c r="DA64" s="538"/>
      <c r="DB64" s="363" t="s">
        <v>88</v>
      </c>
      <c r="DC64" s="385">
        <v>5.068708793209975E-4</v>
      </c>
      <c r="DD64" s="385">
        <v>-1.1518209723193173E-2</v>
      </c>
      <c r="DE64" s="385">
        <v>-1.4461490797597065E-2</v>
      </c>
      <c r="DF64" s="385">
        <v>-8.9511354662548115E-3</v>
      </c>
      <c r="DG64" s="385">
        <v>-2.1368753746663027E-2</v>
      </c>
      <c r="DH64" s="386">
        <v>-7.8017335467660542E-3</v>
      </c>
      <c r="DI64" s="386">
        <v>-7.8017335467660542E-3</v>
      </c>
      <c r="DJ64" s="386">
        <v>-7.8017335467660542E-3</v>
      </c>
      <c r="DK64" s="386">
        <v>-7.4257394706862545E-3</v>
      </c>
      <c r="DL64" s="386">
        <v>-1.5039206815712691E-2</v>
      </c>
      <c r="DM64" s="385">
        <v>-1.6673364896335863E-2</v>
      </c>
      <c r="DN64" s="385">
        <v>-5.3721751155093589E-3</v>
      </c>
      <c r="DO64" s="385">
        <v>-6.7762733173443168E-3</v>
      </c>
      <c r="DP64" s="385">
        <v>-1.9658549844680295E-2</v>
      </c>
      <c r="DQ64" s="385">
        <v>-1.7530766008137966E-2</v>
      </c>
      <c r="DR64" s="385">
        <v>-1.6850804019463372E-2</v>
      </c>
      <c r="DS64" s="385">
        <v>-2.1030727681276895E-2</v>
      </c>
      <c r="DT64" s="385">
        <v>6.1111352464771063E-3</v>
      </c>
      <c r="DU64" s="385">
        <v>-3.4788379410910508E-4</v>
      </c>
      <c r="DV64" s="385">
        <v>-2.3892944933070148E-2</v>
      </c>
      <c r="DW64" s="385">
        <v>0</v>
      </c>
    </row>
    <row r="65" spans="1:127" ht="14.25" customHeight="1">
      <c r="A65" s="545"/>
      <c r="B65" s="196" t="s">
        <v>147</v>
      </c>
      <c r="C65" s="156">
        <v>0</v>
      </c>
      <c r="D65" s="156">
        <v>0</v>
      </c>
      <c r="E65" s="156">
        <v>0</v>
      </c>
      <c r="F65" s="156">
        <v>0</v>
      </c>
      <c r="G65" s="156">
        <v>0</v>
      </c>
      <c r="H65" s="156">
        <v>0</v>
      </c>
      <c r="I65" s="156">
        <v>0</v>
      </c>
      <c r="J65" s="156">
        <v>0</v>
      </c>
      <c r="K65" s="156">
        <v>0</v>
      </c>
      <c r="L65" s="156">
        <v>0</v>
      </c>
      <c r="M65" s="156">
        <v>0</v>
      </c>
      <c r="N65" s="156">
        <v>0</v>
      </c>
      <c r="O65" s="156">
        <v>0</v>
      </c>
      <c r="P65" s="156">
        <v>0</v>
      </c>
      <c r="Q65" s="156">
        <v>0</v>
      </c>
      <c r="R65" s="156">
        <v>0</v>
      </c>
      <c r="S65" s="156">
        <v>0</v>
      </c>
      <c r="T65" s="156">
        <v>0</v>
      </c>
      <c r="U65" s="156">
        <v>0</v>
      </c>
      <c r="V65" s="156">
        <v>0</v>
      </c>
      <c r="W65" s="200">
        <v>0</v>
      </c>
      <c r="AA65" s="545"/>
      <c r="AB65" s="196" t="s">
        <v>147</v>
      </c>
      <c r="AC65" s="156">
        <v>0</v>
      </c>
      <c r="AD65" s="156">
        <v>0</v>
      </c>
      <c r="AE65" s="156">
        <v>0</v>
      </c>
      <c r="AF65" s="156">
        <v>0</v>
      </c>
      <c r="AG65" s="156">
        <v>0</v>
      </c>
      <c r="AH65" s="156">
        <v>0</v>
      </c>
      <c r="AI65" s="156">
        <v>0</v>
      </c>
      <c r="AJ65" s="156">
        <v>0</v>
      </c>
      <c r="AK65" s="156">
        <v>0</v>
      </c>
      <c r="AL65" s="156">
        <v>0</v>
      </c>
      <c r="AM65" s="156">
        <v>0</v>
      </c>
      <c r="AN65" s="156">
        <v>0</v>
      </c>
      <c r="AO65" s="156">
        <v>0</v>
      </c>
      <c r="AP65" s="156">
        <v>0</v>
      </c>
      <c r="AQ65" s="156">
        <v>0</v>
      </c>
      <c r="AR65" s="156">
        <v>0</v>
      </c>
      <c r="AS65" s="156">
        <v>0</v>
      </c>
      <c r="AT65" s="156">
        <v>0</v>
      </c>
      <c r="AU65" s="156">
        <v>0</v>
      </c>
      <c r="AV65" s="156">
        <v>0</v>
      </c>
      <c r="AW65" s="200">
        <v>0</v>
      </c>
      <c r="BF65" s="538"/>
      <c r="BG65" s="363" t="s">
        <v>147</v>
      </c>
      <c r="BH65" s="385">
        <v>0</v>
      </c>
      <c r="BI65" s="385">
        <v>0</v>
      </c>
      <c r="BJ65" s="385">
        <v>0</v>
      </c>
      <c r="BK65" s="385">
        <v>0</v>
      </c>
      <c r="BL65" s="385">
        <v>0</v>
      </c>
      <c r="BM65" s="386">
        <v>0</v>
      </c>
      <c r="BN65" s="386">
        <v>0</v>
      </c>
      <c r="BO65" s="386">
        <v>0</v>
      </c>
      <c r="BP65" s="385">
        <v>0</v>
      </c>
      <c r="BQ65" s="385">
        <v>0</v>
      </c>
      <c r="BR65" s="385">
        <v>0</v>
      </c>
      <c r="BS65" s="385">
        <v>0</v>
      </c>
      <c r="BT65" s="385">
        <v>0</v>
      </c>
      <c r="BU65" s="385">
        <v>0</v>
      </c>
      <c r="BV65" s="385">
        <v>0</v>
      </c>
      <c r="BW65" s="385">
        <v>0</v>
      </c>
      <c r="BX65" s="385">
        <v>0</v>
      </c>
      <c r="BY65" s="385">
        <v>0</v>
      </c>
      <c r="BZ65" s="385">
        <v>0</v>
      </c>
      <c r="CA65" s="385">
        <v>0</v>
      </c>
      <c r="CB65" s="385">
        <v>0</v>
      </c>
      <c r="CC65"/>
      <c r="CD65"/>
      <c r="CE65" s="196" t="s">
        <v>608</v>
      </c>
      <c r="CF65" s="196" t="s">
        <v>609</v>
      </c>
      <c r="CG65" s="196" t="s">
        <v>610</v>
      </c>
      <c r="CH65" s="391" t="s">
        <v>1453</v>
      </c>
      <c r="CI65" s="391" t="s">
        <v>612</v>
      </c>
      <c r="CJ65" s="391" t="s">
        <v>1386</v>
      </c>
      <c r="CK65" s="391" t="s">
        <v>588</v>
      </c>
      <c r="CL65" s="392" t="s">
        <v>192</v>
      </c>
      <c r="DA65" s="538"/>
      <c r="DB65" s="363" t="s">
        <v>147</v>
      </c>
      <c r="DC65" s="385">
        <v>0</v>
      </c>
      <c r="DD65" s="385">
        <v>0</v>
      </c>
      <c r="DE65" s="385">
        <v>0</v>
      </c>
      <c r="DF65" s="385">
        <v>0</v>
      </c>
      <c r="DG65" s="385">
        <v>0</v>
      </c>
      <c r="DH65" s="386">
        <v>0</v>
      </c>
      <c r="DI65" s="386">
        <v>0</v>
      </c>
      <c r="DJ65" s="386">
        <v>0</v>
      </c>
      <c r="DK65" s="386">
        <v>0</v>
      </c>
      <c r="DL65" s="386">
        <v>0</v>
      </c>
      <c r="DM65" s="385">
        <v>0</v>
      </c>
      <c r="DN65" s="385">
        <v>0</v>
      </c>
      <c r="DO65" s="385">
        <v>0</v>
      </c>
      <c r="DP65" s="385">
        <v>0</v>
      </c>
      <c r="DQ65" s="385">
        <v>0</v>
      </c>
      <c r="DR65" s="385">
        <v>0</v>
      </c>
      <c r="DS65" s="385">
        <v>0</v>
      </c>
      <c r="DT65" s="385">
        <v>0</v>
      </c>
      <c r="DU65" s="385">
        <v>0</v>
      </c>
      <c r="DV65" s="385">
        <v>0</v>
      </c>
      <c r="DW65" s="385">
        <v>0</v>
      </c>
    </row>
    <row r="66" spans="1:127" ht="14.25" customHeight="1">
      <c r="A66" s="543" t="s">
        <v>611</v>
      </c>
      <c r="B66" s="196" t="s">
        <v>139</v>
      </c>
      <c r="C66" s="156">
        <v>0</v>
      </c>
      <c r="D66" s="156">
        <v>0</v>
      </c>
      <c r="E66" s="156">
        <v>0</v>
      </c>
      <c r="F66" s="156">
        <v>0</v>
      </c>
      <c r="G66" s="156">
        <v>0</v>
      </c>
      <c r="H66" s="156">
        <v>0</v>
      </c>
      <c r="I66" s="156">
        <v>0</v>
      </c>
      <c r="J66" s="156">
        <v>0</v>
      </c>
      <c r="K66" s="156">
        <v>0</v>
      </c>
      <c r="L66" s="156">
        <v>0</v>
      </c>
      <c r="M66" s="156">
        <v>0</v>
      </c>
      <c r="N66" s="156">
        <v>0</v>
      </c>
      <c r="O66" s="156">
        <v>0</v>
      </c>
      <c r="P66" s="156">
        <v>0</v>
      </c>
      <c r="Q66" s="156">
        <v>0</v>
      </c>
      <c r="R66" s="156">
        <v>0</v>
      </c>
      <c r="S66" s="156">
        <v>0</v>
      </c>
      <c r="T66" s="156">
        <v>0</v>
      </c>
      <c r="U66" s="156">
        <v>0</v>
      </c>
      <c r="V66" s="156">
        <v>0</v>
      </c>
      <c r="W66" s="200">
        <v>0</v>
      </c>
      <c r="AA66" s="543" t="s">
        <v>611</v>
      </c>
      <c r="AB66" s="196" t="s">
        <v>139</v>
      </c>
      <c r="AC66" s="156">
        <v>0</v>
      </c>
      <c r="AD66" s="156">
        <v>0</v>
      </c>
      <c r="AE66" s="156">
        <v>0</v>
      </c>
      <c r="AF66" s="156">
        <v>0</v>
      </c>
      <c r="AG66" s="156">
        <v>0</v>
      </c>
      <c r="AH66" s="156">
        <v>0</v>
      </c>
      <c r="AI66" s="156">
        <v>0</v>
      </c>
      <c r="AJ66" s="156">
        <v>0</v>
      </c>
      <c r="AK66" s="156">
        <v>0</v>
      </c>
      <c r="AL66" s="156">
        <v>0</v>
      </c>
      <c r="AM66" s="156">
        <v>0</v>
      </c>
      <c r="AN66" s="156">
        <v>0</v>
      </c>
      <c r="AO66" s="156">
        <v>0</v>
      </c>
      <c r="AP66" s="156">
        <v>0</v>
      </c>
      <c r="AQ66" s="156">
        <v>0</v>
      </c>
      <c r="AR66" s="156">
        <v>0</v>
      </c>
      <c r="AS66" s="156">
        <v>0</v>
      </c>
      <c r="AT66" s="156">
        <v>0</v>
      </c>
      <c r="AU66" s="156">
        <v>0</v>
      </c>
      <c r="AV66" s="156">
        <v>0</v>
      </c>
      <c r="AW66" s="200">
        <v>0</v>
      </c>
      <c r="BF66" s="538" t="s">
        <v>612</v>
      </c>
      <c r="BG66" s="363" t="s">
        <v>139</v>
      </c>
      <c r="BH66" s="387">
        <v>0</v>
      </c>
      <c r="BI66" s="387">
        <v>0</v>
      </c>
      <c r="BJ66" s="387">
        <v>0</v>
      </c>
      <c r="BK66" s="387">
        <v>0</v>
      </c>
      <c r="BL66" s="387">
        <v>0</v>
      </c>
      <c r="BM66" s="387">
        <v>0</v>
      </c>
      <c r="BN66" s="387">
        <v>0</v>
      </c>
      <c r="BO66" s="387">
        <v>0</v>
      </c>
      <c r="BP66" s="387">
        <v>0</v>
      </c>
      <c r="BQ66" s="387">
        <v>0</v>
      </c>
      <c r="BR66" s="387">
        <v>0</v>
      </c>
      <c r="BS66" s="387">
        <v>0</v>
      </c>
      <c r="BT66" s="387">
        <v>0</v>
      </c>
      <c r="BU66" s="387">
        <v>0</v>
      </c>
      <c r="BV66" s="387">
        <v>0</v>
      </c>
      <c r="BW66" s="387">
        <v>0</v>
      </c>
      <c r="BX66" s="387">
        <v>0</v>
      </c>
      <c r="BY66" s="387">
        <v>0</v>
      </c>
      <c r="BZ66" s="387">
        <v>0</v>
      </c>
      <c r="CA66" s="387">
        <v>0</v>
      </c>
      <c r="CB66" s="387">
        <v>0</v>
      </c>
      <c r="CC66"/>
      <c r="CD66" s="196" t="s">
        <v>139</v>
      </c>
      <c r="CE66" s="235">
        <v>1.298239119664084E-6</v>
      </c>
      <c r="CF66">
        <v>1.4466790388735521E-6</v>
      </c>
      <c r="CG66">
        <v>3.9845598103809493E-6</v>
      </c>
      <c r="CH66" s="345">
        <v>0</v>
      </c>
      <c r="CI66" s="345">
        <v>0</v>
      </c>
      <c r="CJ66" s="345">
        <v>0</v>
      </c>
      <c r="CK66" s="345">
        <v>0</v>
      </c>
      <c r="CL66">
        <v>5.9807988326355182E-6</v>
      </c>
      <c r="DA66" s="537" t="s">
        <v>612</v>
      </c>
      <c r="DB66" s="390" t="s">
        <v>139</v>
      </c>
      <c r="DC66" s="387">
        <v>0</v>
      </c>
      <c r="DD66" s="387">
        <v>0</v>
      </c>
      <c r="DE66" s="387">
        <v>0</v>
      </c>
      <c r="DF66" s="387">
        <v>0</v>
      </c>
      <c r="DG66" s="387">
        <v>0</v>
      </c>
      <c r="DH66" s="387">
        <v>0</v>
      </c>
      <c r="DI66" s="387">
        <v>0</v>
      </c>
      <c r="DJ66" s="387">
        <v>0</v>
      </c>
      <c r="DK66" s="387">
        <v>0</v>
      </c>
      <c r="DL66" s="387">
        <v>0</v>
      </c>
      <c r="DM66" s="387">
        <v>0</v>
      </c>
      <c r="DN66" s="387">
        <v>0</v>
      </c>
      <c r="DO66" s="387">
        <v>0</v>
      </c>
      <c r="DP66" s="387">
        <v>0</v>
      </c>
      <c r="DQ66" s="387">
        <v>0</v>
      </c>
      <c r="DR66" s="387">
        <v>0</v>
      </c>
      <c r="DS66" s="387">
        <v>0</v>
      </c>
      <c r="DT66" s="387">
        <v>0</v>
      </c>
      <c r="DU66" s="387">
        <v>0</v>
      </c>
      <c r="DV66" s="387">
        <v>0</v>
      </c>
      <c r="DW66" s="387">
        <v>0</v>
      </c>
    </row>
    <row r="67" spans="1:127" ht="14.25" customHeight="1">
      <c r="A67" s="544"/>
      <c r="B67" s="196" t="s">
        <v>37</v>
      </c>
      <c r="C67" s="156">
        <v>0</v>
      </c>
      <c r="D67" s="156">
        <v>0</v>
      </c>
      <c r="E67" s="156">
        <v>0</v>
      </c>
      <c r="F67" s="156">
        <v>0</v>
      </c>
      <c r="G67" s="156">
        <v>0</v>
      </c>
      <c r="H67" s="156">
        <v>0</v>
      </c>
      <c r="I67" s="156">
        <v>0</v>
      </c>
      <c r="J67" s="156">
        <v>0</v>
      </c>
      <c r="K67" s="156">
        <v>0</v>
      </c>
      <c r="L67" s="156">
        <v>0</v>
      </c>
      <c r="M67" s="156">
        <v>0</v>
      </c>
      <c r="N67" s="156">
        <v>0</v>
      </c>
      <c r="O67" s="156">
        <v>0</v>
      </c>
      <c r="P67" s="156">
        <v>0</v>
      </c>
      <c r="Q67" s="156">
        <v>0</v>
      </c>
      <c r="R67" s="156">
        <v>0</v>
      </c>
      <c r="S67" s="156">
        <v>0</v>
      </c>
      <c r="T67" s="156">
        <v>0</v>
      </c>
      <c r="U67" s="156">
        <v>0</v>
      </c>
      <c r="V67" s="156">
        <v>0</v>
      </c>
      <c r="W67" s="200">
        <v>0</v>
      </c>
      <c r="AA67" s="544"/>
      <c r="AB67" s="196" t="s">
        <v>37</v>
      </c>
      <c r="AC67" s="156">
        <v>0</v>
      </c>
      <c r="AD67" s="156">
        <v>0</v>
      </c>
      <c r="AE67" s="156">
        <v>0</v>
      </c>
      <c r="AF67" s="156">
        <v>0</v>
      </c>
      <c r="AG67" s="156">
        <v>0</v>
      </c>
      <c r="AH67" s="156">
        <v>0</v>
      </c>
      <c r="AI67" s="156">
        <v>0</v>
      </c>
      <c r="AJ67" s="156">
        <v>0</v>
      </c>
      <c r="AK67" s="156">
        <v>0</v>
      </c>
      <c r="AL67" s="156">
        <v>0</v>
      </c>
      <c r="AM67" s="156">
        <v>0</v>
      </c>
      <c r="AN67" s="156">
        <v>0</v>
      </c>
      <c r="AO67" s="156">
        <v>0</v>
      </c>
      <c r="AP67" s="156">
        <v>0</v>
      </c>
      <c r="AQ67" s="156">
        <v>0</v>
      </c>
      <c r="AR67" s="156">
        <v>0</v>
      </c>
      <c r="AS67" s="156">
        <v>0</v>
      </c>
      <c r="AT67" s="156">
        <v>0</v>
      </c>
      <c r="AU67" s="156">
        <v>0</v>
      </c>
      <c r="AV67" s="156">
        <v>0</v>
      </c>
      <c r="AW67" s="200">
        <v>0</v>
      </c>
      <c r="BF67" s="538"/>
      <c r="BG67" s="363" t="s">
        <v>37</v>
      </c>
      <c r="BH67" s="387">
        <v>0</v>
      </c>
      <c r="BI67" s="387">
        <v>0</v>
      </c>
      <c r="BJ67" s="387">
        <v>0</v>
      </c>
      <c r="BK67" s="387">
        <v>0</v>
      </c>
      <c r="BL67" s="387">
        <v>0</v>
      </c>
      <c r="BM67" s="387">
        <v>0</v>
      </c>
      <c r="BN67" s="387">
        <v>0</v>
      </c>
      <c r="BO67" s="387">
        <v>0</v>
      </c>
      <c r="BP67" s="387">
        <v>0</v>
      </c>
      <c r="BQ67" s="387">
        <v>0</v>
      </c>
      <c r="BR67" s="387">
        <v>0</v>
      </c>
      <c r="BS67" s="387">
        <v>0</v>
      </c>
      <c r="BT67" s="387">
        <v>0</v>
      </c>
      <c r="BU67" s="387">
        <v>0</v>
      </c>
      <c r="BV67" s="387">
        <v>0</v>
      </c>
      <c r="BW67" s="387">
        <v>0</v>
      </c>
      <c r="BX67" s="387">
        <v>0</v>
      </c>
      <c r="BY67" s="387">
        <v>0</v>
      </c>
      <c r="BZ67" s="387">
        <v>0</v>
      </c>
      <c r="CA67" s="387">
        <v>0</v>
      </c>
      <c r="CB67" s="387">
        <v>0</v>
      </c>
      <c r="CC67"/>
      <c r="CD67" s="196" t="s">
        <v>37</v>
      </c>
      <c r="CE67" s="235">
        <v>5.0133109355133226E-6</v>
      </c>
      <c r="CF67">
        <v>6.0975274620806447E-6</v>
      </c>
      <c r="CG67">
        <v>2.5309757050971842E-6</v>
      </c>
      <c r="CH67" s="345">
        <v>0</v>
      </c>
      <c r="CI67" s="345">
        <v>0</v>
      </c>
      <c r="CJ67" s="345">
        <v>0</v>
      </c>
      <c r="CK67" s="345">
        <v>0</v>
      </c>
      <c r="CL67">
        <v>8.8075449988309892E-6</v>
      </c>
      <c r="DA67" s="537"/>
      <c r="DB67" s="390" t="s">
        <v>37</v>
      </c>
      <c r="DC67" s="387">
        <v>0</v>
      </c>
      <c r="DD67" s="387">
        <v>0</v>
      </c>
      <c r="DE67" s="387">
        <v>0</v>
      </c>
      <c r="DF67" s="387">
        <v>0</v>
      </c>
      <c r="DG67" s="387">
        <v>0</v>
      </c>
      <c r="DH67" s="387">
        <v>0</v>
      </c>
      <c r="DI67" s="387">
        <v>0</v>
      </c>
      <c r="DJ67" s="387">
        <v>0</v>
      </c>
      <c r="DK67" s="387">
        <v>0</v>
      </c>
      <c r="DL67" s="387">
        <v>0</v>
      </c>
      <c r="DM67" s="387">
        <v>0</v>
      </c>
      <c r="DN67" s="387">
        <v>0</v>
      </c>
      <c r="DO67" s="387">
        <v>0</v>
      </c>
      <c r="DP67" s="387">
        <v>0</v>
      </c>
      <c r="DQ67" s="387">
        <v>0</v>
      </c>
      <c r="DR67" s="387">
        <v>0</v>
      </c>
      <c r="DS67" s="387">
        <v>0</v>
      </c>
      <c r="DT67" s="387">
        <v>0</v>
      </c>
      <c r="DU67" s="387">
        <v>0</v>
      </c>
      <c r="DV67" s="387">
        <v>0</v>
      </c>
      <c r="DW67" s="387">
        <v>0</v>
      </c>
    </row>
    <row r="68" spans="1:127" ht="14.25" customHeight="1">
      <c r="A68" s="544"/>
      <c r="B68" s="196" t="s">
        <v>140</v>
      </c>
      <c r="C68" s="156">
        <v>0</v>
      </c>
      <c r="D68" s="156">
        <v>0</v>
      </c>
      <c r="E68" s="156">
        <v>0</v>
      </c>
      <c r="F68" s="156">
        <v>0</v>
      </c>
      <c r="G68" s="156">
        <v>0</v>
      </c>
      <c r="H68" s="156">
        <v>0</v>
      </c>
      <c r="I68" s="156">
        <v>0</v>
      </c>
      <c r="J68" s="156">
        <v>0</v>
      </c>
      <c r="K68" s="156">
        <v>0</v>
      </c>
      <c r="L68" s="156">
        <v>0</v>
      </c>
      <c r="M68" s="156">
        <v>0</v>
      </c>
      <c r="N68" s="156">
        <v>0</v>
      </c>
      <c r="O68" s="156">
        <v>0</v>
      </c>
      <c r="P68" s="156">
        <v>0</v>
      </c>
      <c r="Q68" s="156">
        <v>0</v>
      </c>
      <c r="R68" s="156">
        <v>0</v>
      </c>
      <c r="S68" s="156">
        <v>0</v>
      </c>
      <c r="T68" s="156">
        <v>0</v>
      </c>
      <c r="U68" s="156">
        <v>0</v>
      </c>
      <c r="V68" s="156">
        <v>0</v>
      </c>
      <c r="W68" s="200">
        <v>0</v>
      </c>
      <c r="AA68" s="544"/>
      <c r="AB68" s="196" t="s">
        <v>140</v>
      </c>
      <c r="AC68" s="156">
        <v>0</v>
      </c>
      <c r="AD68" s="156">
        <v>0</v>
      </c>
      <c r="AE68" s="156">
        <v>0</v>
      </c>
      <c r="AF68" s="156">
        <v>0</v>
      </c>
      <c r="AG68" s="156">
        <v>0</v>
      </c>
      <c r="AH68" s="156">
        <v>0</v>
      </c>
      <c r="AI68" s="156">
        <v>0</v>
      </c>
      <c r="AJ68" s="156">
        <v>0</v>
      </c>
      <c r="AK68" s="156">
        <v>0</v>
      </c>
      <c r="AL68" s="156">
        <v>0</v>
      </c>
      <c r="AM68" s="156">
        <v>0</v>
      </c>
      <c r="AN68" s="156">
        <v>0</v>
      </c>
      <c r="AO68" s="156">
        <v>0</v>
      </c>
      <c r="AP68" s="156">
        <v>0</v>
      </c>
      <c r="AQ68" s="156">
        <v>0</v>
      </c>
      <c r="AR68" s="156">
        <v>0</v>
      </c>
      <c r="AS68" s="156">
        <v>0</v>
      </c>
      <c r="AT68" s="156">
        <v>0</v>
      </c>
      <c r="AU68" s="156">
        <v>0</v>
      </c>
      <c r="AV68" s="156">
        <v>0</v>
      </c>
      <c r="AW68" s="200">
        <v>0</v>
      </c>
      <c r="BF68" s="538"/>
      <c r="BG68" s="363" t="s">
        <v>140</v>
      </c>
      <c r="BH68" s="387">
        <v>0</v>
      </c>
      <c r="BI68" s="387">
        <v>0</v>
      </c>
      <c r="BJ68" s="387">
        <v>0</v>
      </c>
      <c r="BK68" s="387">
        <v>0</v>
      </c>
      <c r="BL68" s="387">
        <v>0</v>
      </c>
      <c r="BM68" s="387">
        <v>0</v>
      </c>
      <c r="BN68" s="387">
        <v>0</v>
      </c>
      <c r="BO68" s="387">
        <v>0</v>
      </c>
      <c r="BP68" s="387">
        <v>0</v>
      </c>
      <c r="BQ68" s="387">
        <v>0</v>
      </c>
      <c r="BR68" s="387">
        <v>0</v>
      </c>
      <c r="BS68" s="387">
        <v>0</v>
      </c>
      <c r="BT68" s="387">
        <v>0</v>
      </c>
      <c r="BU68" s="387">
        <v>0</v>
      </c>
      <c r="BV68" s="387">
        <v>0</v>
      </c>
      <c r="BW68" s="387">
        <v>0</v>
      </c>
      <c r="BX68" s="387">
        <v>0</v>
      </c>
      <c r="BY68" s="387">
        <v>0</v>
      </c>
      <c r="BZ68" s="387">
        <v>0</v>
      </c>
      <c r="CA68" s="387">
        <v>0</v>
      </c>
      <c r="CB68" s="387">
        <v>0</v>
      </c>
      <c r="CC68"/>
      <c r="CD68" s="196" t="s">
        <v>140</v>
      </c>
      <c r="CE68" s="235">
        <v>3.861279949453685E-6</v>
      </c>
      <c r="CF68">
        <v>2.07754220732574E-6</v>
      </c>
      <c r="CG68">
        <v>2.2000198340307539E-6</v>
      </c>
      <c r="CH68" s="345">
        <v>0</v>
      </c>
      <c r="CI68" s="345">
        <v>0</v>
      </c>
      <c r="CJ68" s="345">
        <v>0</v>
      </c>
      <c r="CK68" s="345">
        <v>0</v>
      </c>
      <c r="CL68">
        <v>6.8282968405827086E-6</v>
      </c>
      <c r="DA68" s="537"/>
      <c r="DB68" s="390" t="s">
        <v>140</v>
      </c>
      <c r="DC68" s="387">
        <v>0</v>
      </c>
      <c r="DD68" s="387">
        <v>0</v>
      </c>
      <c r="DE68" s="387">
        <v>0</v>
      </c>
      <c r="DF68" s="387">
        <v>0</v>
      </c>
      <c r="DG68" s="387">
        <v>0</v>
      </c>
      <c r="DH68" s="387">
        <v>0</v>
      </c>
      <c r="DI68" s="387">
        <v>0</v>
      </c>
      <c r="DJ68" s="387">
        <v>0</v>
      </c>
      <c r="DK68" s="387">
        <v>0</v>
      </c>
      <c r="DL68" s="387">
        <v>0</v>
      </c>
      <c r="DM68" s="387">
        <v>0</v>
      </c>
      <c r="DN68" s="387">
        <v>0</v>
      </c>
      <c r="DO68" s="387">
        <v>0</v>
      </c>
      <c r="DP68" s="387">
        <v>0</v>
      </c>
      <c r="DQ68" s="387">
        <v>0</v>
      </c>
      <c r="DR68" s="387">
        <v>0</v>
      </c>
      <c r="DS68" s="387">
        <v>0</v>
      </c>
      <c r="DT68" s="387">
        <v>0</v>
      </c>
      <c r="DU68" s="387">
        <v>0</v>
      </c>
      <c r="DV68" s="387">
        <v>0</v>
      </c>
      <c r="DW68" s="387">
        <v>0</v>
      </c>
    </row>
    <row r="69" spans="1:127" ht="14.25" customHeight="1">
      <c r="A69" s="544"/>
      <c r="B69" s="196" t="s">
        <v>48</v>
      </c>
      <c r="C69" s="156">
        <v>0</v>
      </c>
      <c r="D69" s="156">
        <v>0</v>
      </c>
      <c r="E69" s="156">
        <v>0</v>
      </c>
      <c r="F69" s="156">
        <v>0</v>
      </c>
      <c r="G69" s="156">
        <v>0</v>
      </c>
      <c r="H69" s="156">
        <v>0</v>
      </c>
      <c r="I69" s="156">
        <v>0</v>
      </c>
      <c r="J69" s="156">
        <v>0</v>
      </c>
      <c r="K69" s="156">
        <v>0</v>
      </c>
      <c r="L69" s="156">
        <v>0</v>
      </c>
      <c r="M69" s="156">
        <v>0</v>
      </c>
      <c r="N69" s="156">
        <v>0</v>
      </c>
      <c r="O69" s="156">
        <v>0</v>
      </c>
      <c r="P69" s="156">
        <v>0</v>
      </c>
      <c r="Q69" s="156">
        <v>0</v>
      </c>
      <c r="R69" s="156">
        <v>0</v>
      </c>
      <c r="S69" s="156">
        <v>0</v>
      </c>
      <c r="T69" s="156">
        <v>0</v>
      </c>
      <c r="U69" s="156">
        <v>0</v>
      </c>
      <c r="V69" s="156">
        <v>0</v>
      </c>
      <c r="W69" s="200">
        <v>0</v>
      </c>
      <c r="AA69" s="544"/>
      <c r="AB69" s="196" t="s">
        <v>48</v>
      </c>
      <c r="AC69" s="156">
        <v>0</v>
      </c>
      <c r="AD69" s="156">
        <v>0</v>
      </c>
      <c r="AE69" s="156">
        <v>0</v>
      </c>
      <c r="AF69" s="156">
        <v>0</v>
      </c>
      <c r="AG69" s="156">
        <v>0</v>
      </c>
      <c r="AH69" s="156">
        <v>0</v>
      </c>
      <c r="AI69" s="156">
        <v>0</v>
      </c>
      <c r="AJ69" s="156">
        <v>0</v>
      </c>
      <c r="AK69" s="156">
        <v>0</v>
      </c>
      <c r="AL69" s="156">
        <v>0</v>
      </c>
      <c r="AM69" s="156">
        <v>0</v>
      </c>
      <c r="AN69" s="156">
        <v>0</v>
      </c>
      <c r="AO69" s="156">
        <v>0</v>
      </c>
      <c r="AP69" s="156">
        <v>0</v>
      </c>
      <c r="AQ69" s="156">
        <v>0</v>
      </c>
      <c r="AR69" s="156">
        <v>0</v>
      </c>
      <c r="AS69" s="156">
        <v>0</v>
      </c>
      <c r="AT69" s="156">
        <v>0</v>
      </c>
      <c r="AU69" s="156">
        <v>0</v>
      </c>
      <c r="AV69" s="156">
        <v>0</v>
      </c>
      <c r="AW69" s="200">
        <v>0</v>
      </c>
      <c r="BF69" s="538"/>
      <c r="BG69" s="363" t="s">
        <v>48</v>
      </c>
      <c r="BH69" s="387">
        <v>0</v>
      </c>
      <c r="BI69" s="387">
        <v>0</v>
      </c>
      <c r="BJ69" s="387">
        <v>0</v>
      </c>
      <c r="BK69" s="387">
        <v>0</v>
      </c>
      <c r="BL69" s="387">
        <v>0</v>
      </c>
      <c r="BM69" s="387">
        <v>0</v>
      </c>
      <c r="BN69" s="387">
        <v>0</v>
      </c>
      <c r="BO69" s="387">
        <v>0</v>
      </c>
      <c r="BP69" s="387">
        <v>0</v>
      </c>
      <c r="BQ69" s="387">
        <v>0</v>
      </c>
      <c r="BR69" s="387">
        <v>0</v>
      </c>
      <c r="BS69" s="387">
        <v>0</v>
      </c>
      <c r="BT69" s="387">
        <v>0</v>
      </c>
      <c r="BU69" s="387">
        <v>0</v>
      </c>
      <c r="BV69" s="387">
        <v>0</v>
      </c>
      <c r="BW69" s="387">
        <v>0</v>
      </c>
      <c r="BX69" s="387">
        <v>0</v>
      </c>
      <c r="BY69" s="387">
        <v>0</v>
      </c>
      <c r="BZ69" s="387">
        <v>0</v>
      </c>
      <c r="CA69" s="387">
        <v>0</v>
      </c>
      <c r="CB69" s="387">
        <v>0</v>
      </c>
      <c r="CC69"/>
      <c r="CD69" s="196" t="s">
        <v>48</v>
      </c>
      <c r="CE69" s="235">
        <v>5.8625134102521036E-6</v>
      </c>
      <c r="CF69">
        <v>8.0690523288978814E-6</v>
      </c>
      <c r="CG69">
        <v>6.890309112887959E-6</v>
      </c>
      <c r="CH69" s="345">
        <v>0</v>
      </c>
      <c r="CI69" s="345">
        <v>0</v>
      </c>
      <c r="CJ69" s="345">
        <v>0</v>
      </c>
      <c r="CK69" s="345">
        <v>0</v>
      </c>
      <c r="CL69">
        <v>1.537285805616492E-5</v>
      </c>
      <c r="DA69" s="537"/>
      <c r="DB69" s="390" t="s">
        <v>48</v>
      </c>
      <c r="DC69" s="387">
        <v>0</v>
      </c>
      <c r="DD69" s="387">
        <v>0</v>
      </c>
      <c r="DE69" s="387">
        <v>0</v>
      </c>
      <c r="DF69" s="387">
        <v>0</v>
      </c>
      <c r="DG69" s="387">
        <v>0</v>
      </c>
      <c r="DH69" s="387">
        <v>0</v>
      </c>
      <c r="DI69" s="387">
        <v>0</v>
      </c>
      <c r="DJ69" s="387">
        <v>0</v>
      </c>
      <c r="DK69" s="387">
        <v>0</v>
      </c>
      <c r="DL69" s="387">
        <v>0</v>
      </c>
      <c r="DM69" s="387">
        <v>0</v>
      </c>
      <c r="DN69" s="387">
        <v>0</v>
      </c>
      <c r="DO69" s="387">
        <v>0</v>
      </c>
      <c r="DP69" s="387">
        <v>0</v>
      </c>
      <c r="DQ69" s="387">
        <v>0</v>
      </c>
      <c r="DR69" s="387">
        <v>0</v>
      </c>
      <c r="DS69" s="387">
        <v>0</v>
      </c>
      <c r="DT69" s="387">
        <v>0</v>
      </c>
      <c r="DU69" s="387">
        <v>0</v>
      </c>
      <c r="DV69" s="387">
        <v>0</v>
      </c>
      <c r="DW69" s="387">
        <v>0</v>
      </c>
    </row>
    <row r="70" spans="1:127" ht="14.25" customHeight="1">
      <c r="A70" s="544"/>
      <c r="B70" s="196" t="s">
        <v>141</v>
      </c>
      <c r="C70" s="156">
        <v>0</v>
      </c>
      <c r="D70" s="156">
        <v>0</v>
      </c>
      <c r="E70" s="156">
        <v>0</v>
      </c>
      <c r="F70" s="156">
        <v>0</v>
      </c>
      <c r="G70" s="156">
        <v>0</v>
      </c>
      <c r="H70" s="156">
        <v>0</v>
      </c>
      <c r="I70" s="156">
        <v>0</v>
      </c>
      <c r="J70" s="156">
        <v>0</v>
      </c>
      <c r="K70" s="156">
        <v>0</v>
      </c>
      <c r="L70" s="156">
        <v>0</v>
      </c>
      <c r="M70" s="156">
        <v>0</v>
      </c>
      <c r="N70" s="156">
        <v>0</v>
      </c>
      <c r="O70" s="156">
        <v>0</v>
      </c>
      <c r="P70" s="156">
        <v>0</v>
      </c>
      <c r="Q70" s="156">
        <v>0</v>
      </c>
      <c r="R70" s="156">
        <v>0</v>
      </c>
      <c r="S70" s="156">
        <v>0</v>
      </c>
      <c r="T70" s="156">
        <v>0</v>
      </c>
      <c r="U70" s="156">
        <v>0</v>
      </c>
      <c r="V70" s="156">
        <v>0</v>
      </c>
      <c r="W70" s="200">
        <v>0</v>
      </c>
      <c r="AA70" s="544"/>
      <c r="AB70" s="196" t="s">
        <v>141</v>
      </c>
      <c r="AC70" s="156">
        <v>0</v>
      </c>
      <c r="AD70" s="156">
        <v>0</v>
      </c>
      <c r="AE70" s="156">
        <v>0</v>
      </c>
      <c r="AF70" s="156">
        <v>0</v>
      </c>
      <c r="AG70" s="156">
        <v>0</v>
      </c>
      <c r="AH70" s="156">
        <v>0</v>
      </c>
      <c r="AI70" s="156">
        <v>0</v>
      </c>
      <c r="AJ70" s="156">
        <v>0</v>
      </c>
      <c r="AK70" s="156">
        <v>0</v>
      </c>
      <c r="AL70" s="156">
        <v>0</v>
      </c>
      <c r="AM70" s="156">
        <v>0</v>
      </c>
      <c r="AN70" s="156">
        <v>0</v>
      </c>
      <c r="AO70" s="156">
        <v>0</v>
      </c>
      <c r="AP70" s="156">
        <v>0</v>
      </c>
      <c r="AQ70" s="156">
        <v>0</v>
      </c>
      <c r="AR70" s="156">
        <v>0</v>
      </c>
      <c r="AS70" s="156">
        <v>0</v>
      </c>
      <c r="AT70" s="156">
        <v>0</v>
      </c>
      <c r="AU70" s="156">
        <v>0</v>
      </c>
      <c r="AV70" s="156">
        <v>0</v>
      </c>
      <c r="AW70" s="200">
        <v>0</v>
      </c>
      <c r="BF70" s="538"/>
      <c r="BG70" s="363" t="s">
        <v>141</v>
      </c>
      <c r="BH70" s="387">
        <v>0</v>
      </c>
      <c r="BI70" s="387">
        <v>0</v>
      </c>
      <c r="BJ70" s="387">
        <v>0</v>
      </c>
      <c r="BK70" s="387">
        <v>0</v>
      </c>
      <c r="BL70" s="387">
        <v>0</v>
      </c>
      <c r="BM70" s="387">
        <v>0</v>
      </c>
      <c r="BN70" s="387">
        <v>0</v>
      </c>
      <c r="BO70" s="387">
        <v>0</v>
      </c>
      <c r="BP70" s="387">
        <v>0</v>
      </c>
      <c r="BQ70" s="387">
        <v>0</v>
      </c>
      <c r="BR70" s="387">
        <v>0</v>
      </c>
      <c r="BS70" s="387">
        <v>0</v>
      </c>
      <c r="BT70" s="387">
        <v>0</v>
      </c>
      <c r="BU70" s="387">
        <v>0</v>
      </c>
      <c r="BV70" s="387">
        <v>0</v>
      </c>
      <c r="BW70" s="387">
        <v>0</v>
      </c>
      <c r="BX70" s="387">
        <v>0</v>
      </c>
      <c r="BY70" s="387">
        <v>0</v>
      </c>
      <c r="BZ70" s="387">
        <v>0</v>
      </c>
      <c r="CA70" s="387">
        <v>0</v>
      </c>
      <c r="CB70" s="387">
        <v>0</v>
      </c>
      <c r="CC70"/>
      <c r="CD70" s="196" t="s">
        <v>141</v>
      </c>
      <c r="CE70" s="235">
        <v>2.8764432786751701E-6</v>
      </c>
      <c r="CF70">
        <v>1.759714011121693E-6</v>
      </c>
      <c r="CG70">
        <v>1.504371922863581E-6</v>
      </c>
      <c r="CH70" s="345">
        <v>0</v>
      </c>
      <c r="CI70" s="345">
        <v>0</v>
      </c>
      <c r="CJ70" s="345">
        <v>0</v>
      </c>
      <c r="CK70" s="345">
        <v>0</v>
      </c>
      <c r="CL70">
        <v>5.3983147358678456E-6</v>
      </c>
      <c r="DA70" s="537"/>
      <c r="DB70" s="390" t="s">
        <v>141</v>
      </c>
      <c r="DC70" s="387">
        <v>0</v>
      </c>
      <c r="DD70" s="387">
        <v>0</v>
      </c>
      <c r="DE70" s="387">
        <v>0</v>
      </c>
      <c r="DF70" s="387">
        <v>0</v>
      </c>
      <c r="DG70" s="387">
        <v>0</v>
      </c>
      <c r="DH70" s="387">
        <v>0</v>
      </c>
      <c r="DI70" s="387">
        <v>0</v>
      </c>
      <c r="DJ70" s="387">
        <v>0</v>
      </c>
      <c r="DK70" s="387">
        <v>0</v>
      </c>
      <c r="DL70" s="387">
        <v>0</v>
      </c>
      <c r="DM70" s="387">
        <v>0</v>
      </c>
      <c r="DN70" s="387">
        <v>0</v>
      </c>
      <c r="DO70" s="387">
        <v>0</v>
      </c>
      <c r="DP70" s="387">
        <v>0</v>
      </c>
      <c r="DQ70" s="387">
        <v>0</v>
      </c>
      <c r="DR70" s="387">
        <v>0</v>
      </c>
      <c r="DS70" s="387">
        <v>0</v>
      </c>
      <c r="DT70" s="387">
        <v>0</v>
      </c>
      <c r="DU70" s="387">
        <v>0</v>
      </c>
      <c r="DV70" s="387">
        <v>0</v>
      </c>
      <c r="DW70" s="387">
        <v>0</v>
      </c>
    </row>
    <row r="71" spans="1:127" ht="14.25" customHeight="1">
      <c r="A71" s="544"/>
      <c r="B71" s="196" t="s">
        <v>142</v>
      </c>
      <c r="C71" s="156">
        <v>0</v>
      </c>
      <c r="D71" s="156">
        <v>0</v>
      </c>
      <c r="E71" s="156">
        <v>0</v>
      </c>
      <c r="F71" s="156">
        <v>0</v>
      </c>
      <c r="G71" s="156">
        <v>0</v>
      </c>
      <c r="H71" s="156">
        <v>0</v>
      </c>
      <c r="I71" s="156">
        <v>0</v>
      </c>
      <c r="J71" s="156">
        <v>0</v>
      </c>
      <c r="K71" s="156">
        <v>0</v>
      </c>
      <c r="L71" s="156">
        <v>0</v>
      </c>
      <c r="M71" s="156">
        <v>0</v>
      </c>
      <c r="N71" s="156">
        <v>0</v>
      </c>
      <c r="O71" s="156">
        <v>0</v>
      </c>
      <c r="P71" s="156">
        <v>0</v>
      </c>
      <c r="Q71" s="156">
        <v>0</v>
      </c>
      <c r="R71" s="156">
        <v>0</v>
      </c>
      <c r="S71" s="156">
        <v>0</v>
      </c>
      <c r="T71" s="156">
        <v>0</v>
      </c>
      <c r="U71" s="156">
        <v>0</v>
      </c>
      <c r="V71" s="156">
        <v>0</v>
      </c>
      <c r="W71" s="200">
        <v>0</v>
      </c>
      <c r="AA71" s="544"/>
      <c r="AB71" s="196" t="s">
        <v>142</v>
      </c>
      <c r="AC71" s="156">
        <v>0</v>
      </c>
      <c r="AD71" s="156">
        <v>0</v>
      </c>
      <c r="AE71" s="156">
        <v>0</v>
      </c>
      <c r="AF71" s="156">
        <v>0</v>
      </c>
      <c r="AG71" s="156">
        <v>0</v>
      </c>
      <c r="AH71" s="156">
        <v>0</v>
      </c>
      <c r="AI71" s="156">
        <v>0</v>
      </c>
      <c r="AJ71" s="156">
        <v>0</v>
      </c>
      <c r="AK71" s="156">
        <v>0</v>
      </c>
      <c r="AL71" s="156">
        <v>0</v>
      </c>
      <c r="AM71" s="156">
        <v>0</v>
      </c>
      <c r="AN71" s="156">
        <v>0</v>
      </c>
      <c r="AO71" s="156">
        <v>0</v>
      </c>
      <c r="AP71" s="156">
        <v>0</v>
      </c>
      <c r="AQ71" s="156">
        <v>0</v>
      </c>
      <c r="AR71" s="156">
        <v>0</v>
      </c>
      <c r="AS71" s="156">
        <v>0</v>
      </c>
      <c r="AT71" s="156">
        <v>0</v>
      </c>
      <c r="AU71" s="156">
        <v>0</v>
      </c>
      <c r="AV71" s="156">
        <v>0</v>
      </c>
      <c r="AW71" s="200">
        <v>0</v>
      </c>
      <c r="BF71" s="538"/>
      <c r="BG71" s="363" t="s">
        <v>142</v>
      </c>
      <c r="BH71" s="387">
        <v>0</v>
      </c>
      <c r="BI71" s="387">
        <v>0</v>
      </c>
      <c r="BJ71" s="387">
        <v>0</v>
      </c>
      <c r="BK71" s="387">
        <v>0</v>
      </c>
      <c r="BL71" s="387">
        <v>0</v>
      </c>
      <c r="BM71" s="387">
        <v>0</v>
      </c>
      <c r="BN71" s="387">
        <v>0</v>
      </c>
      <c r="BO71" s="387">
        <v>0</v>
      </c>
      <c r="BP71" s="387">
        <v>0</v>
      </c>
      <c r="BQ71" s="387">
        <v>0</v>
      </c>
      <c r="BR71" s="387">
        <v>0</v>
      </c>
      <c r="BS71" s="387">
        <v>0</v>
      </c>
      <c r="BT71" s="387">
        <v>0</v>
      </c>
      <c r="BU71" s="387">
        <v>0</v>
      </c>
      <c r="BV71" s="387">
        <v>0</v>
      </c>
      <c r="BW71" s="387">
        <v>0</v>
      </c>
      <c r="BX71" s="387">
        <v>0</v>
      </c>
      <c r="BY71" s="387">
        <v>0</v>
      </c>
      <c r="BZ71" s="387">
        <v>0</v>
      </c>
      <c r="CA71" s="387">
        <v>0</v>
      </c>
      <c r="CB71" s="387">
        <v>0</v>
      </c>
      <c r="CC71"/>
      <c r="CD71" s="196" t="s">
        <v>142</v>
      </c>
      <c r="CE71" s="393">
        <v>3.7342373539550443E-5</v>
      </c>
      <c r="CF71" s="141">
        <v>2.244294288519008E-5</v>
      </c>
      <c r="CG71" s="394">
        <v>5.2782064472576368E-6</v>
      </c>
      <c r="CH71" s="345">
        <v>0</v>
      </c>
      <c r="CI71" s="345">
        <v>0</v>
      </c>
      <c r="CJ71" s="345">
        <v>0</v>
      </c>
      <c r="CK71" s="345">
        <v>0</v>
      </c>
      <c r="CL71" s="141">
        <v>2.999056834551145E-6</v>
      </c>
      <c r="DA71" s="537"/>
      <c r="DB71" s="390" t="s">
        <v>142</v>
      </c>
      <c r="DC71" s="387">
        <v>0</v>
      </c>
      <c r="DD71" s="387">
        <v>0</v>
      </c>
      <c r="DE71" s="387">
        <v>0</v>
      </c>
      <c r="DF71" s="387">
        <v>0</v>
      </c>
      <c r="DG71" s="387">
        <v>0</v>
      </c>
      <c r="DH71" s="387">
        <v>0</v>
      </c>
      <c r="DI71" s="387">
        <v>0</v>
      </c>
      <c r="DJ71" s="387">
        <v>0</v>
      </c>
      <c r="DK71" s="387">
        <v>0</v>
      </c>
      <c r="DL71" s="387">
        <v>0</v>
      </c>
      <c r="DM71" s="387">
        <v>0</v>
      </c>
      <c r="DN71" s="387">
        <v>0</v>
      </c>
      <c r="DO71" s="387">
        <v>0</v>
      </c>
      <c r="DP71" s="387">
        <v>0</v>
      </c>
      <c r="DQ71" s="387">
        <v>0</v>
      </c>
      <c r="DR71" s="387">
        <v>0</v>
      </c>
      <c r="DS71" s="387">
        <v>0</v>
      </c>
      <c r="DT71" s="387">
        <v>0</v>
      </c>
      <c r="DU71" s="387">
        <v>0</v>
      </c>
      <c r="DV71" s="387">
        <v>0</v>
      </c>
      <c r="DW71" s="387">
        <v>0</v>
      </c>
    </row>
    <row r="72" spans="1:127" ht="14.25" customHeight="1">
      <c r="A72" s="544"/>
      <c r="B72" s="196" t="s">
        <v>143</v>
      </c>
      <c r="C72" s="156">
        <v>0</v>
      </c>
      <c r="D72" s="156">
        <v>0</v>
      </c>
      <c r="E72" s="156">
        <v>0</v>
      </c>
      <c r="F72" s="156">
        <v>0</v>
      </c>
      <c r="G72" s="156">
        <v>0</v>
      </c>
      <c r="H72" s="156">
        <v>0</v>
      </c>
      <c r="I72" s="156">
        <v>0</v>
      </c>
      <c r="J72" s="156">
        <v>0</v>
      </c>
      <c r="K72" s="156">
        <v>0</v>
      </c>
      <c r="L72" s="156">
        <v>0</v>
      </c>
      <c r="M72" s="156">
        <v>0</v>
      </c>
      <c r="N72" s="156">
        <v>0</v>
      </c>
      <c r="O72" s="156">
        <v>0</v>
      </c>
      <c r="P72" s="156">
        <v>0</v>
      </c>
      <c r="Q72" s="156">
        <v>0</v>
      </c>
      <c r="R72" s="156">
        <v>0</v>
      </c>
      <c r="S72" s="156">
        <v>0</v>
      </c>
      <c r="T72" s="156">
        <v>0</v>
      </c>
      <c r="U72" s="156">
        <v>0</v>
      </c>
      <c r="V72" s="156">
        <v>0</v>
      </c>
      <c r="W72" s="200">
        <v>0</v>
      </c>
      <c r="AA72" s="544"/>
      <c r="AB72" s="196" t="s">
        <v>143</v>
      </c>
      <c r="AC72" s="156">
        <v>0</v>
      </c>
      <c r="AD72" s="156">
        <v>0</v>
      </c>
      <c r="AE72" s="156">
        <v>0</v>
      </c>
      <c r="AF72" s="156">
        <v>0</v>
      </c>
      <c r="AG72" s="156">
        <v>0</v>
      </c>
      <c r="AH72" s="156">
        <v>0</v>
      </c>
      <c r="AI72" s="156">
        <v>0</v>
      </c>
      <c r="AJ72" s="156">
        <v>0</v>
      </c>
      <c r="AK72" s="156">
        <v>0</v>
      </c>
      <c r="AL72" s="156">
        <v>0</v>
      </c>
      <c r="AM72" s="156">
        <v>0</v>
      </c>
      <c r="AN72" s="156">
        <v>0</v>
      </c>
      <c r="AO72" s="156">
        <v>0</v>
      </c>
      <c r="AP72" s="156">
        <v>0</v>
      </c>
      <c r="AQ72" s="156">
        <v>0</v>
      </c>
      <c r="AR72" s="156">
        <v>0</v>
      </c>
      <c r="AS72" s="156">
        <v>0</v>
      </c>
      <c r="AT72" s="156">
        <v>0</v>
      </c>
      <c r="AU72" s="156">
        <v>0</v>
      </c>
      <c r="AV72" s="156">
        <v>0</v>
      </c>
      <c r="AW72" s="200">
        <v>0</v>
      </c>
      <c r="BF72" s="538"/>
      <c r="BG72" s="363" t="s">
        <v>143</v>
      </c>
      <c r="BH72" s="387">
        <v>0</v>
      </c>
      <c r="BI72" s="387">
        <v>0</v>
      </c>
      <c r="BJ72" s="387">
        <v>0</v>
      </c>
      <c r="BK72" s="387">
        <v>0</v>
      </c>
      <c r="BL72" s="387">
        <v>0</v>
      </c>
      <c r="BM72" s="387">
        <v>0</v>
      </c>
      <c r="BN72" s="387">
        <v>0</v>
      </c>
      <c r="BO72" s="387">
        <v>0</v>
      </c>
      <c r="BP72" s="387">
        <v>0</v>
      </c>
      <c r="BQ72" s="387">
        <v>0</v>
      </c>
      <c r="BR72" s="387">
        <v>0</v>
      </c>
      <c r="BS72" s="387">
        <v>0</v>
      </c>
      <c r="BT72" s="387">
        <v>0</v>
      </c>
      <c r="BU72" s="387">
        <v>0</v>
      </c>
      <c r="BV72" s="387">
        <v>0</v>
      </c>
      <c r="BW72" s="387">
        <v>0</v>
      </c>
      <c r="BX72" s="387">
        <v>0</v>
      </c>
      <c r="BY72" s="387">
        <v>0</v>
      </c>
      <c r="BZ72" s="387">
        <v>0</v>
      </c>
      <c r="CA72" s="387">
        <v>0</v>
      </c>
      <c r="CB72" s="387">
        <v>0</v>
      </c>
      <c r="CC72"/>
      <c r="CD72" s="196" t="s">
        <v>143</v>
      </c>
      <c r="CE72" s="393">
        <v>2.370184337660898E-5</v>
      </c>
      <c r="CF72" s="141">
        <v>1.463660142865852E-5</v>
      </c>
      <c r="CG72" s="394">
        <v>4.0903829875491586E-6</v>
      </c>
      <c r="CH72" s="345">
        <v>0</v>
      </c>
      <c r="CI72" s="345">
        <v>0</v>
      </c>
      <c r="CJ72" s="345">
        <v>0</v>
      </c>
      <c r="CK72" s="345">
        <v>0</v>
      </c>
      <c r="CL72" s="141">
        <v>4.2630383980603082E-6</v>
      </c>
      <c r="DA72" s="537"/>
      <c r="DB72" s="390" t="s">
        <v>143</v>
      </c>
      <c r="DC72" s="387">
        <v>0</v>
      </c>
      <c r="DD72" s="387">
        <v>0</v>
      </c>
      <c r="DE72" s="387">
        <v>0</v>
      </c>
      <c r="DF72" s="387">
        <v>0</v>
      </c>
      <c r="DG72" s="387">
        <v>0</v>
      </c>
      <c r="DH72" s="387">
        <v>0</v>
      </c>
      <c r="DI72" s="387">
        <v>0</v>
      </c>
      <c r="DJ72" s="387">
        <v>0</v>
      </c>
      <c r="DK72" s="387">
        <v>0</v>
      </c>
      <c r="DL72" s="387">
        <v>0</v>
      </c>
      <c r="DM72" s="387">
        <v>0</v>
      </c>
      <c r="DN72" s="387">
        <v>0</v>
      </c>
      <c r="DO72" s="387">
        <v>0</v>
      </c>
      <c r="DP72" s="387">
        <v>0</v>
      </c>
      <c r="DQ72" s="387">
        <v>0</v>
      </c>
      <c r="DR72" s="387">
        <v>0</v>
      </c>
      <c r="DS72" s="387">
        <v>0</v>
      </c>
      <c r="DT72" s="387">
        <v>0</v>
      </c>
      <c r="DU72" s="387">
        <v>0</v>
      </c>
      <c r="DV72" s="387">
        <v>0</v>
      </c>
      <c r="DW72" s="387">
        <v>0</v>
      </c>
    </row>
    <row r="73" spans="1:127" ht="14.25" customHeight="1">
      <c r="A73" s="544"/>
      <c r="B73" s="196" t="s">
        <v>144</v>
      </c>
      <c r="C73" s="156">
        <v>0</v>
      </c>
      <c r="D73" s="156">
        <v>0</v>
      </c>
      <c r="E73" s="156">
        <v>0</v>
      </c>
      <c r="F73" s="156">
        <v>0</v>
      </c>
      <c r="G73" s="156">
        <v>0</v>
      </c>
      <c r="H73" s="156">
        <v>0</v>
      </c>
      <c r="I73" s="156">
        <v>0</v>
      </c>
      <c r="J73" s="156">
        <v>0</v>
      </c>
      <c r="K73" s="156">
        <v>0</v>
      </c>
      <c r="L73" s="156">
        <v>0</v>
      </c>
      <c r="M73" s="156">
        <v>0</v>
      </c>
      <c r="N73" s="156">
        <v>0</v>
      </c>
      <c r="O73" s="156">
        <v>0</v>
      </c>
      <c r="P73" s="156">
        <v>0</v>
      </c>
      <c r="Q73" s="156">
        <v>0</v>
      </c>
      <c r="R73" s="156">
        <v>0</v>
      </c>
      <c r="S73" s="156">
        <v>0</v>
      </c>
      <c r="T73" s="156">
        <v>0</v>
      </c>
      <c r="U73" s="156">
        <v>0</v>
      </c>
      <c r="V73" s="156">
        <v>0</v>
      </c>
      <c r="W73" s="200">
        <v>0</v>
      </c>
      <c r="AA73" s="544"/>
      <c r="AB73" s="196" t="s">
        <v>144</v>
      </c>
      <c r="AC73" s="156">
        <v>0</v>
      </c>
      <c r="AD73" s="156">
        <v>0</v>
      </c>
      <c r="AE73" s="156">
        <v>0</v>
      </c>
      <c r="AF73" s="156">
        <v>0</v>
      </c>
      <c r="AG73" s="156">
        <v>0</v>
      </c>
      <c r="AH73" s="156">
        <v>0</v>
      </c>
      <c r="AI73" s="156">
        <v>0</v>
      </c>
      <c r="AJ73" s="156">
        <v>0</v>
      </c>
      <c r="AK73" s="156">
        <v>0</v>
      </c>
      <c r="AL73" s="156">
        <v>0</v>
      </c>
      <c r="AM73" s="156">
        <v>0</v>
      </c>
      <c r="AN73" s="156">
        <v>0</v>
      </c>
      <c r="AO73" s="156">
        <v>0</v>
      </c>
      <c r="AP73" s="156">
        <v>0</v>
      </c>
      <c r="AQ73" s="156">
        <v>0</v>
      </c>
      <c r="AR73" s="156">
        <v>0</v>
      </c>
      <c r="AS73" s="156">
        <v>0</v>
      </c>
      <c r="AT73" s="156">
        <v>0</v>
      </c>
      <c r="AU73" s="156">
        <v>0</v>
      </c>
      <c r="AV73" s="156">
        <v>0</v>
      </c>
      <c r="AW73" s="200">
        <v>0</v>
      </c>
      <c r="BF73" s="538"/>
      <c r="BG73" s="363" t="s">
        <v>144</v>
      </c>
      <c r="BH73" s="387">
        <v>0</v>
      </c>
      <c r="BI73" s="387">
        <v>0</v>
      </c>
      <c r="BJ73" s="387">
        <v>0</v>
      </c>
      <c r="BK73" s="387">
        <v>0</v>
      </c>
      <c r="BL73" s="387">
        <v>0</v>
      </c>
      <c r="BM73" s="387">
        <v>0</v>
      </c>
      <c r="BN73" s="387">
        <v>0</v>
      </c>
      <c r="BO73" s="387">
        <v>0</v>
      </c>
      <c r="BP73" s="387">
        <v>0</v>
      </c>
      <c r="BQ73" s="387">
        <v>0</v>
      </c>
      <c r="BR73" s="387">
        <v>0</v>
      </c>
      <c r="BS73" s="387">
        <v>0</v>
      </c>
      <c r="BT73" s="387">
        <v>0</v>
      </c>
      <c r="BU73" s="387">
        <v>0</v>
      </c>
      <c r="BV73" s="387">
        <v>0</v>
      </c>
      <c r="BW73" s="387">
        <v>0</v>
      </c>
      <c r="BX73" s="387">
        <v>0</v>
      </c>
      <c r="BY73" s="387">
        <v>0</v>
      </c>
      <c r="BZ73" s="387">
        <v>0</v>
      </c>
      <c r="CA73" s="387">
        <v>0</v>
      </c>
      <c r="CB73" s="387">
        <v>0</v>
      </c>
      <c r="CC73"/>
      <c r="CD73" s="196" t="s">
        <v>144</v>
      </c>
      <c r="CE73" s="393">
        <v>2.4836453437895759E-5</v>
      </c>
      <c r="CF73" s="141">
        <v>1.528117339528258E-5</v>
      </c>
      <c r="CG73" s="394">
        <v>3.9288075375001332E-6</v>
      </c>
      <c r="CH73" s="345">
        <v>0</v>
      </c>
      <c r="CI73" s="345">
        <v>0</v>
      </c>
      <c r="CJ73" s="345">
        <v>0</v>
      </c>
      <c r="CK73" s="345">
        <v>0</v>
      </c>
      <c r="CL73" s="141">
        <v>3.8323117376469674E-6</v>
      </c>
      <c r="DA73" s="537"/>
      <c r="DB73" s="390" t="s">
        <v>144</v>
      </c>
      <c r="DC73" s="387">
        <v>0</v>
      </c>
      <c r="DD73" s="387">
        <v>0</v>
      </c>
      <c r="DE73" s="387">
        <v>0</v>
      </c>
      <c r="DF73" s="387">
        <v>0</v>
      </c>
      <c r="DG73" s="387">
        <v>0</v>
      </c>
      <c r="DH73" s="387">
        <v>0</v>
      </c>
      <c r="DI73" s="387">
        <v>0</v>
      </c>
      <c r="DJ73" s="387">
        <v>0</v>
      </c>
      <c r="DK73" s="387">
        <v>0</v>
      </c>
      <c r="DL73" s="387">
        <v>0</v>
      </c>
      <c r="DM73" s="387">
        <v>0</v>
      </c>
      <c r="DN73" s="387">
        <v>0</v>
      </c>
      <c r="DO73" s="387">
        <v>0</v>
      </c>
      <c r="DP73" s="387">
        <v>0</v>
      </c>
      <c r="DQ73" s="387">
        <v>0</v>
      </c>
      <c r="DR73" s="387">
        <v>0</v>
      </c>
      <c r="DS73" s="387">
        <v>0</v>
      </c>
      <c r="DT73" s="387">
        <v>0</v>
      </c>
      <c r="DU73" s="387">
        <v>0</v>
      </c>
      <c r="DV73" s="387">
        <v>0</v>
      </c>
      <c r="DW73" s="387">
        <v>0</v>
      </c>
    </row>
    <row r="74" spans="1:127" ht="14.25" customHeight="1">
      <c r="A74" s="544"/>
      <c r="B74" s="196" t="s">
        <v>61</v>
      </c>
      <c r="C74" s="156">
        <v>0</v>
      </c>
      <c r="D74" s="156">
        <v>0</v>
      </c>
      <c r="E74" s="156">
        <v>0</v>
      </c>
      <c r="F74" s="156">
        <v>0</v>
      </c>
      <c r="G74" s="156">
        <v>0</v>
      </c>
      <c r="H74" s="156">
        <v>0</v>
      </c>
      <c r="I74" s="156">
        <v>0</v>
      </c>
      <c r="J74" s="156">
        <v>0</v>
      </c>
      <c r="K74" s="156">
        <v>0</v>
      </c>
      <c r="L74" s="156">
        <v>0</v>
      </c>
      <c r="M74" s="156">
        <v>0</v>
      </c>
      <c r="N74" s="156">
        <v>0</v>
      </c>
      <c r="O74" s="156">
        <v>0</v>
      </c>
      <c r="P74" s="156">
        <v>0</v>
      </c>
      <c r="Q74" s="156">
        <v>0</v>
      </c>
      <c r="R74" s="156">
        <v>0</v>
      </c>
      <c r="S74" s="156">
        <v>0</v>
      </c>
      <c r="T74" s="156">
        <v>0</v>
      </c>
      <c r="U74" s="156">
        <v>0</v>
      </c>
      <c r="V74" s="156">
        <v>0</v>
      </c>
      <c r="W74" s="200">
        <v>0</v>
      </c>
      <c r="AA74" s="544"/>
      <c r="AB74" s="196" t="s">
        <v>61</v>
      </c>
      <c r="AC74" s="156">
        <v>0</v>
      </c>
      <c r="AD74" s="156">
        <v>0</v>
      </c>
      <c r="AE74" s="156">
        <v>0</v>
      </c>
      <c r="AF74" s="156">
        <v>0</v>
      </c>
      <c r="AG74" s="156">
        <v>0</v>
      </c>
      <c r="AH74" s="156">
        <v>0</v>
      </c>
      <c r="AI74" s="156">
        <v>0</v>
      </c>
      <c r="AJ74" s="156">
        <v>0</v>
      </c>
      <c r="AK74" s="156">
        <v>0</v>
      </c>
      <c r="AL74" s="156">
        <v>0</v>
      </c>
      <c r="AM74" s="156">
        <v>0</v>
      </c>
      <c r="AN74" s="156">
        <v>0</v>
      </c>
      <c r="AO74" s="156">
        <v>0</v>
      </c>
      <c r="AP74" s="156">
        <v>0</v>
      </c>
      <c r="AQ74" s="156">
        <v>0</v>
      </c>
      <c r="AR74" s="156">
        <v>0</v>
      </c>
      <c r="AS74" s="156">
        <v>0</v>
      </c>
      <c r="AT74" s="156">
        <v>0</v>
      </c>
      <c r="AU74" s="156">
        <v>0</v>
      </c>
      <c r="AV74" s="156">
        <v>0</v>
      </c>
      <c r="AW74" s="200">
        <v>0</v>
      </c>
      <c r="BF74" s="538"/>
      <c r="BG74" s="363" t="s">
        <v>61</v>
      </c>
      <c r="BH74" s="387">
        <v>0</v>
      </c>
      <c r="BI74" s="387">
        <v>0</v>
      </c>
      <c r="BJ74" s="387">
        <v>0</v>
      </c>
      <c r="BK74" s="387">
        <v>0</v>
      </c>
      <c r="BL74" s="387">
        <v>0</v>
      </c>
      <c r="BM74" s="387">
        <v>0</v>
      </c>
      <c r="BN74" s="387">
        <v>0</v>
      </c>
      <c r="BO74" s="387">
        <v>0</v>
      </c>
      <c r="BP74" s="387">
        <v>0</v>
      </c>
      <c r="BQ74" s="387">
        <v>0</v>
      </c>
      <c r="BR74" s="387">
        <v>0</v>
      </c>
      <c r="BS74" s="387">
        <v>0</v>
      </c>
      <c r="BT74" s="387">
        <v>0</v>
      </c>
      <c r="BU74" s="387">
        <v>0</v>
      </c>
      <c r="BV74" s="387">
        <v>0</v>
      </c>
      <c r="BW74" s="387">
        <v>0</v>
      </c>
      <c r="BX74" s="387">
        <v>0</v>
      </c>
      <c r="BY74" s="387">
        <v>0</v>
      </c>
      <c r="BZ74" s="387">
        <v>0</v>
      </c>
      <c r="CA74" s="387">
        <v>0</v>
      </c>
      <c r="CB74" s="387">
        <v>0</v>
      </c>
      <c r="CC74"/>
      <c r="CD74" s="196" t="s">
        <v>61</v>
      </c>
      <c r="CE74" s="395">
        <v>4.6332893377148796E-6</v>
      </c>
      <c r="CF74" s="141">
        <v>2.9597576446546571E-6</v>
      </c>
      <c r="CG74" s="141">
        <v>3.7629475232458502E-6</v>
      </c>
      <c r="CH74" s="345">
        <v>0</v>
      </c>
      <c r="CI74" s="345">
        <v>0</v>
      </c>
      <c r="CJ74" s="345">
        <v>0</v>
      </c>
      <c r="CK74" s="345">
        <v>0</v>
      </c>
      <c r="CL74" s="141">
        <v>1.106248754240143E-5</v>
      </c>
      <c r="DA74" s="537"/>
      <c r="DB74" s="390" t="s">
        <v>61</v>
      </c>
      <c r="DC74" s="387">
        <v>0</v>
      </c>
      <c r="DD74" s="387">
        <v>0</v>
      </c>
      <c r="DE74" s="387">
        <v>0</v>
      </c>
      <c r="DF74" s="387">
        <v>0</v>
      </c>
      <c r="DG74" s="387">
        <v>0</v>
      </c>
      <c r="DH74" s="387">
        <v>0</v>
      </c>
      <c r="DI74" s="387">
        <v>0</v>
      </c>
      <c r="DJ74" s="387">
        <v>0</v>
      </c>
      <c r="DK74" s="387">
        <v>0</v>
      </c>
      <c r="DL74" s="387">
        <v>0</v>
      </c>
      <c r="DM74" s="387">
        <v>0</v>
      </c>
      <c r="DN74" s="387">
        <v>0</v>
      </c>
      <c r="DO74" s="387">
        <v>0</v>
      </c>
      <c r="DP74" s="387">
        <v>0</v>
      </c>
      <c r="DQ74" s="387">
        <v>0</v>
      </c>
      <c r="DR74" s="387">
        <v>0</v>
      </c>
      <c r="DS74" s="387">
        <v>0</v>
      </c>
      <c r="DT74" s="387">
        <v>0</v>
      </c>
      <c r="DU74" s="387">
        <v>0</v>
      </c>
      <c r="DV74" s="387">
        <v>0</v>
      </c>
      <c r="DW74" s="387">
        <v>0</v>
      </c>
    </row>
    <row r="75" spans="1:127" ht="14.25" customHeight="1">
      <c r="A75" s="544"/>
      <c r="B75" s="196" t="s">
        <v>63</v>
      </c>
      <c r="C75" s="156">
        <v>0</v>
      </c>
      <c r="D75" s="156">
        <v>0</v>
      </c>
      <c r="E75" s="156">
        <v>0</v>
      </c>
      <c r="F75" s="156">
        <v>0</v>
      </c>
      <c r="G75" s="156">
        <v>0</v>
      </c>
      <c r="H75" s="156">
        <v>0</v>
      </c>
      <c r="I75" s="156">
        <v>0</v>
      </c>
      <c r="J75" s="156">
        <v>0</v>
      </c>
      <c r="K75" s="156">
        <v>0</v>
      </c>
      <c r="L75" s="156">
        <v>0</v>
      </c>
      <c r="M75" s="156">
        <v>0</v>
      </c>
      <c r="N75" s="156">
        <v>0</v>
      </c>
      <c r="O75" s="156">
        <v>0</v>
      </c>
      <c r="P75" s="156">
        <v>0</v>
      </c>
      <c r="Q75" s="156">
        <v>0</v>
      </c>
      <c r="R75" s="156">
        <v>0</v>
      </c>
      <c r="S75" s="156">
        <v>0</v>
      </c>
      <c r="T75" s="156">
        <v>0</v>
      </c>
      <c r="U75" s="156">
        <v>0</v>
      </c>
      <c r="V75" s="156">
        <v>0</v>
      </c>
      <c r="W75" s="200">
        <v>0</v>
      </c>
      <c r="AA75" s="544"/>
      <c r="AB75" s="196" t="s">
        <v>63</v>
      </c>
      <c r="AC75" s="156">
        <v>0</v>
      </c>
      <c r="AD75" s="156">
        <v>0</v>
      </c>
      <c r="AE75" s="156">
        <v>0</v>
      </c>
      <c r="AF75" s="156">
        <v>0</v>
      </c>
      <c r="AG75" s="156">
        <v>0</v>
      </c>
      <c r="AH75" s="156">
        <v>0</v>
      </c>
      <c r="AI75" s="156">
        <v>0</v>
      </c>
      <c r="AJ75" s="156">
        <v>0</v>
      </c>
      <c r="AK75" s="156">
        <v>0</v>
      </c>
      <c r="AL75" s="156">
        <v>0</v>
      </c>
      <c r="AM75" s="156">
        <v>0</v>
      </c>
      <c r="AN75" s="156">
        <v>0</v>
      </c>
      <c r="AO75" s="156">
        <v>0</v>
      </c>
      <c r="AP75" s="156">
        <v>0</v>
      </c>
      <c r="AQ75" s="156">
        <v>0</v>
      </c>
      <c r="AR75" s="156">
        <v>0</v>
      </c>
      <c r="AS75" s="156">
        <v>0</v>
      </c>
      <c r="AT75" s="156">
        <v>0</v>
      </c>
      <c r="AU75" s="156">
        <v>0</v>
      </c>
      <c r="AV75" s="156">
        <v>0</v>
      </c>
      <c r="AW75" s="200">
        <v>0</v>
      </c>
      <c r="BF75" s="538"/>
      <c r="BG75" s="363" t="s">
        <v>63</v>
      </c>
      <c r="BH75" s="387">
        <v>0</v>
      </c>
      <c r="BI75" s="387">
        <v>0</v>
      </c>
      <c r="BJ75" s="387">
        <v>0</v>
      </c>
      <c r="BK75" s="387">
        <v>0</v>
      </c>
      <c r="BL75" s="387">
        <v>0</v>
      </c>
      <c r="BM75" s="387">
        <v>0</v>
      </c>
      <c r="BN75" s="387">
        <v>0</v>
      </c>
      <c r="BO75" s="387">
        <v>0</v>
      </c>
      <c r="BP75" s="387">
        <v>0</v>
      </c>
      <c r="BQ75" s="387">
        <v>0</v>
      </c>
      <c r="BR75" s="387">
        <v>0</v>
      </c>
      <c r="BS75" s="387">
        <v>0</v>
      </c>
      <c r="BT75" s="387">
        <v>0</v>
      </c>
      <c r="BU75" s="387">
        <v>0</v>
      </c>
      <c r="BV75" s="387">
        <v>0</v>
      </c>
      <c r="BW75" s="387">
        <v>0</v>
      </c>
      <c r="BX75" s="387">
        <v>0</v>
      </c>
      <c r="BY75" s="387">
        <v>0</v>
      </c>
      <c r="BZ75" s="387">
        <v>0</v>
      </c>
      <c r="CA75" s="387">
        <v>0</v>
      </c>
      <c r="CB75" s="387">
        <v>0</v>
      </c>
      <c r="CC75"/>
      <c r="CD75" s="196" t="s">
        <v>63</v>
      </c>
      <c r="CE75" s="235">
        <v>2.4299302861201319E-6</v>
      </c>
      <c r="CF75">
        <v>1.9929641499019229E-6</v>
      </c>
      <c r="CG75">
        <v>1.9890243687465882E-6</v>
      </c>
      <c r="CH75" s="345">
        <v>0</v>
      </c>
      <c r="CI75" s="345">
        <v>0</v>
      </c>
      <c r="CJ75" s="345">
        <v>0</v>
      </c>
      <c r="CK75" s="345">
        <v>0</v>
      </c>
      <c r="CL75">
        <v>4.964824139618976E-6</v>
      </c>
      <c r="DA75" s="537"/>
      <c r="DB75" s="390" t="s">
        <v>63</v>
      </c>
      <c r="DC75" s="387">
        <v>0</v>
      </c>
      <c r="DD75" s="387">
        <v>0</v>
      </c>
      <c r="DE75" s="387">
        <v>0</v>
      </c>
      <c r="DF75" s="387">
        <v>0</v>
      </c>
      <c r="DG75" s="387">
        <v>0</v>
      </c>
      <c r="DH75" s="387">
        <v>0</v>
      </c>
      <c r="DI75" s="387">
        <v>0</v>
      </c>
      <c r="DJ75" s="387">
        <v>0</v>
      </c>
      <c r="DK75" s="387">
        <v>0</v>
      </c>
      <c r="DL75" s="387">
        <v>0</v>
      </c>
      <c r="DM75" s="387">
        <v>0</v>
      </c>
      <c r="DN75" s="387">
        <v>0</v>
      </c>
      <c r="DO75" s="387">
        <v>0</v>
      </c>
      <c r="DP75" s="387">
        <v>0</v>
      </c>
      <c r="DQ75" s="387">
        <v>0</v>
      </c>
      <c r="DR75" s="387">
        <v>0</v>
      </c>
      <c r="DS75" s="387">
        <v>0</v>
      </c>
      <c r="DT75" s="387">
        <v>0</v>
      </c>
      <c r="DU75" s="387">
        <v>0</v>
      </c>
      <c r="DV75" s="387">
        <v>0</v>
      </c>
      <c r="DW75" s="387">
        <v>0</v>
      </c>
    </row>
    <row r="76" spans="1:127" ht="14.25" customHeight="1">
      <c r="A76" s="544"/>
      <c r="B76" s="196" t="s">
        <v>65</v>
      </c>
      <c r="C76" s="156">
        <v>0</v>
      </c>
      <c r="D76" s="156">
        <v>0</v>
      </c>
      <c r="E76" s="156">
        <v>0</v>
      </c>
      <c r="F76" s="156">
        <v>0</v>
      </c>
      <c r="G76" s="156">
        <v>0</v>
      </c>
      <c r="H76" s="156">
        <v>0</v>
      </c>
      <c r="I76" s="156">
        <v>0</v>
      </c>
      <c r="J76" s="156">
        <v>0</v>
      </c>
      <c r="K76" s="156">
        <v>0</v>
      </c>
      <c r="L76" s="156">
        <v>0</v>
      </c>
      <c r="M76" s="156">
        <v>0</v>
      </c>
      <c r="N76" s="156">
        <v>0</v>
      </c>
      <c r="O76" s="156">
        <v>0</v>
      </c>
      <c r="P76" s="156">
        <v>0</v>
      </c>
      <c r="Q76" s="156">
        <v>0</v>
      </c>
      <c r="R76" s="156">
        <v>0</v>
      </c>
      <c r="S76" s="156">
        <v>0</v>
      </c>
      <c r="T76" s="156">
        <v>0</v>
      </c>
      <c r="U76" s="156">
        <v>0</v>
      </c>
      <c r="V76" s="156">
        <v>0</v>
      </c>
      <c r="W76" s="200">
        <v>0</v>
      </c>
      <c r="AA76" s="544"/>
      <c r="AB76" s="196" t="s">
        <v>65</v>
      </c>
      <c r="AC76" s="156">
        <v>0</v>
      </c>
      <c r="AD76" s="156">
        <v>0</v>
      </c>
      <c r="AE76" s="156">
        <v>0</v>
      </c>
      <c r="AF76" s="156">
        <v>0</v>
      </c>
      <c r="AG76" s="156">
        <v>0</v>
      </c>
      <c r="AH76" s="156">
        <v>0</v>
      </c>
      <c r="AI76" s="156">
        <v>0</v>
      </c>
      <c r="AJ76" s="156">
        <v>0</v>
      </c>
      <c r="AK76" s="156">
        <v>0</v>
      </c>
      <c r="AL76" s="156">
        <v>0</v>
      </c>
      <c r="AM76" s="156">
        <v>0</v>
      </c>
      <c r="AN76" s="156">
        <v>0</v>
      </c>
      <c r="AO76" s="156">
        <v>0</v>
      </c>
      <c r="AP76" s="156">
        <v>0</v>
      </c>
      <c r="AQ76" s="156">
        <v>0</v>
      </c>
      <c r="AR76" s="156">
        <v>0</v>
      </c>
      <c r="AS76" s="156">
        <v>0</v>
      </c>
      <c r="AT76" s="156">
        <v>0</v>
      </c>
      <c r="AU76" s="156">
        <v>0</v>
      </c>
      <c r="AV76" s="156">
        <v>0</v>
      </c>
      <c r="AW76" s="200">
        <v>0</v>
      </c>
      <c r="BF76" s="538"/>
      <c r="BG76" s="363" t="s">
        <v>65</v>
      </c>
      <c r="BH76" s="387">
        <v>0</v>
      </c>
      <c r="BI76" s="387">
        <v>0</v>
      </c>
      <c r="BJ76" s="387">
        <v>0</v>
      </c>
      <c r="BK76" s="387">
        <v>0</v>
      </c>
      <c r="BL76" s="387">
        <v>0</v>
      </c>
      <c r="BM76" s="387">
        <v>0</v>
      </c>
      <c r="BN76" s="387">
        <v>0</v>
      </c>
      <c r="BO76" s="387">
        <v>0</v>
      </c>
      <c r="BP76" s="387">
        <v>0</v>
      </c>
      <c r="BQ76" s="387">
        <v>0</v>
      </c>
      <c r="BR76" s="387">
        <v>0</v>
      </c>
      <c r="BS76" s="387">
        <v>0</v>
      </c>
      <c r="BT76" s="387">
        <v>0</v>
      </c>
      <c r="BU76" s="387">
        <v>0</v>
      </c>
      <c r="BV76" s="387">
        <v>0</v>
      </c>
      <c r="BW76" s="387">
        <v>0</v>
      </c>
      <c r="BX76" s="387">
        <v>0</v>
      </c>
      <c r="BY76" s="387">
        <v>0</v>
      </c>
      <c r="BZ76" s="387">
        <v>0</v>
      </c>
      <c r="CA76" s="387">
        <v>0</v>
      </c>
      <c r="CB76" s="387">
        <v>0</v>
      </c>
      <c r="CC76"/>
      <c r="CD76" s="196" t="s">
        <v>65</v>
      </c>
      <c r="CE76" s="235">
        <v>8.5999887826900938E-7</v>
      </c>
      <c r="CF76">
        <v>1.1186648198114821E-6</v>
      </c>
      <c r="CG76">
        <v>1.572082954967698E-6</v>
      </c>
      <c r="CH76" s="345">
        <v>0</v>
      </c>
      <c r="CI76" s="345">
        <v>0</v>
      </c>
      <c r="CJ76" s="345">
        <v>0</v>
      </c>
      <c r="CK76" s="345">
        <v>0</v>
      </c>
      <c r="CL76">
        <v>3.0300054834579571E-6</v>
      </c>
      <c r="DA76" s="537"/>
      <c r="DB76" s="390" t="s">
        <v>65</v>
      </c>
      <c r="DC76" s="387">
        <v>0</v>
      </c>
      <c r="DD76" s="387">
        <v>0</v>
      </c>
      <c r="DE76" s="387">
        <v>0</v>
      </c>
      <c r="DF76" s="387">
        <v>0</v>
      </c>
      <c r="DG76" s="387">
        <v>0</v>
      </c>
      <c r="DH76" s="387">
        <v>0</v>
      </c>
      <c r="DI76" s="387">
        <v>0</v>
      </c>
      <c r="DJ76" s="387">
        <v>0</v>
      </c>
      <c r="DK76" s="387">
        <v>0</v>
      </c>
      <c r="DL76" s="387">
        <v>0</v>
      </c>
      <c r="DM76" s="387">
        <v>0</v>
      </c>
      <c r="DN76" s="387">
        <v>0</v>
      </c>
      <c r="DO76" s="387">
        <v>0</v>
      </c>
      <c r="DP76" s="387">
        <v>0</v>
      </c>
      <c r="DQ76" s="387">
        <v>0</v>
      </c>
      <c r="DR76" s="387">
        <v>0</v>
      </c>
      <c r="DS76" s="387">
        <v>0</v>
      </c>
      <c r="DT76" s="387">
        <v>0</v>
      </c>
      <c r="DU76" s="387">
        <v>0</v>
      </c>
      <c r="DV76" s="387">
        <v>0</v>
      </c>
      <c r="DW76" s="387">
        <v>0</v>
      </c>
    </row>
    <row r="77" spans="1:127" ht="14.25" customHeight="1">
      <c r="A77" s="544"/>
      <c r="B77" s="196" t="s">
        <v>67</v>
      </c>
      <c r="C77" s="156">
        <v>0</v>
      </c>
      <c r="D77" s="156">
        <v>0</v>
      </c>
      <c r="E77" s="156">
        <v>0</v>
      </c>
      <c r="F77" s="156">
        <v>0</v>
      </c>
      <c r="G77" s="156">
        <v>0</v>
      </c>
      <c r="H77" s="156">
        <v>0</v>
      </c>
      <c r="I77" s="156">
        <v>0</v>
      </c>
      <c r="J77" s="156">
        <v>0</v>
      </c>
      <c r="K77" s="156">
        <v>0</v>
      </c>
      <c r="L77" s="156">
        <v>0</v>
      </c>
      <c r="M77" s="156">
        <v>0</v>
      </c>
      <c r="N77" s="156">
        <v>0</v>
      </c>
      <c r="O77" s="156">
        <v>0</v>
      </c>
      <c r="P77" s="156">
        <v>0</v>
      </c>
      <c r="Q77" s="156">
        <v>0</v>
      </c>
      <c r="R77" s="156">
        <v>0</v>
      </c>
      <c r="S77" s="156">
        <v>0</v>
      </c>
      <c r="T77" s="156">
        <v>0</v>
      </c>
      <c r="U77" s="156">
        <v>0</v>
      </c>
      <c r="V77" s="156">
        <v>0</v>
      </c>
      <c r="W77" s="200">
        <v>0</v>
      </c>
      <c r="AA77" s="544"/>
      <c r="AB77" s="196" t="s">
        <v>67</v>
      </c>
      <c r="AC77" s="156">
        <v>0</v>
      </c>
      <c r="AD77" s="156">
        <v>0</v>
      </c>
      <c r="AE77" s="156">
        <v>0</v>
      </c>
      <c r="AF77" s="156">
        <v>0</v>
      </c>
      <c r="AG77" s="156">
        <v>0</v>
      </c>
      <c r="AH77" s="156">
        <v>0</v>
      </c>
      <c r="AI77" s="156">
        <v>0</v>
      </c>
      <c r="AJ77" s="156">
        <v>0</v>
      </c>
      <c r="AK77" s="156">
        <v>0</v>
      </c>
      <c r="AL77" s="156">
        <v>0</v>
      </c>
      <c r="AM77" s="156">
        <v>0</v>
      </c>
      <c r="AN77" s="156">
        <v>0</v>
      </c>
      <c r="AO77" s="156">
        <v>0</v>
      </c>
      <c r="AP77" s="156">
        <v>0</v>
      </c>
      <c r="AQ77" s="156">
        <v>0</v>
      </c>
      <c r="AR77" s="156">
        <v>0</v>
      </c>
      <c r="AS77" s="156">
        <v>0</v>
      </c>
      <c r="AT77" s="156">
        <v>0</v>
      </c>
      <c r="AU77" s="156">
        <v>0</v>
      </c>
      <c r="AV77" s="156">
        <v>0</v>
      </c>
      <c r="AW77" s="200">
        <v>0</v>
      </c>
      <c r="BF77" s="538"/>
      <c r="BG77" s="363" t="s">
        <v>67</v>
      </c>
      <c r="BH77" s="387">
        <v>0</v>
      </c>
      <c r="BI77" s="387">
        <v>0</v>
      </c>
      <c r="BJ77" s="387">
        <v>0</v>
      </c>
      <c r="BK77" s="387">
        <v>0</v>
      </c>
      <c r="BL77" s="387">
        <v>0</v>
      </c>
      <c r="BM77" s="387">
        <v>0</v>
      </c>
      <c r="BN77" s="387">
        <v>0</v>
      </c>
      <c r="BO77" s="387">
        <v>0</v>
      </c>
      <c r="BP77" s="387">
        <v>0</v>
      </c>
      <c r="BQ77" s="387">
        <v>0</v>
      </c>
      <c r="BR77" s="387">
        <v>0</v>
      </c>
      <c r="BS77" s="387">
        <v>0</v>
      </c>
      <c r="BT77" s="387">
        <v>0</v>
      </c>
      <c r="BU77" s="387">
        <v>0</v>
      </c>
      <c r="BV77" s="387">
        <v>0</v>
      </c>
      <c r="BW77" s="387">
        <v>0</v>
      </c>
      <c r="BX77" s="387">
        <v>0</v>
      </c>
      <c r="BY77" s="387">
        <v>0</v>
      </c>
      <c r="BZ77" s="387">
        <v>0</v>
      </c>
      <c r="CA77" s="387">
        <v>0</v>
      </c>
      <c r="CB77" s="387">
        <v>0</v>
      </c>
      <c r="CC77"/>
      <c r="CD77" s="196" t="s">
        <v>67</v>
      </c>
      <c r="CE77" s="235">
        <v>2.058542489159856E-6</v>
      </c>
      <c r="CF77">
        <v>4.4438980055423173E-6</v>
      </c>
      <c r="CG77">
        <v>1.754782346064923E-5</v>
      </c>
      <c r="CH77" s="345">
        <v>0</v>
      </c>
      <c r="CI77" s="345">
        <v>0</v>
      </c>
      <c r="CJ77" s="345">
        <v>0</v>
      </c>
      <c r="CK77" s="345">
        <v>0</v>
      </c>
      <c r="CL77">
        <v>2.2373144665102371E-5</v>
      </c>
      <c r="DA77" s="537"/>
      <c r="DB77" s="390" t="s">
        <v>67</v>
      </c>
      <c r="DC77" s="387">
        <v>0</v>
      </c>
      <c r="DD77" s="387">
        <v>0</v>
      </c>
      <c r="DE77" s="387">
        <v>0</v>
      </c>
      <c r="DF77" s="387">
        <v>0</v>
      </c>
      <c r="DG77" s="387">
        <v>0</v>
      </c>
      <c r="DH77" s="387">
        <v>0</v>
      </c>
      <c r="DI77" s="387">
        <v>0</v>
      </c>
      <c r="DJ77" s="387">
        <v>0</v>
      </c>
      <c r="DK77" s="387">
        <v>0</v>
      </c>
      <c r="DL77" s="387">
        <v>0</v>
      </c>
      <c r="DM77" s="387">
        <v>0</v>
      </c>
      <c r="DN77" s="387">
        <v>0</v>
      </c>
      <c r="DO77" s="387">
        <v>0</v>
      </c>
      <c r="DP77" s="387">
        <v>0</v>
      </c>
      <c r="DQ77" s="387">
        <v>0</v>
      </c>
      <c r="DR77" s="387">
        <v>0</v>
      </c>
      <c r="DS77" s="387">
        <v>0</v>
      </c>
      <c r="DT77" s="387">
        <v>0</v>
      </c>
      <c r="DU77" s="387">
        <v>0</v>
      </c>
      <c r="DV77" s="387">
        <v>0</v>
      </c>
      <c r="DW77" s="387">
        <v>0</v>
      </c>
    </row>
    <row r="78" spans="1:127" ht="14.25" customHeight="1">
      <c r="A78" s="544"/>
      <c r="B78" s="196" t="s">
        <v>69</v>
      </c>
      <c r="C78" s="156">
        <v>0</v>
      </c>
      <c r="D78" s="156">
        <v>0</v>
      </c>
      <c r="E78" s="156">
        <v>0</v>
      </c>
      <c r="F78" s="156">
        <v>0</v>
      </c>
      <c r="G78" s="156">
        <v>0</v>
      </c>
      <c r="H78" s="156">
        <v>0</v>
      </c>
      <c r="I78" s="156">
        <v>0</v>
      </c>
      <c r="J78" s="156">
        <v>0</v>
      </c>
      <c r="K78" s="156">
        <v>0</v>
      </c>
      <c r="L78" s="156">
        <v>0</v>
      </c>
      <c r="M78" s="156">
        <v>0</v>
      </c>
      <c r="N78" s="156">
        <v>0</v>
      </c>
      <c r="O78" s="156">
        <v>0</v>
      </c>
      <c r="P78" s="156">
        <v>0</v>
      </c>
      <c r="Q78" s="156">
        <v>0</v>
      </c>
      <c r="R78" s="156">
        <v>0</v>
      </c>
      <c r="S78" s="156">
        <v>0</v>
      </c>
      <c r="T78" s="156">
        <v>0</v>
      </c>
      <c r="U78" s="156">
        <v>0</v>
      </c>
      <c r="V78" s="156">
        <v>0</v>
      </c>
      <c r="W78" s="200">
        <v>0</v>
      </c>
      <c r="AA78" s="544"/>
      <c r="AB78" s="196" t="s">
        <v>69</v>
      </c>
      <c r="AC78" s="156">
        <v>0</v>
      </c>
      <c r="AD78" s="156">
        <v>0</v>
      </c>
      <c r="AE78" s="156">
        <v>0</v>
      </c>
      <c r="AF78" s="156">
        <v>0</v>
      </c>
      <c r="AG78" s="156">
        <v>0</v>
      </c>
      <c r="AH78" s="156">
        <v>0</v>
      </c>
      <c r="AI78" s="156">
        <v>0</v>
      </c>
      <c r="AJ78" s="156">
        <v>0</v>
      </c>
      <c r="AK78" s="156">
        <v>0</v>
      </c>
      <c r="AL78" s="156">
        <v>0</v>
      </c>
      <c r="AM78" s="156">
        <v>0</v>
      </c>
      <c r="AN78" s="156">
        <v>0</v>
      </c>
      <c r="AO78" s="156">
        <v>0</v>
      </c>
      <c r="AP78" s="156">
        <v>0</v>
      </c>
      <c r="AQ78" s="156">
        <v>0</v>
      </c>
      <c r="AR78" s="156">
        <v>0</v>
      </c>
      <c r="AS78" s="156">
        <v>0</v>
      </c>
      <c r="AT78" s="156">
        <v>0</v>
      </c>
      <c r="AU78" s="156">
        <v>0</v>
      </c>
      <c r="AV78" s="156">
        <v>0</v>
      </c>
      <c r="AW78" s="200">
        <v>0</v>
      </c>
      <c r="BF78" s="538"/>
      <c r="BG78" s="363" t="s">
        <v>69</v>
      </c>
      <c r="BH78" s="387">
        <v>0</v>
      </c>
      <c r="BI78" s="387">
        <v>0</v>
      </c>
      <c r="BJ78" s="387">
        <v>0</v>
      </c>
      <c r="BK78" s="387">
        <v>0</v>
      </c>
      <c r="BL78" s="387">
        <v>0</v>
      </c>
      <c r="BM78" s="387">
        <v>0</v>
      </c>
      <c r="BN78" s="387">
        <v>0</v>
      </c>
      <c r="BO78" s="387">
        <v>0</v>
      </c>
      <c r="BP78" s="387">
        <v>0</v>
      </c>
      <c r="BQ78" s="387">
        <v>0</v>
      </c>
      <c r="BR78" s="387">
        <v>0</v>
      </c>
      <c r="BS78" s="387">
        <v>0</v>
      </c>
      <c r="BT78" s="387">
        <v>0</v>
      </c>
      <c r="BU78" s="387">
        <v>0</v>
      </c>
      <c r="BV78" s="387">
        <v>0</v>
      </c>
      <c r="BW78" s="387">
        <v>0</v>
      </c>
      <c r="BX78" s="387">
        <v>0</v>
      </c>
      <c r="BY78" s="387">
        <v>0</v>
      </c>
      <c r="BZ78" s="387">
        <v>0</v>
      </c>
      <c r="CA78" s="387">
        <v>0</v>
      </c>
      <c r="CB78" s="387">
        <v>0</v>
      </c>
      <c r="CC78"/>
      <c r="CD78" s="196" t="s">
        <v>69</v>
      </c>
      <c r="CE78" s="235">
        <v>2.4993696636619879E-6</v>
      </c>
      <c r="CF78">
        <v>1.981400608664922E-6</v>
      </c>
      <c r="CG78">
        <v>3.1688240755428239E-6</v>
      </c>
      <c r="CH78" s="345">
        <v>0</v>
      </c>
      <c r="CI78" s="345">
        <v>0</v>
      </c>
      <c r="CJ78" s="345">
        <v>0</v>
      </c>
      <c r="CK78" s="345">
        <v>0</v>
      </c>
      <c r="CL78">
        <v>5.3397116425733756E-6</v>
      </c>
      <c r="DA78" s="537"/>
      <c r="DB78" s="390" t="s">
        <v>69</v>
      </c>
      <c r="DC78" s="387">
        <v>0</v>
      </c>
      <c r="DD78" s="387">
        <v>0</v>
      </c>
      <c r="DE78" s="387">
        <v>0</v>
      </c>
      <c r="DF78" s="387">
        <v>0</v>
      </c>
      <c r="DG78" s="387">
        <v>0</v>
      </c>
      <c r="DH78" s="387">
        <v>0</v>
      </c>
      <c r="DI78" s="387">
        <v>0</v>
      </c>
      <c r="DJ78" s="387">
        <v>0</v>
      </c>
      <c r="DK78" s="387">
        <v>0</v>
      </c>
      <c r="DL78" s="387">
        <v>0</v>
      </c>
      <c r="DM78" s="387">
        <v>0</v>
      </c>
      <c r="DN78" s="387">
        <v>0</v>
      </c>
      <c r="DO78" s="387">
        <v>0</v>
      </c>
      <c r="DP78" s="387">
        <v>0</v>
      </c>
      <c r="DQ78" s="387">
        <v>0</v>
      </c>
      <c r="DR78" s="387">
        <v>0</v>
      </c>
      <c r="DS78" s="387">
        <v>0</v>
      </c>
      <c r="DT78" s="387">
        <v>0</v>
      </c>
      <c r="DU78" s="387">
        <v>0</v>
      </c>
      <c r="DV78" s="387">
        <v>0</v>
      </c>
      <c r="DW78" s="387">
        <v>0</v>
      </c>
    </row>
    <row r="79" spans="1:127" ht="14.25" customHeight="1">
      <c r="A79" s="544"/>
      <c r="B79" s="196" t="s">
        <v>145</v>
      </c>
      <c r="C79" s="156">
        <v>0</v>
      </c>
      <c r="D79" s="156">
        <v>0</v>
      </c>
      <c r="E79" s="156">
        <v>0</v>
      </c>
      <c r="F79" s="156">
        <v>0</v>
      </c>
      <c r="G79" s="156">
        <v>0</v>
      </c>
      <c r="H79" s="156">
        <v>0</v>
      </c>
      <c r="I79" s="156">
        <v>0</v>
      </c>
      <c r="J79" s="156">
        <v>0</v>
      </c>
      <c r="K79" s="156">
        <v>0</v>
      </c>
      <c r="L79" s="156">
        <v>0</v>
      </c>
      <c r="M79" s="156">
        <v>0</v>
      </c>
      <c r="N79" s="156">
        <v>0</v>
      </c>
      <c r="O79" s="156">
        <v>0</v>
      </c>
      <c r="P79" s="156">
        <v>0</v>
      </c>
      <c r="Q79" s="156">
        <v>0</v>
      </c>
      <c r="R79" s="156">
        <v>0</v>
      </c>
      <c r="S79" s="156">
        <v>0</v>
      </c>
      <c r="T79" s="156">
        <v>0</v>
      </c>
      <c r="U79" s="156">
        <v>0</v>
      </c>
      <c r="V79" s="156">
        <v>0</v>
      </c>
      <c r="W79" s="200">
        <v>0</v>
      </c>
      <c r="AA79" s="544"/>
      <c r="AB79" s="196" t="s">
        <v>145</v>
      </c>
      <c r="AC79" s="156">
        <v>0</v>
      </c>
      <c r="AD79" s="156">
        <v>0</v>
      </c>
      <c r="AE79" s="156">
        <v>0</v>
      </c>
      <c r="AF79" s="156">
        <v>0</v>
      </c>
      <c r="AG79" s="156">
        <v>0</v>
      </c>
      <c r="AH79" s="156">
        <v>0</v>
      </c>
      <c r="AI79" s="156">
        <v>0</v>
      </c>
      <c r="AJ79" s="156">
        <v>0</v>
      </c>
      <c r="AK79" s="156">
        <v>0</v>
      </c>
      <c r="AL79" s="156">
        <v>0</v>
      </c>
      <c r="AM79" s="156">
        <v>0</v>
      </c>
      <c r="AN79" s="156">
        <v>0</v>
      </c>
      <c r="AO79" s="156">
        <v>0</v>
      </c>
      <c r="AP79" s="156">
        <v>0</v>
      </c>
      <c r="AQ79" s="156">
        <v>0</v>
      </c>
      <c r="AR79" s="156">
        <v>0</v>
      </c>
      <c r="AS79" s="156">
        <v>0</v>
      </c>
      <c r="AT79" s="156">
        <v>0</v>
      </c>
      <c r="AU79" s="156">
        <v>0</v>
      </c>
      <c r="AV79" s="156">
        <v>0</v>
      </c>
      <c r="AW79" s="200">
        <v>0</v>
      </c>
      <c r="BF79" s="538"/>
      <c r="BG79" s="363" t="s">
        <v>145</v>
      </c>
      <c r="BH79" s="387">
        <v>0</v>
      </c>
      <c r="BI79" s="387">
        <v>0</v>
      </c>
      <c r="BJ79" s="387">
        <v>0</v>
      </c>
      <c r="BK79" s="387">
        <v>0</v>
      </c>
      <c r="BL79" s="387">
        <v>0</v>
      </c>
      <c r="BM79" s="387">
        <v>0</v>
      </c>
      <c r="BN79" s="387">
        <v>0</v>
      </c>
      <c r="BO79" s="387">
        <v>0</v>
      </c>
      <c r="BP79" s="387">
        <v>0</v>
      </c>
      <c r="BQ79" s="387">
        <v>0</v>
      </c>
      <c r="BR79" s="387">
        <v>0</v>
      </c>
      <c r="BS79" s="387">
        <v>0</v>
      </c>
      <c r="BT79" s="387">
        <v>0</v>
      </c>
      <c r="BU79" s="387">
        <v>0</v>
      </c>
      <c r="BV79" s="387">
        <v>0</v>
      </c>
      <c r="BW79" s="387">
        <v>0</v>
      </c>
      <c r="BX79" s="387">
        <v>0</v>
      </c>
      <c r="BY79" s="387">
        <v>0</v>
      </c>
      <c r="BZ79" s="387">
        <v>0</v>
      </c>
      <c r="CA79" s="387">
        <v>0</v>
      </c>
      <c r="CB79" s="387">
        <v>0</v>
      </c>
      <c r="CC79"/>
      <c r="CD79" s="196" t="s">
        <v>145</v>
      </c>
      <c r="CE79" s="235">
        <v>1.0653292251259261E-6</v>
      </c>
      <c r="CF79">
        <v>9.6196965193825478E-7</v>
      </c>
      <c r="CG79">
        <v>1.3902308599744149E-6</v>
      </c>
      <c r="CH79" s="345">
        <v>0</v>
      </c>
      <c r="CI79" s="345">
        <v>0</v>
      </c>
      <c r="CJ79" s="345">
        <v>0</v>
      </c>
      <c r="CK79" s="345">
        <v>0</v>
      </c>
      <c r="CL79">
        <v>2.813856511152669E-6</v>
      </c>
      <c r="DA79" s="537"/>
      <c r="DB79" s="390" t="s">
        <v>145</v>
      </c>
      <c r="DC79" s="387">
        <v>0</v>
      </c>
      <c r="DD79" s="387">
        <v>0</v>
      </c>
      <c r="DE79" s="387">
        <v>0</v>
      </c>
      <c r="DF79" s="387">
        <v>0</v>
      </c>
      <c r="DG79" s="387">
        <v>0</v>
      </c>
      <c r="DH79" s="387">
        <v>0</v>
      </c>
      <c r="DI79" s="387">
        <v>0</v>
      </c>
      <c r="DJ79" s="387">
        <v>0</v>
      </c>
      <c r="DK79" s="387">
        <v>0</v>
      </c>
      <c r="DL79" s="387">
        <v>0</v>
      </c>
      <c r="DM79" s="387">
        <v>0</v>
      </c>
      <c r="DN79" s="387">
        <v>0</v>
      </c>
      <c r="DO79" s="387">
        <v>0</v>
      </c>
      <c r="DP79" s="387">
        <v>0</v>
      </c>
      <c r="DQ79" s="387">
        <v>0</v>
      </c>
      <c r="DR79" s="387">
        <v>0</v>
      </c>
      <c r="DS79" s="387">
        <v>0</v>
      </c>
      <c r="DT79" s="387">
        <v>0</v>
      </c>
      <c r="DU79" s="387">
        <v>0</v>
      </c>
      <c r="DV79" s="387">
        <v>0</v>
      </c>
      <c r="DW79" s="387">
        <v>0</v>
      </c>
    </row>
    <row r="80" spans="1:127" ht="14.25" customHeight="1">
      <c r="A80" s="544"/>
      <c r="B80" s="196" t="s">
        <v>73</v>
      </c>
      <c r="C80" s="156">
        <v>0</v>
      </c>
      <c r="D80" s="156">
        <v>0</v>
      </c>
      <c r="E80" s="156">
        <v>0</v>
      </c>
      <c r="F80" s="156">
        <v>0</v>
      </c>
      <c r="G80" s="156">
        <v>0</v>
      </c>
      <c r="H80" s="156">
        <v>0</v>
      </c>
      <c r="I80" s="156">
        <v>0</v>
      </c>
      <c r="J80" s="156">
        <v>0</v>
      </c>
      <c r="K80" s="156">
        <v>0</v>
      </c>
      <c r="L80" s="156">
        <v>0</v>
      </c>
      <c r="M80" s="156">
        <v>0</v>
      </c>
      <c r="N80" s="156">
        <v>0</v>
      </c>
      <c r="O80" s="156">
        <v>0</v>
      </c>
      <c r="P80" s="156">
        <v>0</v>
      </c>
      <c r="Q80" s="156">
        <v>0</v>
      </c>
      <c r="R80" s="156">
        <v>0</v>
      </c>
      <c r="S80" s="156">
        <v>0</v>
      </c>
      <c r="T80" s="156">
        <v>0</v>
      </c>
      <c r="U80" s="156">
        <v>0</v>
      </c>
      <c r="V80" s="156">
        <v>0</v>
      </c>
      <c r="W80" s="200">
        <v>0</v>
      </c>
      <c r="AA80" s="544"/>
      <c r="AB80" s="196" t="s">
        <v>73</v>
      </c>
      <c r="AC80" s="156">
        <v>0</v>
      </c>
      <c r="AD80" s="156">
        <v>0</v>
      </c>
      <c r="AE80" s="156">
        <v>0</v>
      </c>
      <c r="AF80" s="156">
        <v>0</v>
      </c>
      <c r="AG80" s="156">
        <v>0</v>
      </c>
      <c r="AH80" s="156">
        <v>0</v>
      </c>
      <c r="AI80" s="156">
        <v>0</v>
      </c>
      <c r="AJ80" s="156">
        <v>0</v>
      </c>
      <c r="AK80" s="156">
        <v>0</v>
      </c>
      <c r="AL80" s="156">
        <v>0</v>
      </c>
      <c r="AM80" s="156">
        <v>0</v>
      </c>
      <c r="AN80" s="156">
        <v>0</v>
      </c>
      <c r="AO80" s="156">
        <v>0</v>
      </c>
      <c r="AP80" s="156">
        <v>0</v>
      </c>
      <c r="AQ80" s="156">
        <v>0</v>
      </c>
      <c r="AR80" s="156">
        <v>0</v>
      </c>
      <c r="AS80" s="156">
        <v>0</v>
      </c>
      <c r="AT80" s="156">
        <v>0</v>
      </c>
      <c r="AU80" s="156">
        <v>0</v>
      </c>
      <c r="AV80" s="156">
        <v>0</v>
      </c>
      <c r="AW80" s="200">
        <v>0</v>
      </c>
      <c r="BF80" s="538"/>
      <c r="BG80" s="363" t="s">
        <v>73</v>
      </c>
      <c r="BH80" s="387">
        <v>0</v>
      </c>
      <c r="BI80" s="387">
        <v>0</v>
      </c>
      <c r="BJ80" s="387">
        <v>0</v>
      </c>
      <c r="BK80" s="387">
        <v>0</v>
      </c>
      <c r="BL80" s="387">
        <v>0</v>
      </c>
      <c r="BM80" s="387">
        <v>0</v>
      </c>
      <c r="BN80" s="387">
        <v>0</v>
      </c>
      <c r="BO80" s="387">
        <v>0</v>
      </c>
      <c r="BP80" s="387">
        <v>0</v>
      </c>
      <c r="BQ80" s="387">
        <v>0</v>
      </c>
      <c r="BR80" s="387">
        <v>0</v>
      </c>
      <c r="BS80" s="387">
        <v>0</v>
      </c>
      <c r="BT80" s="387">
        <v>0</v>
      </c>
      <c r="BU80" s="387">
        <v>0</v>
      </c>
      <c r="BV80" s="387">
        <v>0</v>
      </c>
      <c r="BW80" s="387">
        <v>0</v>
      </c>
      <c r="BX80" s="387">
        <v>0</v>
      </c>
      <c r="BY80" s="387">
        <v>0</v>
      </c>
      <c r="BZ80" s="387">
        <v>0</v>
      </c>
      <c r="CA80" s="387">
        <v>0</v>
      </c>
      <c r="CB80" s="387">
        <v>0</v>
      </c>
      <c r="CC80"/>
      <c r="CD80" s="196" t="s">
        <v>73</v>
      </c>
      <c r="CE80" s="235">
        <v>5.5048670979522664E-7</v>
      </c>
      <c r="CF80">
        <v>6.1570122028606502E-7</v>
      </c>
      <c r="CG80">
        <v>1.411684162973897E-6</v>
      </c>
      <c r="CH80" s="345">
        <v>0</v>
      </c>
      <c r="CI80" s="345">
        <v>0</v>
      </c>
      <c r="CJ80" s="345">
        <v>0</v>
      </c>
      <c r="CK80" s="345">
        <v>0</v>
      </c>
      <c r="CL80">
        <v>2.2889016876163589E-6</v>
      </c>
      <c r="DA80" s="537"/>
      <c r="DB80" s="390" t="s">
        <v>73</v>
      </c>
      <c r="DC80" s="387">
        <v>0</v>
      </c>
      <c r="DD80" s="387">
        <v>0</v>
      </c>
      <c r="DE80" s="387">
        <v>0</v>
      </c>
      <c r="DF80" s="387">
        <v>0</v>
      </c>
      <c r="DG80" s="387">
        <v>0</v>
      </c>
      <c r="DH80" s="387">
        <v>0</v>
      </c>
      <c r="DI80" s="387">
        <v>0</v>
      </c>
      <c r="DJ80" s="387">
        <v>0</v>
      </c>
      <c r="DK80" s="387">
        <v>0</v>
      </c>
      <c r="DL80" s="387">
        <v>0</v>
      </c>
      <c r="DM80" s="387">
        <v>0</v>
      </c>
      <c r="DN80" s="387">
        <v>0</v>
      </c>
      <c r="DO80" s="387">
        <v>0</v>
      </c>
      <c r="DP80" s="387">
        <v>0</v>
      </c>
      <c r="DQ80" s="387">
        <v>0</v>
      </c>
      <c r="DR80" s="387">
        <v>0</v>
      </c>
      <c r="DS80" s="387">
        <v>0</v>
      </c>
      <c r="DT80" s="387">
        <v>0</v>
      </c>
      <c r="DU80" s="387">
        <v>0</v>
      </c>
      <c r="DV80" s="387">
        <v>0</v>
      </c>
      <c r="DW80" s="387">
        <v>0</v>
      </c>
    </row>
    <row r="81" spans="1:127" ht="14.25" customHeight="1">
      <c r="A81" s="544"/>
      <c r="B81" s="196" t="s">
        <v>75</v>
      </c>
      <c r="C81" s="156">
        <v>0</v>
      </c>
      <c r="D81" s="156">
        <v>0</v>
      </c>
      <c r="E81" s="156">
        <v>0</v>
      </c>
      <c r="F81" s="156">
        <v>0</v>
      </c>
      <c r="G81" s="156">
        <v>0</v>
      </c>
      <c r="H81" s="156">
        <v>0</v>
      </c>
      <c r="I81" s="156">
        <v>0</v>
      </c>
      <c r="J81" s="156">
        <v>0</v>
      </c>
      <c r="K81" s="156">
        <v>0</v>
      </c>
      <c r="L81" s="156">
        <v>0</v>
      </c>
      <c r="M81" s="156">
        <v>0</v>
      </c>
      <c r="N81" s="156">
        <v>0</v>
      </c>
      <c r="O81" s="156">
        <v>0</v>
      </c>
      <c r="P81" s="156">
        <v>0</v>
      </c>
      <c r="Q81" s="156">
        <v>0</v>
      </c>
      <c r="R81" s="156">
        <v>0</v>
      </c>
      <c r="S81" s="156">
        <v>0</v>
      </c>
      <c r="T81" s="156">
        <v>0</v>
      </c>
      <c r="U81" s="156">
        <v>0</v>
      </c>
      <c r="V81" s="156">
        <v>0</v>
      </c>
      <c r="W81" s="200">
        <v>0</v>
      </c>
      <c r="AA81" s="544"/>
      <c r="AB81" s="196" t="s">
        <v>75</v>
      </c>
      <c r="AC81" s="156">
        <v>0</v>
      </c>
      <c r="AD81" s="156">
        <v>0</v>
      </c>
      <c r="AE81" s="156">
        <v>0</v>
      </c>
      <c r="AF81" s="156">
        <v>0</v>
      </c>
      <c r="AG81" s="156">
        <v>0</v>
      </c>
      <c r="AH81" s="156">
        <v>0</v>
      </c>
      <c r="AI81" s="156">
        <v>0</v>
      </c>
      <c r="AJ81" s="156">
        <v>0</v>
      </c>
      <c r="AK81" s="156">
        <v>0</v>
      </c>
      <c r="AL81" s="156">
        <v>0</v>
      </c>
      <c r="AM81" s="156">
        <v>0</v>
      </c>
      <c r="AN81" s="156">
        <v>0</v>
      </c>
      <c r="AO81" s="156">
        <v>0</v>
      </c>
      <c r="AP81" s="156">
        <v>0</v>
      </c>
      <c r="AQ81" s="156">
        <v>0</v>
      </c>
      <c r="AR81" s="156">
        <v>0</v>
      </c>
      <c r="AS81" s="156">
        <v>0</v>
      </c>
      <c r="AT81" s="156">
        <v>0</v>
      </c>
      <c r="AU81" s="156">
        <v>0</v>
      </c>
      <c r="AV81" s="156">
        <v>0</v>
      </c>
      <c r="AW81" s="200">
        <v>0</v>
      </c>
      <c r="BF81" s="538"/>
      <c r="BG81" s="363" t="s">
        <v>75</v>
      </c>
      <c r="BH81" s="387">
        <v>0</v>
      </c>
      <c r="BI81" s="387">
        <v>0</v>
      </c>
      <c r="BJ81" s="387">
        <v>0</v>
      </c>
      <c r="BK81" s="387">
        <v>0</v>
      </c>
      <c r="BL81" s="387">
        <v>0</v>
      </c>
      <c r="BM81" s="387">
        <v>0</v>
      </c>
      <c r="BN81" s="387">
        <v>0</v>
      </c>
      <c r="BO81" s="387">
        <v>0</v>
      </c>
      <c r="BP81" s="387">
        <v>0</v>
      </c>
      <c r="BQ81" s="387">
        <v>0</v>
      </c>
      <c r="BR81" s="387">
        <v>0</v>
      </c>
      <c r="BS81" s="387">
        <v>0</v>
      </c>
      <c r="BT81" s="387">
        <v>0</v>
      </c>
      <c r="BU81" s="387">
        <v>0</v>
      </c>
      <c r="BV81" s="387">
        <v>0</v>
      </c>
      <c r="BW81" s="387">
        <v>0</v>
      </c>
      <c r="BX81" s="387">
        <v>0</v>
      </c>
      <c r="BY81" s="387">
        <v>0</v>
      </c>
      <c r="BZ81" s="387">
        <v>0</v>
      </c>
      <c r="CA81" s="387">
        <v>0</v>
      </c>
      <c r="CB81" s="387">
        <v>0</v>
      </c>
      <c r="CC81"/>
      <c r="CD81" s="196" t="s">
        <v>75</v>
      </c>
      <c r="CE81" s="235">
        <v>1.119752621187311E-6</v>
      </c>
      <c r="CF81">
        <v>5.4850855946325878E-7</v>
      </c>
      <c r="CG81">
        <v>4.1014403120994728E-7</v>
      </c>
      <c r="CH81" s="345">
        <v>0</v>
      </c>
      <c r="CI81" s="345">
        <v>0</v>
      </c>
      <c r="CJ81" s="345">
        <v>0</v>
      </c>
      <c r="CK81" s="345">
        <v>0</v>
      </c>
      <c r="CL81">
        <v>1.4483537064618849E-6</v>
      </c>
      <c r="DA81" s="537"/>
      <c r="DB81" s="390" t="s">
        <v>75</v>
      </c>
      <c r="DC81" s="387">
        <v>0</v>
      </c>
      <c r="DD81" s="387">
        <v>0</v>
      </c>
      <c r="DE81" s="387">
        <v>0</v>
      </c>
      <c r="DF81" s="387">
        <v>0</v>
      </c>
      <c r="DG81" s="387">
        <v>0</v>
      </c>
      <c r="DH81" s="387">
        <v>0</v>
      </c>
      <c r="DI81" s="387">
        <v>0</v>
      </c>
      <c r="DJ81" s="387">
        <v>0</v>
      </c>
      <c r="DK81" s="387">
        <v>0</v>
      </c>
      <c r="DL81" s="387">
        <v>0</v>
      </c>
      <c r="DM81" s="387">
        <v>0</v>
      </c>
      <c r="DN81" s="387">
        <v>0</v>
      </c>
      <c r="DO81" s="387">
        <v>0</v>
      </c>
      <c r="DP81" s="387">
        <v>0</v>
      </c>
      <c r="DQ81" s="387">
        <v>0</v>
      </c>
      <c r="DR81" s="387">
        <v>0</v>
      </c>
      <c r="DS81" s="387">
        <v>0</v>
      </c>
      <c r="DT81" s="387">
        <v>0</v>
      </c>
      <c r="DU81" s="387">
        <v>0</v>
      </c>
      <c r="DV81" s="387">
        <v>0</v>
      </c>
      <c r="DW81" s="387">
        <v>0</v>
      </c>
    </row>
    <row r="82" spans="1:127" ht="14.25" customHeight="1">
      <c r="A82" s="544"/>
      <c r="B82" s="196" t="s">
        <v>146</v>
      </c>
      <c r="C82" s="156">
        <v>0</v>
      </c>
      <c r="D82" s="156">
        <v>0</v>
      </c>
      <c r="E82" s="156">
        <v>0</v>
      </c>
      <c r="F82" s="156">
        <v>0</v>
      </c>
      <c r="G82" s="156">
        <v>0</v>
      </c>
      <c r="H82" s="156">
        <v>0</v>
      </c>
      <c r="I82" s="156">
        <v>0</v>
      </c>
      <c r="J82" s="156">
        <v>0</v>
      </c>
      <c r="K82" s="156">
        <v>0</v>
      </c>
      <c r="L82" s="156">
        <v>0</v>
      </c>
      <c r="M82" s="156">
        <v>0</v>
      </c>
      <c r="N82" s="156">
        <v>0</v>
      </c>
      <c r="O82" s="156">
        <v>0</v>
      </c>
      <c r="P82" s="156">
        <v>0</v>
      </c>
      <c r="Q82" s="156">
        <v>0</v>
      </c>
      <c r="R82" s="156">
        <v>0</v>
      </c>
      <c r="S82" s="156">
        <v>0</v>
      </c>
      <c r="T82" s="156">
        <v>0</v>
      </c>
      <c r="U82" s="156">
        <v>0</v>
      </c>
      <c r="V82" s="156">
        <v>0</v>
      </c>
      <c r="W82" s="200">
        <v>0</v>
      </c>
      <c r="AA82" s="544"/>
      <c r="AB82" s="196" t="s">
        <v>146</v>
      </c>
      <c r="AC82" s="156">
        <v>0</v>
      </c>
      <c r="AD82" s="156">
        <v>0</v>
      </c>
      <c r="AE82" s="156">
        <v>0</v>
      </c>
      <c r="AF82" s="156">
        <v>0</v>
      </c>
      <c r="AG82" s="156">
        <v>0</v>
      </c>
      <c r="AH82" s="156">
        <v>0</v>
      </c>
      <c r="AI82" s="156">
        <v>0</v>
      </c>
      <c r="AJ82" s="156">
        <v>0</v>
      </c>
      <c r="AK82" s="156">
        <v>0</v>
      </c>
      <c r="AL82" s="156">
        <v>0</v>
      </c>
      <c r="AM82" s="156">
        <v>0</v>
      </c>
      <c r="AN82" s="156">
        <v>0</v>
      </c>
      <c r="AO82" s="156">
        <v>0</v>
      </c>
      <c r="AP82" s="156">
        <v>0</v>
      </c>
      <c r="AQ82" s="156">
        <v>0</v>
      </c>
      <c r="AR82" s="156">
        <v>0</v>
      </c>
      <c r="AS82" s="156">
        <v>0</v>
      </c>
      <c r="AT82" s="156">
        <v>0</v>
      </c>
      <c r="AU82" s="156">
        <v>0</v>
      </c>
      <c r="AV82" s="156">
        <v>0</v>
      </c>
      <c r="AW82" s="200">
        <v>0</v>
      </c>
      <c r="BF82" s="538"/>
      <c r="BG82" s="363" t="s">
        <v>146</v>
      </c>
      <c r="BH82" s="387">
        <v>0</v>
      </c>
      <c r="BI82" s="387">
        <v>0</v>
      </c>
      <c r="BJ82" s="387">
        <v>0</v>
      </c>
      <c r="BK82" s="387">
        <v>0</v>
      </c>
      <c r="BL82" s="387">
        <v>0</v>
      </c>
      <c r="BM82" s="387">
        <v>0</v>
      </c>
      <c r="BN82" s="387">
        <v>0</v>
      </c>
      <c r="BO82" s="387">
        <v>0</v>
      </c>
      <c r="BP82" s="387">
        <v>0</v>
      </c>
      <c r="BQ82" s="387">
        <v>0</v>
      </c>
      <c r="BR82" s="387">
        <v>0</v>
      </c>
      <c r="BS82" s="387">
        <v>0</v>
      </c>
      <c r="BT82" s="387">
        <v>0</v>
      </c>
      <c r="BU82" s="387">
        <v>0</v>
      </c>
      <c r="BV82" s="387">
        <v>0</v>
      </c>
      <c r="BW82" s="387">
        <v>0</v>
      </c>
      <c r="BX82" s="387">
        <v>0</v>
      </c>
      <c r="BY82" s="387">
        <v>0</v>
      </c>
      <c r="BZ82" s="387">
        <v>0</v>
      </c>
      <c r="CA82" s="387">
        <v>0</v>
      </c>
      <c r="CB82" s="387">
        <v>0</v>
      </c>
      <c r="CC82"/>
      <c r="CD82" s="196" t="s">
        <v>146</v>
      </c>
      <c r="CE82" s="235">
        <v>1.411659909536939E-6</v>
      </c>
      <c r="CF82">
        <v>9.9356777060735892E-7</v>
      </c>
      <c r="CG82">
        <v>2.1990537447666391E-6</v>
      </c>
      <c r="CH82" s="345">
        <v>0</v>
      </c>
      <c r="CI82" s="345">
        <v>0</v>
      </c>
      <c r="CJ82" s="345">
        <v>0</v>
      </c>
      <c r="CK82" s="345">
        <v>0</v>
      </c>
      <c r="CL82">
        <v>3.7741513547828449E-6</v>
      </c>
      <c r="DA82" s="537"/>
      <c r="DB82" s="390" t="s">
        <v>146</v>
      </c>
      <c r="DC82" s="387">
        <v>0</v>
      </c>
      <c r="DD82" s="387">
        <v>0</v>
      </c>
      <c r="DE82" s="387">
        <v>0</v>
      </c>
      <c r="DF82" s="387">
        <v>0</v>
      </c>
      <c r="DG82" s="387">
        <v>0</v>
      </c>
      <c r="DH82" s="387">
        <v>0</v>
      </c>
      <c r="DI82" s="387">
        <v>0</v>
      </c>
      <c r="DJ82" s="387">
        <v>0</v>
      </c>
      <c r="DK82" s="387">
        <v>0</v>
      </c>
      <c r="DL82" s="387">
        <v>0</v>
      </c>
      <c r="DM82" s="387">
        <v>0</v>
      </c>
      <c r="DN82" s="387">
        <v>0</v>
      </c>
      <c r="DO82" s="387">
        <v>0</v>
      </c>
      <c r="DP82" s="387">
        <v>0</v>
      </c>
      <c r="DQ82" s="387">
        <v>0</v>
      </c>
      <c r="DR82" s="387">
        <v>0</v>
      </c>
      <c r="DS82" s="387">
        <v>0</v>
      </c>
      <c r="DT82" s="387">
        <v>0</v>
      </c>
      <c r="DU82" s="387">
        <v>0</v>
      </c>
      <c r="DV82" s="387">
        <v>0</v>
      </c>
      <c r="DW82" s="387">
        <v>0</v>
      </c>
    </row>
    <row r="83" spans="1:127" ht="14.25" customHeight="1">
      <c r="A83" s="544"/>
      <c r="B83" s="196" t="s">
        <v>83</v>
      </c>
      <c r="C83" s="156">
        <v>0</v>
      </c>
      <c r="D83" s="156">
        <v>0</v>
      </c>
      <c r="E83" s="156">
        <v>0</v>
      </c>
      <c r="F83" s="156">
        <v>0</v>
      </c>
      <c r="G83" s="156">
        <v>0</v>
      </c>
      <c r="H83" s="156">
        <v>0</v>
      </c>
      <c r="I83" s="156">
        <v>0</v>
      </c>
      <c r="J83" s="156">
        <v>0</v>
      </c>
      <c r="K83" s="156">
        <v>0</v>
      </c>
      <c r="L83" s="156">
        <v>0</v>
      </c>
      <c r="M83" s="156">
        <v>0</v>
      </c>
      <c r="N83" s="156">
        <v>0</v>
      </c>
      <c r="O83" s="156">
        <v>0</v>
      </c>
      <c r="P83" s="156">
        <v>0</v>
      </c>
      <c r="Q83" s="156">
        <v>0</v>
      </c>
      <c r="R83" s="156">
        <v>0</v>
      </c>
      <c r="S83" s="156">
        <v>0</v>
      </c>
      <c r="T83" s="156">
        <v>0</v>
      </c>
      <c r="U83" s="156">
        <v>0</v>
      </c>
      <c r="V83" s="156">
        <v>0</v>
      </c>
      <c r="W83" s="200">
        <v>0</v>
      </c>
      <c r="AA83" s="544"/>
      <c r="AB83" s="196" t="s">
        <v>83</v>
      </c>
      <c r="AC83" s="156">
        <v>0</v>
      </c>
      <c r="AD83" s="156">
        <v>0</v>
      </c>
      <c r="AE83" s="156">
        <v>0</v>
      </c>
      <c r="AF83" s="156">
        <v>0</v>
      </c>
      <c r="AG83" s="156">
        <v>0</v>
      </c>
      <c r="AH83" s="156">
        <v>0</v>
      </c>
      <c r="AI83" s="156">
        <v>0</v>
      </c>
      <c r="AJ83" s="156">
        <v>0</v>
      </c>
      <c r="AK83" s="156">
        <v>0</v>
      </c>
      <c r="AL83" s="156">
        <v>0</v>
      </c>
      <c r="AM83" s="156">
        <v>0</v>
      </c>
      <c r="AN83" s="156">
        <v>0</v>
      </c>
      <c r="AO83" s="156">
        <v>0</v>
      </c>
      <c r="AP83" s="156">
        <v>0</v>
      </c>
      <c r="AQ83" s="156">
        <v>0</v>
      </c>
      <c r="AR83" s="156">
        <v>0</v>
      </c>
      <c r="AS83" s="156">
        <v>0</v>
      </c>
      <c r="AT83" s="156">
        <v>0</v>
      </c>
      <c r="AU83" s="156">
        <v>0</v>
      </c>
      <c r="AV83" s="156">
        <v>0</v>
      </c>
      <c r="AW83" s="200">
        <v>0</v>
      </c>
      <c r="BF83" s="538"/>
      <c r="BG83" s="363" t="s">
        <v>83</v>
      </c>
      <c r="BH83" s="387">
        <v>0</v>
      </c>
      <c r="BI83" s="387">
        <v>0</v>
      </c>
      <c r="BJ83" s="387">
        <v>0</v>
      </c>
      <c r="BK83" s="387">
        <v>0</v>
      </c>
      <c r="BL83" s="387">
        <v>0</v>
      </c>
      <c r="BM83" s="387">
        <v>0</v>
      </c>
      <c r="BN83" s="387">
        <v>0</v>
      </c>
      <c r="BO83" s="387">
        <v>0</v>
      </c>
      <c r="BP83" s="387">
        <v>0</v>
      </c>
      <c r="BQ83" s="387">
        <v>0</v>
      </c>
      <c r="BR83" s="387">
        <v>0</v>
      </c>
      <c r="BS83" s="387">
        <v>0</v>
      </c>
      <c r="BT83" s="387">
        <v>0</v>
      </c>
      <c r="BU83" s="387">
        <v>0</v>
      </c>
      <c r="BV83" s="387">
        <v>0</v>
      </c>
      <c r="BW83" s="387">
        <v>0</v>
      </c>
      <c r="BX83" s="387">
        <v>0</v>
      </c>
      <c r="BY83" s="387">
        <v>0</v>
      </c>
      <c r="BZ83" s="387">
        <v>0</v>
      </c>
      <c r="CA83" s="387">
        <v>0</v>
      </c>
      <c r="CB83" s="387">
        <v>0</v>
      </c>
      <c r="CC83"/>
      <c r="CD83" s="196" t="s">
        <v>83</v>
      </c>
      <c r="CE83" s="235">
        <v>9.9567521246008535E-7</v>
      </c>
      <c r="CF83">
        <v>1.6196566735660031E-6</v>
      </c>
      <c r="CG83">
        <v>1.9770144271369591E-6</v>
      </c>
      <c r="CH83" s="345">
        <v>0</v>
      </c>
      <c r="CI83" s="345">
        <v>0</v>
      </c>
      <c r="CJ83" s="345">
        <v>0</v>
      </c>
      <c r="CK83" s="345">
        <v>0</v>
      </c>
      <c r="CL83">
        <v>3.9970964641314452E-6</v>
      </c>
      <c r="DA83" s="537"/>
      <c r="DB83" s="390" t="s">
        <v>83</v>
      </c>
      <c r="DC83" s="387">
        <v>0</v>
      </c>
      <c r="DD83" s="387">
        <v>0</v>
      </c>
      <c r="DE83" s="387">
        <v>0</v>
      </c>
      <c r="DF83" s="387">
        <v>0</v>
      </c>
      <c r="DG83" s="387">
        <v>0</v>
      </c>
      <c r="DH83" s="387">
        <v>0</v>
      </c>
      <c r="DI83" s="387">
        <v>0</v>
      </c>
      <c r="DJ83" s="387">
        <v>0</v>
      </c>
      <c r="DK83" s="387">
        <v>0</v>
      </c>
      <c r="DL83" s="387">
        <v>0</v>
      </c>
      <c r="DM83" s="387">
        <v>0</v>
      </c>
      <c r="DN83" s="387">
        <v>0</v>
      </c>
      <c r="DO83" s="387">
        <v>0</v>
      </c>
      <c r="DP83" s="387">
        <v>0</v>
      </c>
      <c r="DQ83" s="387">
        <v>0</v>
      </c>
      <c r="DR83" s="387">
        <v>0</v>
      </c>
      <c r="DS83" s="387">
        <v>0</v>
      </c>
      <c r="DT83" s="387">
        <v>0</v>
      </c>
      <c r="DU83" s="387">
        <v>0</v>
      </c>
      <c r="DV83" s="387">
        <v>0</v>
      </c>
      <c r="DW83" s="387">
        <v>0</v>
      </c>
    </row>
    <row r="84" spans="1:127" ht="14.25" customHeight="1">
      <c r="A84" s="544"/>
      <c r="B84" s="196" t="s">
        <v>85</v>
      </c>
      <c r="C84" s="156">
        <v>0</v>
      </c>
      <c r="D84" s="156">
        <v>0</v>
      </c>
      <c r="E84" s="156">
        <v>0</v>
      </c>
      <c r="F84" s="156">
        <v>0</v>
      </c>
      <c r="G84" s="156">
        <v>0</v>
      </c>
      <c r="H84" s="156">
        <v>0</v>
      </c>
      <c r="I84" s="156">
        <v>0</v>
      </c>
      <c r="J84" s="156">
        <v>0</v>
      </c>
      <c r="K84" s="156">
        <v>0</v>
      </c>
      <c r="L84" s="156">
        <v>0</v>
      </c>
      <c r="M84" s="156">
        <v>0</v>
      </c>
      <c r="N84" s="156">
        <v>0</v>
      </c>
      <c r="O84" s="156">
        <v>0</v>
      </c>
      <c r="P84" s="156">
        <v>0</v>
      </c>
      <c r="Q84" s="156">
        <v>0</v>
      </c>
      <c r="R84" s="156">
        <v>0</v>
      </c>
      <c r="S84" s="156">
        <v>0</v>
      </c>
      <c r="T84" s="156">
        <v>0</v>
      </c>
      <c r="U84" s="156">
        <v>0</v>
      </c>
      <c r="V84" s="156">
        <v>0</v>
      </c>
      <c r="W84" s="200">
        <v>0</v>
      </c>
      <c r="AA84" s="544"/>
      <c r="AB84" s="196" t="s">
        <v>85</v>
      </c>
      <c r="AC84" s="156">
        <v>0</v>
      </c>
      <c r="AD84" s="156">
        <v>0</v>
      </c>
      <c r="AE84" s="156">
        <v>0</v>
      </c>
      <c r="AF84" s="156">
        <v>0</v>
      </c>
      <c r="AG84" s="156">
        <v>0</v>
      </c>
      <c r="AH84" s="156">
        <v>0</v>
      </c>
      <c r="AI84" s="156">
        <v>0</v>
      </c>
      <c r="AJ84" s="156">
        <v>0</v>
      </c>
      <c r="AK84" s="156">
        <v>0</v>
      </c>
      <c r="AL84" s="156">
        <v>0</v>
      </c>
      <c r="AM84" s="156">
        <v>0</v>
      </c>
      <c r="AN84" s="156">
        <v>0</v>
      </c>
      <c r="AO84" s="156">
        <v>0</v>
      </c>
      <c r="AP84" s="156">
        <v>0</v>
      </c>
      <c r="AQ84" s="156">
        <v>0</v>
      </c>
      <c r="AR84" s="156">
        <v>0</v>
      </c>
      <c r="AS84" s="156">
        <v>0</v>
      </c>
      <c r="AT84" s="156">
        <v>0</v>
      </c>
      <c r="AU84" s="156">
        <v>0</v>
      </c>
      <c r="AV84" s="156">
        <v>0</v>
      </c>
      <c r="AW84" s="200">
        <v>0</v>
      </c>
      <c r="BF84" s="538"/>
      <c r="BG84" s="363" t="s">
        <v>85</v>
      </c>
      <c r="BH84" s="387">
        <v>0</v>
      </c>
      <c r="BI84" s="387">
        <v>0</v>
      </c>
      <c r="BJ84" s="387">
        <v>0</v>
      </c>
      <c r="BK84" s="387">
        <v>0</v>
      </c>
      <c r="BL84" s="387">
        <v>0</v>
      </c>
      <c r="BM84" s="387">
        <v>0</v>
      </c>
      <c r="BN84" s="387">
        <v>0</v>
      </c>
      <c r="BO84" s="387">
        <v>0</v>
      </c>
      <c r="BP84" s="387">
        <v>0</v>
      </c>
      <c r="BQ84" s="387">
        <v>0</v>
      </c>
      <c r="BR84" s="387">
        <v>0</v>
      </c>
      <c r="BS84" s="387">
        <v>0</v>
      </c>
      <c r="BT84" s="387">
        <v>0</v>
      </c>
      <c r="BU84" s="387">
        <v>0</v>
      </c>
      <c r="BV84" s="387">
        <v>0</v>
      </c>
      <c r="BW84" s="387">
        <v>0</v>
      </c>
      <c r="BX84" s="387">
        <v>0</v>
      </c>
      <c r="BY84" s="387">
        <v>0</v>
      </c>
      <c r="BZ84" s="387">
        <v>0</v>
      </c>
      <c r="CA84" s="387">
        <v>0</v>
      </c>
      <c r="CB84" s="387">
        <v>0</v>
      </c>
      <c r="CC84"/>
      <c r="CD84" s="196" t="s">
        <v>85</v>
      </c>
      <c r="CE84" s="235">
        <v>8.6535870706242901E-7</v>
      </c>
      <c r="CF84">
        <v>7.7432261712401508E-7</v>
      </c>
      <c r="CG84">
        <v>1.2006545337990209E-6</v>
      </c>
      <c r="CH84" s="345">
        <v>0</v>
      </c>
      <c r="CI84" s="345">
        <v>0</v>
      </c>
      <c r="CJ84" s="345">
        <v>0</v>
      </c>
      <c r="CK84" s="345">
        <v>0</v>
      </c>
      <c r="CL84">
        <v>2.2753569493205972E-6</v>
      </c>
      <c r="DA84" s="537"/>
      <c r="DB84" s="390" t="s">
        <v>85</v>
      </c>
      <c r="DC84" s="387">
        <v>0</v>
      </c>
      <c r="DD84" s="387">
        <v>0</v>
      </c>
      <c r="DE84" s="387">
        <v>0</v>
      </c>
      <c r="DF84" s="387">
        <v>0</v>
      </c>
      <c r="DG84" s="387">
        <v>0</v>
      </c>
      <c r="DH84" s="387">
        <v>0</v>
      </c>
      <c r="DI84" s="387">
        <v>0</v>
      </c>
      <c r="DJ84" s="387">
        <v>0</v>
      </c>
      <c r="DK84" s="387">
        <v>0</v>
      </c>
      <c r="DL84" s="387">
        <v>0</v>
      </c>
      <c r="DM84" s="387">
        <v>0</v>
      </c>
      <c r="DN84" s="387">
        <v>0</v>
      </c>
      <c r="DO84" s="387">
        <v>0</v>
      </c>
      <c r="DP84" s="387">
        <v>0</v>
      </c>
      <c r="DQ84" s="387">
        <v>0</v>
      </c>
      <c r="DR84" s="387">
        <v>0</v>
      </c>
      <c r="DS84" s="387">
        <v>0</v>
      </c>
      <c r="DT84" s="387">
        <v>0</v>
      </c>
      <c r="DU84" s="387">
        <v>0</v>
      </c>
      <c r="DV84" s="387">
        <v>0</v>
      </c>
      <c r="DW84" s="387">
        <v>0</v>
      </c>
    </row>
    <row r="85" spans="1:127" ht="14.25" customHeight="1">
      <c r="A85" s="544"/>
      <c r="B85" s="196" t="s">
        <v>88</v>
      </c>
      <c r="C85" s="156">
        <v>0</v>
      </c>
      <c r="D85" s="156">
        <v>0</v>
      </c>
      <c r="E85" s="156">
        <v>0</v>
      </c>
      <c r="F85" s="156">
        <v>0</v>
      </c>
      <c r="G85" s="156">
        <v>0</v>
      </c>
      <c r="H85" s="156">
        <v>0</v>
      </c>
      <c r="I85" s="156">
        <v>0</v>
      </c>
      <c r="J85" s="156">
        <v>0</v>
      </c>
      <c r="K85" s="156">
        <v>0</v>
      </c>
      <c r="L85" s="156">
        <v>0</v>
      </c>
      <c r="M85" s="156">
        <v>0</v>
      </c>
      <c r="N85" s="156">
        <v>0</v>
      </c>
      <c r="O85" s="156">
        <v>0</v>
      </c>
      <c r="P85" s="156">
        <v>0</v>
      </c>
      <c r="Q85" s="156">
        <v>0</v>
      </c>
      <c r="R85" s="156">
        <v>0</v>
      </c>
      <c r="S85" s="156">
        <v>0</v>
      </c>
      <c r="T85" s="156">
        <v>0</v>
      </c>
      <c r="U85" s="156">
        <v>0</v>
      </c>
      <c r="V85" s="156">
        <v>0</v>
      </c>
      <c r="W85" s="200">
        <v>0</v>
      </c>
      <c r="AA85" s="544"/>
      <c r="AB85" s="196" t="s">
        <v>88</v>
      </c>
      <c r="AC85" s="156">
        <v>0</v>
      </c>
      <c r="AD85" s="156">
        <v>0</v>
      </c>
      <c r="AE85" s="156">
        <v>0</v>
      </c>
      <c r="AF85" s="156">
        <v>0</v>
      </c>
      <c r="AG85" s="156">
        <v>0</v>
      </c>
      <c r="AH85" s="156">
        <v>0</v>
      </c>
      <c r="AI85" s="156">
        <v>0</v>
      </c>
      <c r="AJ85" s="156">
        <v>0</v>
      </c>
      <c r="AK85" s="156">
        <v>0</v>
      </c>
      <c r="AL85" s="156">
        <v>0</v>
      </c>
      <c r="AM85" s="156">
        <v>0</v>
      </c>
      <c r="AN85" s="156">
        <v>0</v>
      </c>
      <c r="AO85" s="156">
        <v>0</v>
      </c>
      <c r="AP85" s="156">
        <v>0</v>
      </c>
      <c r="AQ85" s="156">
        <v>0</v>
      </c>
      <c r="AR85" s="156">
        <v>0</v>
      </c>
      <c r="AS85" s="156">
        <v>0</v>
      </c>
      <c r="AT85" s="156">
        <v>0</v>
      </c>
      <c r="AU85" s="156">
        <v>0</v>
      </c>
      <c r="AV85" s="156">
        <v>0</v>
      </c>
      <c r="AW85" s="200">
        <v>0</v>
      </c>
      <c r="BF85" s="538"/>
      <c r="BG85" s="363" t="s">
        <v>88</v>
      </c>
      <c r="BH85" s="387">
        <v>0</v>
      </c>
      <c r="BI85" s="387">
        <v>0</v>
      </c>
      <c r="BJ85" s="387">
        <v>0</v>
      </c>
      <c r="BK85" s="387">
        <v>0</v>
      </c>
      <c r="BL85" s="387">
        <v>0</v>
      </c>
      <c r="BM85" s="387">
        <v>0</v>
      </c>
      <c r="BN85" s="387">
        <v>0</v>
      </c>
      <c r="BO85" s="387">
        <v>0</v>
      </c>
      <c r="BP85" s="387">
        <v>0</v>
      </c>
      <c r="BQ85" s="387">
        <v>0</v>
      </c>
      <c r="BR85" s="387">
        <v>0</v>
      </c>
      <c r="BS85" s="387">
        <v>0</v>
      </c>
      <c r="BT85" s="387">
        <v>0</v>
      </c>
      <c r="BU85" s="387">
        <v>0</v>
      </c>
      <c r="BV85" s="387">
        <v>0</v>
      </c>
      <c r="BW85" s="387">
        <v>0</v>
      </c>
      <c r="BX85" s="387">
        <v>0</v>
      </c>
      <c r="BY85" s="387">
        <v>0</v>
      </c>
      <c r="BZ85" s="387">
        <v>0</v>
      </c>
      <c r="CA85" s="387">
        <v>0</v>
      </c>
      <c r="CB85" s="387">
        <v>0</v>
      </c>
      <c r="CC85"/>
      <c r="CD85" s="196" t="s">
        <v>88</v>
      </c>
      <c r="CE85" s="235">
        <v>1.819816344983017E-6</v>
      </c>
      <c r="CF85">
        <v>1.4733778549813199E-6</v>
      </c>
      <c r="CG85">
        <v>2.7676919987810048E-6</v>
      </c>
      <c r="CH85" s="345">
        <v>0</v>
      </c>
      <c r="CI85" s="345">
        <v>0</v>
      </c>
      <c r="CJ85" s="345">
        <v>0</v>
      </c>
      <c r="CK85" s="345">
        <v>0</v>
      </c>
      <c r="CL85">
        <v>4.6818807005210581E-6</v>
      </c>
      <c r="DA85" s="537"/>
      <c r="DB85" s="390" t="s">
        <v>88</v>
      </c>
      <c r="DC85" s="387">
        <v>0</v>
      </c>
      <c r="DD85" s="387">
        <v>0</v>
      </c>
      <c r="DE85" s="387">
        <v>0</v>
      </c>
      <c r="DF85" s="387">
        <v>0</v>
      </c>
      <c r="DG85" s="387">
        <v>0</v>
      </c>
      <c r="DH85" s="387">
        <v>0</v>
      </c>
      <c r="DI85" s="387">
        <v>0</v>
      </c>
      <c r="DJ85" s="387">
        <v>0</v>
      </c>
      <c r="DK85" s="387">
        <v>0</v>
      </c>
      <c r="DL85" s="387">
        <v>0</v>
      </c>
      <c r="DM85" s="387">
        <v>0</v>
      </c>
      <c r="DN85" s="387">
        <v>0</v>
      </c>
      <c r="DO85" s="387">
        <v>0</v>
      </c>
      <c r="DP85" s="387">
        <v>0</v>
      </c>
      <c r="DQ85" s="387">
        <v>0</v>
      </c>
      <c r="DR85" s="387">
        <v>0</v>
      </c>
      <c r="DS85" s="387">
        <v>0</v>
      </c>
      <c r="DT85" s="387">
        <v>0</v>
      </c>
      <c r="DU85" s="387">
        <v>0</v>
      </c>
      <c r="DV85" s="387">
        <v>0</v>
      </c>
      <c r="DW85" s="387">
        <v>0</v>
      </c>
    </row>
    <row r="86" spans="1:127" ht="14.25" customHeight="1">
      <c r="A86" s="545"/>
      <c r="B86" s="196" t="s">
        <v>147</v>
      </c>
      <c r="C86" s="156">
        <v>0</v>
      </c>
      <c r="D86" s="156">
        <v>0</v>
      </c>
      <c r="E86" s="156">
        <v>0</v>
      </c>
      <c r="F86" s="156">
        <v>0</v>
      </c>
      <c r="G86" s="156">
        <v>0</v>
      </c>
      <c r="H86" s="156">
        <v>0</v>
      </c>
      <c r="I86" s="156">
        <v>0</v>
      </c>
      <c r="J86" s="156">
        <v>0</v>
      </c>
      <c r="K86" s="156">
        <v>0</v>
      </c>
      <c r="L86" s="156">
        <v>0</v>
      </c>
      <c r="M86" s="156">
        <v>0</v>
      </c>
      <c r="N86" s="156">
        <v>0</v>
      </c>
      <c r="O86" s="156">
        <v>0</v>
      </c>
      <c r="P86" s="156">
        <v>0</v>
      </c>
      <c r="Q86" s="156">
        <v>0</v>
      </c>
      <c r="R86" s="156">
        <v>0</v>
      </c>
      <c r="S86" s="156">
        <v>0</v>
      </c>
      <c r="T86" s="156">
        <v>0</v>
      </c>
      <c r="U86" s="156">
        <v>0</v>
      </c>
      <c r="V86" s="156">
        <v>0</v>
      </c>
      <c r="W86" s="200">
        <v>0</v>
      </c>
      <c r="AA86" s="545"/>
      <c r="AB86" s="196" t="s">
        <v>147</v>
      </c>
      <c r="AC86" s="156">
        <v>0</v>
      </c>
      <c r="AD86" s="156">
        <v>0</v>
      </c>
      <c r="AE86" s="156">
        <v>0</v>
      </c>
      <c r="AF86" s="156">
        <v>0</v>
      </c>
      <c r="AG86" s="156">
        <v>0</v>
      </c>
      <c r="AH86" s="156">
        <v>0</v>
      </c>
      <c r="AI86" s="156">
        <v>0</v>
      </c>
      <c r="AJ86" s="156">
        <v>0</v>
      </c>
      <c r="AK86" s="156">
        <v>0</v>
      </c>
      <c r="AL86" s="156">
        <v>0</v>
      </c>
      <c r="AM86" s="156">
        <v>0</v>
      </c>
      <c r="AN86" s="156">
        <v>0</v>
      </c>
      <c r="AO86" s="156">
        <v>0</v>
      </c>
      <c r="AP86" s="156">
        <v>0</v>
      </c>
      <c r="AQ86" s="156">
        <v>0</v>
      </c>
      <c r="AR86" s="156">
        <v>0</v>
      </c>
      <c r="AS86" s="156">
        <v>0</v>
      </c>
      <c r="AT86" s="156">
        <v>0</v>
      </c>
      <c r="AU86" s="156">
        <v>0</v>
      </c>
      <c r="AV86" s="156">
        <v>0</v>
      </c>
      <c r="AW86" s="200">
        <v>0</v>
      </c>
      <c r="BF86" s="538"/>
      <c r="BG86" s="363" t="s">
        <v>147</v>
      </c>
      <c r="BH86" s="387">
        <v>0</v>
      </c>
      <c r="BI86" s="387">
        <v>0</v>
      </c>
      <c r="BJ86" s="387">
        <v>0</v>
      </c>
      <c r="BK86" s="387">
        <v>0</v>
      </c>
      <c r="BL86" s="387">
        <v>0</v>
      </c>
      <c r="BM86" s="387">
        <v>0</v>
      </c>
      <c r="BN86" s="387">
        <v>0</v>
      </c>
      <c r="BO86" s="387">
        <v>0</v>
      </c>
      <c r="BP86" s="387">
        <v>0</v>
      </c>
      <c r="BQ86" s="387">
        <v>0</v>
      </c>
      <c r="BR86" s="387">
        <v>0</v>
      </c>
      <c r="BS86" s="387">
        <v>0</v>
      </c>
      <c r="BT86" s="387">
        <v>0</v>
      </c>
      <c r="BU86" s="387">
        <v>0</v>
      </c>
      <c r="BV86" s="387">
        <v>0</v>
      </c>
      <c r="BW86" s="387">
        <v>0</v>
      </c>
      <c r="BX86" s="387">
        <v>0</v>
      </c>
      <c r="BY86" s="387">
        <v>0</v>
      </c>
      <c r="BZ86" s="387">
        <v>0</v>
      </c>
      <c r="CA86" s="387">
        <v>0</v>
      </c>
      <c r="CB86" s="387">
        <v>0</v>
      </c>
      <c r="CC86"/>
      <c r="CD86" s="196" t="s">
        <v>147</v>
      </c>
      <c r="CE86" s="236">
        <v>7.0990438477083343E-8</v>
      </c>
      <c r="CF86" s="237">
        <v>6.9160466334179368E-8</v>
      </c>
      <c r="CG86" s="237">
        <v>1.2181668422096549E-7</v>
      </c>
      <c r="CH86" s="345">
        <v>0</v>
      </c>
      <c r="CI86" s="345">
        <v>0</v>
      </c>
      <c r="CJ86" s="345">
        <v>0</v>
      </c>
      <c r="CK86" s="345">
        <v>0</v>
      </c>
      <c r="CL86">
        <v>2.5557351485128028E-7</v>
      </c>
      <c r="DA86" s="537"/>
      <c r="DB86" s="390" t="s">
        <v>147</v>
      </c>
      <c r="DC86" s="387">
        <v>0</v>
      </c>
      <c r="DD86" s="387">
        <v>0</v>
      </c>
      <c r="DE86" s="387">
        <v>0</v>
      </c>
      <c r="DF86" s="387">
        <v>0</v>
      </c>
      <c r="DG86" s="387">
        <v>0</v>
      </c>
      <c r="DH86" s="387">
        <v>0</v>
      </c>
      <c r="DI86" s="387">
        <v>0</v>
      </c>
      <c r="DJ86" s="387">
        <v>0</v>
      </c>
      <c r="DK86" s="387">
        <v>0</v>
      </c>
      <c r="DL86" s="387">
        <v>0</v>
      </c>
      <c r="DM86" s="387">
        <v>0</v>
      </c>
      <c r="DN86" s="387">
        <v>0</v>
      </c>
      <c r="DO86" s="387">
        <v>0</v>
      </c>
      <c r="DP86" s="387">
        <v>0</v>
      </c>
      <c r="DQ86" s="387">
        <v>0</v>
      </c>
      <c r="DR86" s="387">
        <v>0</v>
      </c>
      <c r="DS86" s="387">
        <v>0</v>
      </c>
      <c r="DT86" s="387">
        <v>0</v>
      </c>
      <c r="DU86" s="387">
        <v>0</v>
      </c>
      <c r="DV86" s="387">
        <v>0</v>
      </c>
      <c r="DW86" s="387">
        <v>0</v>
      </c>
    </row>
    <row r="87" spans="1:127" ht="14.25" customHeight="1">
      <c r="A87" s="543" t="s">
        <v>612</v>
      </c>
      <c r="B87" s="196" t="s">
        <v>139</v>
      </c>
      <c r="C87" s="156">
        <v>6.3101542176131717E-2</v>
      </c>
      <c r="D87" s="156">
        <v>0</v>
      </c>
      <c r="E87" s="156">
        <v>1</v>
      </c>
      <c r="F87" s="156">
        <v>0</v>
      </c>
      <c r="G87" s="156">
        <v>0</v>
      </c>
      <c r="H87" s="156">
        <v>1</v>
      </c>
      <c r="I87" s="156">
        <v>0</v>
      </c>
      <c r="J87" s="156">
        <v>1</v>
      </c>
      <c r="K87" s="156">
        <v>1</v>
      </c>
      <c r="L87" s="156">
        <v>0</v>
      </c>
      <c r="M87" s="156">
        <v>1</v>
      </c>
      <c r="N87" s="156">
        <v>0</v>
      </c>
      <c r="O87" s="156">
        <v>1</v>
      </c>
      <c r="P87" s="156">
        <v>1</v>
      </c>
      <c r="Q87" s="156">
        <v>1</v>
      </c>
      <c r="R87" s="156">
        <v>1</v>
      </c>
      <c r="S87" s="156">
        <v>1</v>
      </c>
      <c r="T87" s="156">
        <v>0</v>
      </c>
      <c r="U87" s="156">
        <v>1</v>
      </c>
      <c r="V87" s="156">
        <v>1</v>
      </c>
      <c r="W87" s="200">
        <v>0</v>
      </c>
      <c r="AA87" s="543" t="s">
        <v>612</v>
      </c>
      <c r="AB87" s="196" t="s">
        <v>139</v>
      </c>
      <c r="AC87" s="156">
        <v>1</v>
      </c>
      <c r="AD87" s="156">
        <v>0</v>
      </c>
      <c r="AE87" s="156">
        <v>1</v>
      </c>
      <c r="AF87" s="156">
        <v>0</v>
      </c>
      <c r="AG87" s="156">
        <v>0</v>
      </c>
      <c r="AH87" s="156">
        <v>1</v>
      </c>
      <c r="AI87" s="156">
        <v>0</v>
      </c>
      <c r="AJ87" s="156">
        <v>1</v>
      </c>
      <c r="AK87" s="156">
        <v>1</v>
      </c>
      <c r="AL87" s="156">
        <v>0</v>
      </c>
      <c r="AM87" s="156">
        <v>1</v>
      </c>
      <c r="AN87" s="156">
        <v>0</v>
      </c>
      <c r="AO87" s="156">
        <v>1</v>
      </c>
      <c r="AP87" s="156">
        <v>1</v>
      </c>
      <c r="AQ87" s="156">
        <v>1</v>
      </c>
      <c r="AR87" s="156">
        <v>1</v>
      </c>
      <c r="AS87" s="156">
        <v>1</v>
      </c>
      <c r="AT87" s="156">
        <v>0</v>
      </c>
      <c r="AU87" s="156">
        <v>1</v>
      </c>
      <c r="AV87" s="156">
        <v>1</v>
      </c>
      <c r="AW87" s="200">
        <v>0</v>
      </c>
      <c r="BF87" s="538" t="s">
        <v>1386</v>
      </c>
      <c r="BG87" s="363" t="s">
        <v>139</v>
      </c>
      <c r="BH87" s="387">
        <v>0</v>
      </c>
      <c r="BI87" s="387">
        <v>0</v>
      </c>
      <c r="BJ87" s="387">
        <v>0</v>
      </c>
      <c r="BK87" s="387">
        <v>0</v>
      </c>
      <c r="BL87" s="387">
        <v>0</v>
      </c>
      <c r="BM87" s="387">
        <v>0</v>
      </c>
      <c r="BN87" s="387">
        <v>0</v>
      </c>
      <c r="BO87" s="387">
        <v>0</v>
      </c>
      <c r="BP87" s="387">
        <v>0</v>
      </c>
      <c r="BQ87" s="387">
        <v>0</v>
      </c>
      <c r="BR87" s="387">
        <v>0</v>
      </c>
      <c r="BS87" s="387">
        <v>0</v>
      </c>
      <c r="BT87" s="387">
        <v>0</v>
      </c>
      <c r="BU87" s="387">
        <v>0</v>
      </c>
      <c r="BV87" s="387">
        <v>0</v>
      </c>
      <c r="BW87" s="387">
        <v>0</v>
      </c>
      <c r="BX87" s="387">
        <v>0</v>
      </c>
      <c r="BY87" s="387">
        <v>0</v>
      </c>
      <c r="BZ87" s="387">
        <v>0</v>
      </c>
      <c r="CA87" s="387">
        <v>0</v>
      </c>
      <c r="CB87" s="387">
        <v>0</v>
      </c>
      <c r="CC87"/>
      <c r="CD87"/>
      <c r="CE87"/>
      <c r="CF87"/>
      <c r="CG87"/>
      <c r="CH87"/>
      <c r="CI87"/>
      <c r="CJ87"/>
      <c r="CK87"/>
      <c r="CL87"/>
      <c r="DA87" s="537" t="s">
        <v>1386</v>
      </c>
      <c r="DB87" s="390" t="s">
        <v>139</v>
      </c>
      <c r="DC87" s="387">
        <v>0</v>
      </c>
      <c r="DD87" s="387">
        <v>0</v>
      </c>
      <c r="DE87" s="387">
        <v>0</v>
      </c>
      <c r="DF87" s="387">
        <v>0</v>
      </c>
      <c r="DG87" s="387">
        <v>0</v>
      </c>
      <c r="DH87" s="387">
        <v>0</v>
      </c>
      <c r="DI87" s="387">
        <v>0</v>
      </c>
      <c r="DJ87" s="387">
        <v>0</v>
      </c>
      <c r="DK87" s="387">
        <v>0</v>
      </c>
      <c r="DL87" s="387">
        <v>0</v>
      </c>
      <c r="DM87" s="387">
        <v>0</v>
      </c>
      <c r="DN87" s="387">
        <v>0</v>
      </c>
      <c r="DO87" s="387">
        <v>0</v>
      </c>
      <c r="DP87" s="387">
        <v>0</v>
      </c>
      <c r="DQ87" s="387">
        <v>0</v>
      </c>
      <c r="DR87" s="387">
        <v>0</v>
      </c>
      <c r="DS87" s="387">
        <v>0</v>
      </c>
      <c r="DT87" s="387">
        <v>0</v>
      </c>
      <c r="DU87" s="387">
        <v>0</v>
      </c>
      <c r="DV87" s="387">
        <v>0</v>
      </c>
      <c r="DW87" s="387">
        <v>0</v>
      </c>
    </row>
    <row r="88" spans="1:127" ht="14.25" customHeight="1">
      <c r="A88" s="544"/>
      <c r="B88" s="196" t="s">
        <v>37</v>
      </c>
      <c r="C88" s="156">
        <v>0</v>
      </c>
      <c r="D88" s="156">
        <v>0</v>
      </c>
      <c r="E88" s="156">
        <v>0</v>
      </c>
      <c r="F88" s="156">
        <v>0</v>
      </c>
      <c r="G88" s="156">
        <v>0</v>
      </c>
      <c r="H88" s="156">
        <v>0</v>
      </c>
      <c r="I88" s="156">
        <v>0</v>
      </c>
      <c r="J88" s="156">
        <v>0</v>
      </c>
      <c r="K88" s="156">
        <v>0</v>
      </c>
      <c r="L88" s="156">
        <v>0</v>
      </c>
      <c r="M88" s="156">
        <v>0</v>
      </c>
      <c r="N88" s="156">
        <v>0</v>
      </c>
      <c r="O88" s="156">
        <v>0</v>
      </c>
      <c r="P88" s="156">
        <v>0</v>
      </c>
      <c r="Q88" s="156">
        <v>0</v>
      </c>
      <c r="R88" s="156">
        <v>0</v>
      </c>
      <c r="S88" s="156">
        <v>0</v>
      </c>
      <c r="T88" s="156">
        <v>0</v>
      </c>
      <c r="U88" s="156">
        <v>0</v>
      </c>
      <c r="V88" s="156">
        <v>0</v>
      </c>
      <c r="W88" s="200">
        <v>0</v>
      </c>
      <c r="AA88" s="544"/>
      <c r="AB88" s="196" t="s">
        <v>37</v>
      </c>
      <c r="AC88" s="156">
        <v>0</v>
      </c>
      <c r="AD88" s="156">
        <v>0</v>
      </c>
      <c r="AE88" s="156">
        <v>0</v>
      </c>
      <c r="AF88" s="156">
        <v>0</v>
      </c>
      <c r="AG88" s="156">
        <v>0</v>
      </c>
      <c r="AH88" s="156">
        <v>0</v>
      </c>
      <c r="AI88" s="156">
        <v>0</v>
      </c>
      <c r="AJ88" s="156">
        <v>0</v>
      </c>
      <c r="AK88" s="156">
        <v>0</v>
      </c>
      <c r="AL88" s="156">
        <v>0</v>
      </c>
      <c r="AM88" s="156">
        <v>0</v>
      </c>
      <c r="AN88" s="156">
        <v>0</v>
      </c>
      <c r="AO88" s="156">
        <v>0</v>
      </c>
      <c r="AP88" s="156">
        <v>0</v>
      </c>
      <c r="AQ88" s="156">
        <v>0</v>
      </c>
      <c r="AR88" s="156">
        <v>0</v>
      </c>
      <c r="AS88" s="156">
        <v>0</v>
      </c>
      <c r="AT88" s="156">
        <v>0</v>
      </c>
      <c r="AU88" s="156">
        <v>0</v>
      </c>
      <c r="AV88" s="156">
        <v>0</v>
      </c>
      <c r="AW88" s="200">
        <v>0</v>
      </c>
      <c r="BF88" s="538"/>
      <c r="BG88" s="363" t="s">
        <v>37</v>
      </c>
      <c r="BH88" s="387">
        <v>0</v>
      </c>
      <c r="BI88" s="387">
        <v>0</v>
      </c>
      <c r="BJ88" s="387">
        <v>0</v>
      </c>
      <c r="BK88" s="387">
        <v>0</v>
      </c>
      <c r="BL88" s="387">
        <v>0</v>
      </c>
      <c r="BM88" s="387">
        <v>0</v>
      </c>
      <c r="BN88" s="387">
        <v>0</v>
      </c>
      <c r="BO88" s="387">
        <v>0</v>
      </c>
      <c r="BP88" s="387">
        <v>0</v>
      </c>
      <c r="BQ88" s="387">
        <v>0</v>
      </c>
      <c r="BR88" s="387">
        <v>0</v>
      </c>
      <c r="BS88" s="387">
        <v>0</v>
      </c>
      <c r="BT88" s="387">
        <v>0</v>
      </c>
      <c r="BU88" s="387">
        <v>0</v>
      </c>
      <c r="BV88" s="387">
        <v>0</v>
      </c>
      <c r="BW88" s="387">
        <v>0</v>
      </c>
      <c r="BX88" s="387">
        <v>0</v>
      </c>
      <c r="BY88" s="387">
        <v>0</v>
      </c>
      <c r="BZ88" s="387">
        <v>0</v>
      </c>
      <c r="CA88" s="387">
        <v>0</v>
      </c>
      <c r="CB88" s="387">
        <v>0</v>
      </c>
      <c r="CC88"/>
      <c r="CD88"/>
      <c r="CE88"/>
      <c r="CF88"/>
      <c r="CG88"/>
      <c r="CH88"/>
      <c r="CI88"/>
      <c r="CJ88"/>
      <c r="CK88"/>
      <c r="CL88"/>
      <c r="DA88" s="537"/>
      <c r="DB88" s="390" t="s">
        <v>37</v>
      </c>
      <c r="DC88" s="387">
        <v>0</v>
      </c>
      <c r="DD88" s="387">
        <v>0</v>
      </c>
      <c r="DE88" s="387">
        <v>0</v>
      </c>
      <c r="DF88" s="387">
        <v>0</v>
      </c>
      <c r="DG88" s="387">
        <v>0</v>
      </c>
      <c r="DH88" s="387">
        <v>0</v>
      </c>
      <c r="DI88" s="387">
        <v>0</v>
      </c>
      <c r="DJ88" s="387">
        <v>0</v>
      </c>
      <c r="DK88" s="387">
        <v>0</v>
      </c>
      <c r="DL88" s="387">
        <v>0</v>
      </c>
      <c r="DM88" s="387">
        <v>0</v>
      </c>
      <c r="DN88" s="387">
        <v>0</v>
      </c>
      <c r="DO88" s="387">
        <v>0</v>
      </c>
      <c r="DP88" s="387">
        <v>0</v>
      </c>
      <c r="DQ88" s="387">
        <v>0</v>
      </c>
      <c r="DR88" s="387">
        <v>0</v>
      </c>
      <c r="DS88" s="387">
        <v>0</v>
      </c>
      <c r="DT88" s="387">
        <v>0</v>
      </c>
      <c r="DU88" s="387">
        <v>0</v>
      </c>
      <c r="DV88" s="387">
        <v>0</v>
      </c>
      <c r="DW88" s="387">
        <v>0</v>
      </c>
    </row>
    <row r="89" spans="1:127" ht="14.25" customHeight="1">
      <c r="A89" s="544"/>
      <c r="B89" s="196" t="s">
        <v>140</v>
      </c>
      <c r="C89" s="156">
        <v>0</v>
      </c>
      <c r="D89" s="156">
        <v>0</v>
      </c>
      <c r="E89" s="156">
        <v>0</v>
      </c>
      <c r="F89" s="156">
        <v>0</v>
      </c>
      <c r="G89" s="156">
        <v>0</v>
      </c>
      <c r="H89" s="156">
        <v>0</v>
      </c>
      <c r="I89" s="156">
        <v>0</v>
      </c>
      <c r="J89" s="156">
        <v>0</v>
      </c>
      <c r="K89" s="156">
        <v>0</v>
      </c>
      <c r="L89" s="156">
        <v>0</v>
      </c>
      <c r="M89" s="156">
        <v>0</v>
      </c>
      <c r="N89" s="156">
        <v>0</v>
      </c>
      <c r="O89" s="156">
        <v>0</v>
      </c>
      <c r="P89" s="156">
        <v>0</v>
      </c>
      <c r="Q89" s="156">
        <v>0</v>
      </c>
      <c r="R89" s="156">
        <v>0</v>
      </c>
      <c r="S89" s="156">
        <v>0</v>
      </c>
      <c r="T89" s="156">
        <v>0</v>
      </c>
      <c r="U89" s="156">
        <v>0</v>
      </c>
      <c r="V89" s="156">
        <v>0</v>
      </c>
      <c r="W89" s="200">
        <v>0</v>
      </c>
      <c r="AA89" s="544"/>
      <c r="AB89" s="196" t="s">
        <v>140</v>
      </c>
      <c r="AC89" s="156">
        <v>0</v>
      </c>
      <c r="AD89" s="156">
        <v>0</v>
      </c>
      <c r="AE89" s="156">
        <v>0</v>
      </c>
      <c r="AF89" s="156">
        <v>0</v>
      </c>
      <c r="AG89" s="156">
        <v>0</v>
      </c>
      <c r="AH89" s="156">
        <v>0</v>
      </c>
      <c r="AI89" s="156">
        <v>0</v>
      </c>
      <c r="AJ89" s="156">
        <v>0</v>
      </c>
      <c r="AK89" s="156">
        <v>0</v>
      </c>
      <c r="AL89" s="156">
        <v>0</v>
      </c>
      <c r="AM89" s="156">
        <v>0</v>
      </c>
      <c r="AN89" s="156">
        <v>0</v>
      </c>
      <c r="AO89" s="156">
        <v>0</v>
      </c>
      <c r="AP89" s="156">
        <v>0</v>
      </c>
      <c r="AQ89" s="156">
        <v>0</v>
      </c>
      <c r="AR89" s="156">
        <v>0</v>
      </c>
      <c r="AS89" s="156">
        <v>0</v>
      </c>
      <c r="AT89" s="156">
        <v>0</v>
      </c>
      <c r="AU89" s="156">
        <v>0</v>
      </c>
      <c r="AV89" s="156">
        <v>0</v>
      </c>
      <c r="AW89" s="200">
        <v>0</v>
      </c>
      <c r="BF89" s="538"/>
      <c r="BG89" s="363" t="s">
        <v>140</v>
      </c>
      <c r="BH89" s="387">
        <v>0</v>
      </c>
      <c r="BI89" s="387">
        <v>0</v>
      </c>
      <c r="BJ89" s="387">
        <v>0</v>
      </c>
      <c r="BK89" s="387">
        <v>0</v>
      </c>
      <c r="BL89" s="387">
        <v>0</v>
      </c>
      <c r="BM89" s="387">
        <v>0</v>
      </c>
      <c r="BN89" s="387">
        <v>0</v>
      </c>
      <c r="BO89" s="387">
        <v>0</v>
      </c>
      <c r="BP89" s="387">
        <v>0</v>
      </c>
      <c r="BQ89" s="387">
        <v>0</v>
      </c>
      <c r="BR89" s="387">
        <v>0</v>
      </c>
      <c r="BS89" s="387">
        <v>0</v>
      </c>
      <c r="BT89" s="387">
        <v>0</v>
      </c>
      <c r="BU89" s="387">
        <v>0</v>
      </c>
      <c r="BV89" s="387">
        <v>0</v>
      </c>
      <c r="BW89" s="387">
        <v>0</v>
      </c>
      <c r="BX89" s="387">
        <v>0</v>
      </c>
      <c r="BY89" s="387">
        <v>0</v>
      </c>
      <c r="BZ89" s="387">
        <v>0</v>
      </c>
      <c r="CA89" s="387">
        <v>0</v>
      </c>
      <c r="CB89" s="387">
        <v>0</v>
      </c>
      <c r="CC89"/>
      <c r="CD89"/>
      <c r="CE89" s="541" t="s">
        <v>1452</v>
      </c>
      <c r="CF89" s="541"/>
      <c r="CG89" s="541"/>
      <c r="CH89" s="541"/>
      <c r="CI89" s="541"/>
      <c r="CJ89" s="541"/>
      <c r="CK89" s="541"/>
      <c r="CL89" s="541"/>
      <c r="DA89" s="537"/>
      <c r="DB89" s="390" t="s">
        <v>140</v>
      </c>
      <c r="DC89" s="387">
        <v>0</v>
      </c>
      <c r="DD89" s="387">
        <v>0</v>
      </c>
      <c r="DE89" s="387">
        <v>0</v>
      </c>
      <c r="DF89" s="387">
        <v>0</v>
      </c>
      <c r="DG89" s="387">
        <v>0</v>
      </c>
      <c r="DH89" s="387">
        <v>0</v>
      </c>
      <c r="DI89" s="387">
        <v>0</v>
      </c>
      <c r="DJ89" s="387">
        <v>0</v>
      </c>
      <c r="DK89" s="387">
        <v>0</v>
      </c>
      <c r="DL89" s="387">
        <v>0</v>
      </c>
      <c r="DM89" s="387">
        <v>0</v>
      </c>
      <c r="DN89" s="387">
        <v>0</v>
      </c>
      <c r="DO89" s="387">
        <v>0</v>
      </c>
      <c r="DP89" s="387">
        <v>0</v>
      </c>
      <c r="DQ89" s="387">
        <v>0</v>
      </c>
      <c r="DR89" s="387">
        <v>0</v>
      </c>
      <c r="DS89" s="387">
        <v>0</v>
      </c>
      <c r="DT89" s="387">
        <v>0</v>
      </c>
      <c r="DU89" s="387">
        <v>0</v>
      </c>
      <c r="DV89" s="387">
        <v>0</v>
      </c>
      <c r="DW89" s="387">
        <v>0</v>
      </c>
    </row>
    <row r="90" spans="1:127" ht="14.25" customHeight="1">
      <c r="A90" s="544"/>
      <c r="B90" s="196" t="s">
        <v>48</v>
      </c>
      <c r="C90" s="156">
        <v>0</v>
      </c>
      <c r="D90" s="156">
        <v>0</v>
      </c>
      <c r="E90" s="156">
        <v>0</v>
      </c>
      <c r="F90" s="156">
        <v>0</v>
      </c>
      <c r="G90" s="156">
        <v>0</v>
      </c>
      <c r="H90" s="156">
        <v>0</v>
      </c>
      <c r="I90" s="156">
        <v>0</v>
      </c>
      <c r="J90" s="156">
        <v>0</v>
      </c>
      <c r="K90" s="156">
        <v>0</v>
      </c>
      <c r="L90" s="156">
        <v>0</v>
      </c>
      <c r="M90" s="156">
        <v>0</v>
      </c>
      <c r="N90" s="156">
        <v>0</v>
      </c>
      <c r="O90" s="156">
        <v>0</v>
      </c>
      <c r="P90" s="156">
        <v>0</v>
      </c>
      <c r="Q90" s="156">
        <v>0</v>
      </c>
      <c r="R90" s="156">
        <v>0</v>
      </c>
      <c r="S90" s="156">
        <v>0</v>
      </c>
      <c r="T90" s="156">
        <v>0</v>
      </c>
      <c r="U90" s="156">
        <v>0</v>
      </c>
      <c r="V90" s="156">
        <v>0</v>
      </c>
      <c r="W90" s="200">
        <v>0</v>
      </c>
      <c r="AA90" s="544"/>
      <c r="AB90" s="196" t="s">
        <v>48</v>
      </c>
      <c r="AC90" s="156">
        <v>0</v>
      </c>
      <c r="AD90" s="156">
        <v>0</v>
      </c>
      <c r="AE90" s="156">
        <v>0</v>
      </c>
      <c r="AF90" s="156">
        <v>0</v>
      </c>
      <c r="AG90" s="156">
        <v>0</v>
      </c>
      <c r="AH90" s="156">
        <v>0</v>
      </c>
      <c r="AI90" s="156">
        <v>0</v>
      </c>
      <c r="AJ90" s="156">
        <v>0</v>
      </c>
      <c r="AK90" s="156">
        <v>0</v>
      </c>
      <c r="AL90" s="156">
        <v>0</v>
      </c>
      <c r="AM90" s="156">
        <v>0</v>
      </c>
      <c r="AN90" s="156">
        <v>0</v>
      </c>
      <c r="AO90" s="156">
        <v>0</v>
      </c>
      <c r="AP90" s="156">
        <v>0</v>
      </c>
      <c r="AQ90" s="156">
        <v>0</v>
      </c>
      <c r="AR90" s="156">
        <v>0</v>
      </c>
      <c r="AS90" s="156">
        <v>0</v>
      </c>
      <c r="AT90" s="156">
        <v>0</v>
      </c>
      <c r="AU90" s="156">
        <v>0</v>
      </c>
      <c r="AV90" s="156">
        <v>0</v>
      </c>
      <c r="AW90" s="200">
        <v>0</v>
      </c>
      <c r="BF90" s="538"/>
      <c r="BG90" s="363" t="s">
        <v>48</v>
      </c>
      <c r="BH90" s="387">
        <v>0</v>
      </c>
      <c r="BI90" s="387">
        <v>0</v>
      </c>
      <c r="BJ90" s="387">
        <v>0</v>
      </c>
      <c r="BK90" s="387">
        <v>0</v>
      </c>
      <c r="BL90" s="387">
        <v>0</v>
      </c>
      <c r="BM90" s="387">
        <v>0</v>
      </c>
      <c r="BN90" s="387">
        <v>0</v>
      </c>
      <c r="BO90" s="387">
        <v>0</v>
      </c>
      <c r="BP90" s="387">
        <v>0</v>
      </c>
      <c r="BQ90" s="387">
        <v>0</v>
      </c>
      <c r="BR90" s="387">
        <v>0</v>
      </c>
      <c r="BS90" s="387">
        <v>0</v>
      </c>
      <c r="BT90" s="387">
        <v>0</v>
      </c>
      <c r="BU90" s="387">
        <v>0</v>
      </c>
      <c r="BV90" s="387">
        <v>0</v>
      </c>
      <c r="BW90" s="387">
        <v>0</v>
      </c>
      <c r="BX90" s="387">
        <v>0</v>
      </c>
      <c r="BY90" s="387">
        <v>0</v>
      </c>
      <c r="BZ90" s="387">
        <v>0</v>
      </c>
      <c r="CA90" s="387">
        <v>0</v>
      </c>
      <c r="CB90" s="387">
        <v>0</v>
      </c>
      <c r="CC90"/>
      <c r="CD90"/>
      <c r="CE90" s="196" t="s">
        <v>608</v>
      </c>
      <c r="CF90" s="196" t="s">
        <v>609</v>
      </c>
      <c r="CG90" s="196" t="s">
        <v>610</v>
      </c>
      <c r="CH90" s="196" t="s">
        <v>1453</v>
      </c>
      <c r="CI90" s="196" t="s">
        <v>612</v>
      </c>
      <c r="CJ90" s="196" t="s">
        <v>1386</v>
      </c>
      <c r="CK90" s="196" t="s">
        <v>588</v>
      </c>
      <c r="CL90" s="196" t="s">
        <v>192</v>
      </c>
      <c r="DA90" s="537"/>
      <c r="DB90" s="390" t="s">
        <v>48</v>
      </c>
      <c r="DC90" s="387">
        <v>0</v>
      </c>
      <c r="DD90" s="387">
        <v>0</v>
      </c>
      <c r="DE90" s="387">
        <v>0</v>
      </c>
      <c r="DF90" s="387">
        <v>0</v>
      </c>
      <c r="DG90" s="387">
        <v>0</v>
      </c>
      <c r="DH90" s="387">
        <v>0</v>
      </c>
      <c r="DI90" s="387">
        <v>0</v>
      </c>
      <c r="DJ90" s="387">
        <v>0</v>
      </c>
      <c r="DK90" s="387">
        <v>0</v>
      </c>
      <c r="DL90" s="387">
        <v>0</v>
      </c>
      <c r="DM90" s="387">
        <v>0</v>
      </c>
      <c r="DN90" s="387">
        <v>0</v>
      </c>
      <c r="DO90" s="387">
        <v>0</v>
      </c>
      <c r="DP90" s="387">
        <v>0</v>
      </c>
      <c r="DQ90" s="387">
        <v>0</v>
      </c>
      <c r="DR90" s="387">
        <v>0</v>
      </c>
      <c r="DS90" s="387">
        <v>0</v>
      </c>
      <c r="DT90" s="387">
        <v>0</v>
      </c>
      <c r="DU90" s="387">
        <v>0</v>
      </c>
      <c r="DV90" s="387">
        <v>0</v>
      </c>
      <c r="DW90" s="387">
        <v>0</v>
      </c>
    </row>
    <row r="91" spans="1:127" ht="14.25" customHeight="1">
      <c r="A91" s="544"/>
      <c r="B91" s="196" t="s">
        <v>141</v>
      </c>
      <c r="C91" s="156">
        <v>0</v>
      </c>
      <c r="D91" s="156">
        <v>0</v>
      </c>
      <c r="E91" s="156">
        <v>0</v>
      </c>
      <c r="F91" s="156">
        <v>0</v>
      </c>
      <c r="G91" s="156">
        <v>0</v>
      </c>
      <c r="H91" s="156">
        <v>0</v>
      </c>
      <c r="I91" s="156">
        <v>0</v>
      </c>
      <c r="J91" s="156">
        <v>0</v>
      </c>
      <c r="K91" s="156">
        <v>0</v>
      </c>
      <c r="L91" s="156">
        <v>0</v>
      </c>
      <c r="M91" s="156">
        <v>0</v>
      </c>
      <c r="N91" s="156">
        <v>0</v>
      </c>
      <c r="O91" s="156">
        <v>0</v>
      </c>
      <c r="P91" s="156">
        <v>0</v>
      </c>
      <c r="Q91" s="156">
        <v>0</v>
      </c>
      <c r="R91" s="156">
        <v>0</v>
      </c>
      <c r="S91" s="156">
        <v>0</v>
      </c>
      <c r="T91" s="156">
        <v>0</v>
      </c>
      <c r="U91" s="156">
        <v>0</v>
      </c>
      <c r="V91" s="156">
        <v>0</v>
      </c>
      <c r="W91" s="200">
        <v>0</v>
      </c>
      <c r="AA91" s="544"/>
      <c r="AB91" s="196" t="s">
        <v>141</v>
      </c>
      <c r="AC91" s="156">
        <v>0</v>
      </c>
      <c r="AD91" s="156">
        <v>0</v>
      </c>
      <c r="AE91" s="156">
        <v>0</v>
      </c>
      <c r="AF91" s="156">
        <v>0</v>
      </c>
      <c r="AG91" s="156">
        <v>0</v>
      </c>
      <c r="AH91" s="156">
        <v>0</v>
      </c>
      <c r="AI91" s="156">
        <v>0</v>
      </c>
      <c r="AJ91" s="156">
        <v>0</v>
      </c>
      <c r="AK91" s="156">
        <v>0</v>
      </c>
      <c r="AL91" s="156">
        <v>0</v>
      </c>
      <c r="AM91" s="156">
        <v>0</v>
      </c>
      <c r="AN91" s="156">
        <v>0</v>
      </c>
      <c r="AO91" s="156">
        <v>0</v>
      </c>
      <c r="AP91" s="156">
        <v>0</v>
      </c>
      <c r="AQ91" s="156">
        <v>0</v>
      </c>
      <c r="AR91" s="156">
        <v>0</v>
      </c>
      <c r="AS91" s="156">
        <v>0</v>
      </c>
      <c r="AT91" s="156">
        <v>0</v>
      </c>
      <c r="AU91" s="156">
        <v>0</v>
      </c>
      <c r="AV91" s="156">
        <v>0</v>
      </c>
      <c r="AW91" s="200">
        <v>0</v>
      </c>
      <c r="BF91" s="538"/>
      <c r="BG91" s="363" t="s">
        <v>141</v>
      </c>
      <c r="BH91" s="387">
        <v>0</v>
      </c>
      <c r="BI91" s="387">
        <v>0</v>
      </c>
      <c r="BJ91" s="387">
        <v>0</v>
      </c>
      <c r="BK91" s="387">
        <v>0</v>
      </c>
      <c r="BL91" s="387">
        <v>0</v>
      </c>
      <c r="BM91" s="387">
        <v>0</v>
      </c>
      <c r="BN91" s="387">
        <v>0</v>
      </c>
      <c r="BO91" s="387">
        <v>0</v>
      </c>
      <c r="BP91" s="387">
        <v>0</v>
      </c>
      <c r="BQ91" s="387">
        <v>0</v>
      </c>
      <c r="BR91" s="387">
        <v>0</v>
      </c>
      <c r="BS91" s="387">
        <v>0</v>
      </c>
      <c r="BT91" s="387">
        <v>0</v>
      </c>
      <c r="BU91" s="387">
        <v>0</v>
      </c>
      <c r="BV91" s="387">
        <v>0</v>
      </c>
      <c r="BW91" s="387">
        <v>0</v>
      </c>
      <c r="BX91" s="387">
        <v>0</v>
      </c>
      <c r="BY91" s="387">
        <v>0</v>
      </c>
      <c r="BZ91" s="387">
        <v>0</v>
      </c>
      <c r="CA91" s="387">
        <v>0</v>
      </c>
      <c r="CB91" s="387">
        <v>0</v>
      </c>
      <c r="CC91"/>
      <c r="CD91" s="196" t="s">
        <v>139</v>
      </c>
      <c r="CE91" s="396">
        <v>1.3021634827492079E-2</v>
      </c>
      <c r="CF91" s="397">
        <v>1.0099506927828017E-2</v>
      </c>
      <c r="CG91" s="397">
        <v>-1.4925392328582476E-2</v>
      </c>
      <c r="CH91" s="345">
        <v>0</v>
      </c>
      <c r="CI91" s="345">
        <v>0</v>
      </c>
      <c r="CJ91" s="345">
        <v>0</v>
      </c>
      <c r="CK91" s="345">
        <v>0</v>
      </c>
      <c r="CL91" s="397">
        <v>-2.7751683440854213E-3</v>
      </c>
      <c r="DA91" s="537"/>
      <c r="DB91" s="390" t="s">
        <v>141</v>
      </c>
      <c r="DC91" s="387">
        <v>0</v>
      </c>
      <c r="DD91" s="387">
        <v>0</v>
      </c>
      <c r="DE91" s="387">
        <v>0</v>
      </c>
      <c r="DF91" s="387">
        <v>0</v>
      </c>
      <c r="DG91" s="387">
        <v>0</v>
      </c>
      <c r="DH91" s="387">
        <v>0</v>
      </c>
      <c r="DI91" s="387">
        <v>0</v>
      </c>
      <c r="DJ91" s="387">
        <v>0</v>
      </c>
      <c r="DK91" s="387">
        <v>0</v>
      </c>
      <c r="DL91" s="387">
        <v>0</v>
      </c>
      <c r="DM91" s="387">
        <v>0</v>
      </c>
      <c r="DN91" s="387">
        <v>0</v>
      </c>
      <c r="DO91" s="387">
        <v>0</v>
      </c>
      <c r="DP91" s="387">
        <v>0</v>
      </c>
      <c r="DQ91" s="387">
        <v>0</v>
      </c>
      <c r="DR91" s="387">
        <v>0</v>
      </c>
      <c r="DS91" s="387">
        <v>0</v>
      </c>
      <c r="DT91" s="387">
        <v>0</v>
      </c>
      <c r="DU91" s="387">
        <v>0</v>
      </c>
      <c r="DV91" s="387">
        <v>0</v>
      </c>
      <c r="DW91" s="387">
        <v>0</v>
      </c>
    </row>
    <row r="92" spans="1:127" ht="14.25" customHeight="1">
      <c r="A92" s="544"/>
      <c r="B92" s="196" t="s">
        <v>142</v>
      </c>
      <c r="C92" s="156">
        <v>0</v>
      </c>
      <c r="D92" s="156">
        <v>0</v>
      </c>
      <c r="E92" s="156">
        <v>0</v>
      </c>
      <c r="F92" s="156">
        <v>0</v>
      </c>
      <c r="G92" s="156">
        <v>0</v>
      </c>
      <c r="H92" s="156">
        <v>0</v>
      </c>
      <c r="I92" s="156">
        <v>0</v>
      </c>
      <c r="J92" s="156">
        <v>0</v>
      </c>
      <c r="K92" s="156">
        <v>0</v>
      </c>
      <c r="L92" s="156">
        <v>0</v>
      </c>
      <c r="M92" s="156">
        <v>0</v>
      </c>
      <c r="N92" s="156">
        <v>0</v>
      </c>
      <c r="O92" s="156">
        <v>0</v>
      </c>
      <c r="P92" s="156">
        <v>0</v>
      </c>
      <c r="Q92" s="156">
        <v>0</v>
      </c>
      <c r="R92" s="156">
        <v>0</v>
      </c>
      <c r="S92" s="156">
        <v>0</v>
      </c>
      <c r="T92" s="156">
        <v>0</v>
      </c>
      <c r="U92" s="156">
        <v>0</v>
      </c>
      <c r="V92" s="156">
        <v>0</v>
      </c>
      <c r="W92" s="200">
        <v>0</v>
      </c>
      <c r="AA92" s="544"/>
      <c r="AB92" s="196" t="s">
        <v>142</v>
      </c>
      <c r="AC92" s="156">
        <v>0</v>
      </c>
      <c r="AD92" s="156">
        <v>0</v>
      </c>
      <c r="AE92" s="156">
        <v>0</v>
      </c>
      <c r="AF92" s="156">
        <v>0</v>
      </c>
      <c r="AG92" s="156">
        <v>0</v>
      </c>
      <c r="AH92" s="156">
        <v>0</v>
      </c>
      <c r="AI92" s="156">
        <v>0</v>
      </c>
      <c r="AJ92" s="156">
        <v>0</v>
      </c>
      <c r="AK92" s="156">
        <v>0</v>
      </c>
      <c r="AL92" s="156">
        <v>0</v>
      </c>
      <c r="AM92" s="156">
        <v>0</v>
      </c>
      <c r="AN92" s="156">
        <v>0</v>
      </c>
      <c r="AO92" s="156">
        <v>0</v>
      </c>
      <c r="AP92" s="156">
        <v>0</v>
      </c>
      <c r="AQ92" s="156">
        <v>0</v>
      </c>
      <c r="AR92" s="156">
        <v>0</v>
      </c>
      <c r="AS92" s="156">
        <v>0</v>
      </c>
      <c r="AT92" s="156">
        <v>0</v>
      </c>
      <c r="AU92" s="156">
        <v>0</v>
      </c>
      <c r="AV92" s="156">
        <v>0</v>
      </c>
      <c r="AW92" s="200">
        <v>0</v>
      </c>
      <c r="BF92" s="538"/>
      <c r="BG92" s="363" t="s">
        <v>142</v>
      </c>
      <c r="BH92" s="387">
        <v>0</v>
      </c>
      <c r="BI92" s="387">
        <v>0</v>
      </c>
      <c r="BJ92" s="387">
        <v>0</v>
      </c>
      <c r="BK92" s="387">
        <v>0</v>
      </c>
      <c r="BL92" s="387">
        <v>0</v>
      </c>
      <c r="BM92" s="387">
        <v>0</v>
      </c>
      <c r="BN92" s="387">
        <v>0</v>
      </c>
      <c r="BO92" s="387">
        <v>0</v>
      </c>
      <c r="BP92" s="387">
        <v>0</v>
      </c>
      <c r="BQ92" s="387">
        <v>0</v>
      </c>
      <c r="BR92" s="387">
        <v>0</v>
      </c>
      <c r="BS92" s="387">
        <v>0</v>
      </c>
      <c r="BT92" s="387">
        <v>0</v>
      </c>
      <c r="BU92" s="387">
        <v>0</v>
      </c>
      <c r="BV92" s="387">
        <v>0</v>
      </c>
      <c r="BW92" s="387">
        <v>0</v>
      </c>
      <c r="BX92" s="387">
        <v>0</v>
      </c>
      <c r="BY92" s="387">
        <v>0</v>
      </c>
      <c r="BZ92" s="387">
        <v>0</v>
      </c>
      <c r="CA92" s="387">
        <v>0</v>
      </c>
      <c r="CB92" s="387">
        <v>0</v>
      </c>
      <c r="CC92"/>
      <c r="CD92" s="196" t="s">
        <v>37</v>
      </c>
      <c r="CE92" s="395">
        <v>7.3965290969479902E-2</v>
      </c>
      <c r="CF92" s="141">
        <v>-2.0992117155010037E-2</v>
      </c>
      <c r="CG92" s="141">
        <v>9.7393298269989881E-3</v>
      </c>
      <c r="CH92" s="345">
        <v>0</v>
      </c>
      <c r="CI92" s="345">
        <v>0</v>
      </c>
      <c r="CJ92" s="345">
        <v>0</v>
      </c>
      <c r="CK92" s="345">
        <v>0</v>
      </c>
      <c r="CL92" s="141">
        <v>2.5668313331866921E-2</v>
      </c>
      <c r="DA92" s="537"/>
      <c r="DB92" s="390" t="s">
        <v>142</v>
      </c>
      <c r="DC92" s="387">
        <v>0</v>
      </c>
      <c r="DD92" s="387">
        <v>0</v>
      </c>
      <c r="DE92" s="387">
        <v>0</v>
      </c>
      <c r="DF92" s="387">
        <v>0</v>
      </c>
      <c r="DG92" s="387">
        <v>0</v>
      </c>
      <c r="DH92" s="387">
        <v>0</v>
      </c>
      <c r="DI92" s="387">
        <v>0</v>
      </c>
      <c r="DJ92" s="387">
        <v>0</v>
      </c>
      <c r="DK92" s="387">
        <v>0</v>
      </c>
      <c r="DL92" s="387">
        <v>0</v>
      </c>
      <c r="DM92" s="387">
        <v>0</v>
      </c>
      <c r="DN92" s="387">
        <v>0</v>
      </c>
      <c r="DO92" s="387">
        <v>0</v>
      </c>
      <c r="DP92" s="387">
        <v>0</v>
      </c>
      <c r="DQ92" s="387">
        <v>0</v>
      </c>
      <c r="DR92" s="387">
        <v>0</v>
      </c>
      <c r="DS92" s="387">
        <v>0</v>
      </c>
      <c r="DT92" s="387">
        <v>0</v>
      </c>
      <c r="DU92" s="387">
        <v>0</v>
      </c>
      <c r="DV92" s="387">
        <v>0</v>
      </c>
      <c r="DW92" s="387">
        <v>0</v>
      </c>
    </row>
    <row r="93" spans="1:127" ht="14.25" customHeight="1">
      <c r="A93" s="544"/>
      <c r="B93" s="196" t="s">
        <v>143</v>
      </c>
      <c r="C93" s="156">
        <v>0</v>
      </c>
      <c r="D93" s="156">
        <v>0</v>
      </c>
      <c r="E93" s="156">
        <v>0</v>
      </c>
      <c r="F93" s="156">
        <v>0</v>
      </c>
      <c r="G93" s="156">
        <v>0</v>
      </c>
      <c r="H93" s="156">
        <v>0</v>
      </c>
      <c r="I93" s="156">
        <v>0</v>
      </c>
      <c r="J93" s="156">
        <v>0</v>
      </c>
      <c r="K93" s="156">
        <v>0</v>
      </c>
      <c r="L93" s="156">
        <v>0</v>
      </c>
      <c r="M93" s="156">
        <v>0</v>
      </c>
      <c r="N93" s="156">
        <v>0</v>
      </c>
      <c r="O93" s="156">
        <v>0</v>
      </c>
      <c r="P93" s="156">
        <v>0</v>
      </c>
      <c r="Q93" s="156">
        <v>0</v>
      </c>
      <c r="R93" s="156">
        <v>0</v>
      </c>
      <c r="S93" s="156">
        <v>0</v>
      </c>
      <c r="T93" s="156">
        <v>0</v>
      </c>
      <c r="U93" s="156">
        <v>0</v>
      </c>
      <c r="V93" s="156">
        <v>0</v>
      </c>
      <c r="W93" s="200">
        <v>0</v>
      </c>
      <c r="AA93" s="544"/>
      <c r="AB93" s="196" t="s">
        <v>143</v>
      </c>
      <c r="AC93" s="156">
        <v>0</v>
      </c>
      <c r="AD93" s="156">
        <v>0</v>
      </c>
      <c r="AE93" s="156">
        <v>0</v>
      </c>
      <c r="AF93" s="156">
        <v>0</v>
      </c>
      <c r="AG93" s="156">
        <v>0</v>
      </c>
      <c r="AH93" s="156">
        <v>0</v>
      </c>
      <c r="AI93" s="156">
        <v>0</v>
      </c>
      <c r="AJ93" s="156">
        <v>0</v>
      </c>
      <c r="AK93" s="156">
        <v>0</v>
      </c>
      <c r="AL93" s="156">
        <v>0</v>
      </c>
      <c r="AM93" s="156">
        <v>0</v>
      </c>
      <c r="AN93" s="156">
        <v>0</v>
      </c>
      <c r="AO93" s="156">
        <v>0</v>
      </c>
      <c r="AP93" s="156">
        <v>0</v>
      </c>
      <c r="AQ93" s="156">
        <v>0</v>
      </c>
      <c r="AR93" s="156">
        <v>0</v>
      </c>
      <c r="AS93" s="156">
        <v>0</v>
      </c>
      <c r="AT93" s="156">
        <v>0</v>
      </c>
      <c r="AU93" s="156">
        <v>0</v>
      </c>
      <c r="AV93" s="156">
        <v>0</v>
      </c>
      <c r="AW93" s="200">
        <v>0</v>
      </c>
      <c r="BF93" s="538"/>
      <c r="BG93" s="363" t="s">
        <v>143</v>
      </c>
      <c r="BH93" s="387">
        <v>0</v>
      </c>
      <c r="BI93" s="387">
        <v>0</v>
      </c>
      <c r="BJ93" s="387">
        <v>0</v>
      </c>
      <c r="BK93" s="387">
        <v>0</v>
      </c>
      <c r="BL93" s="387">
        <v>0</v>
      </c>
      <c r="BM93" s="387">
        <v>0</v>
      </c>
      <c r="BN93" s="387">
        <v>0</v>
      </c>
      <c r="BO93" s="387">
        <v>0</v>
      </c>
      <c r="BP93" s="387">
        <v>0</v>
      </c>
      <c r="BQ93" s="387">
        <v>0</v>
      </c>
      <c r="BR93" s="387">
        <v>0</v>
      </c>
      <c r="BS93" s="387">
        <v>0</v>
      </c>
      <c r="BT93" s="387">
        <v>0</v>
      </c>
      <c r="BU93" s="387">
        <v>0</v>
      </c>
      <c r="BV93" s="387">
        <v>0</v>
      </c>
      <c r="BW93" s="387">
        <v>0</v>
      </c>
      <c r="BX93" s="387">
        <v>0</v>
      </c>
      <c r="BY93" s="387">
        <v>0</v>
      </c>
      <c r="BZ93" s="387">
        <v>0</v>
      </c>
      <c r="CA93" s="387">
        <v>0</v>
      </c>
      <c r="CB93" s="387">
        <v>0</v>
      </c>
      <c r="CC93"/>
      <c r="CD93" s="196" t="s">
        <v>140</v>
      </c>
      <c r="CE93" s="395">
        <v>1.5820821749430003E-2</v>
      </c>
      <c r="CF93" s="141">
        <v>-1.3173997575332108E-2</v>
      </c>
      <c r="CG93" s="141">
        <v>-2.6699511841091206E-2</v>
      </c>
      <c r="CH93" s="345">
        <v>0</v>
      </c>
      <c r="CI93" s="345">
        <v>0</v>
      </c>
      <c r="CJ93" s="345">
        <v>0</v>
      </c>
      <c r="CK93" s="345">
        <v>0</v>
      </c>
      <c r="CL93" s="141">
        <v>-4.3555007679780822E-3</v>
      </c>
      <c r="DA93" s="537"/>
      <c r="DB93" s="390" t="s">
        <v>143</v>
      </c>
      <c r="DC93" s="387">
        <v>0</v>
      </c>
      <c r="DD93" s="387">
        <v>0</v>
      </c>
      <c r="DE93" s="387">
        <v>0</v>
      </c>
      <c r="DF93" s="387">
        <v>0</v>
      </c>
      <c r="DG93" s="387">
        <v>0</v>
      </c>
      <c r="DH93" s="387">
        <v>0</v>
      </c>
      <c r="DI93" s="387">
        <v>0</v>
      </c>
      <c r="DJ93" s="387">
        <v>0</v>
      </c>
      <c r="DK93" s="387">
        <v>0</v>
      </c>
      <c r="DL93" s="387">
        <v>0</v>
      </c>
      <c r="DM93" s="387">
        <v>0</v>
      </c>
      <c r="DN93" s="387">
        <v>0</v>
      </c>
      <c r="DO93" s="387">
        <v>0</v>
      </c>
      <c r="DP93" s="387">
        <v>0</v>
      </c>
      <c r="DQ93" s="387">
        <v>0</v>
      </c>
      <c r="DR93" s="387">
        <v>0</v>
      </c>
      <c r="DS93" s="387">
        <v>0</v>
      </c>
      <c r="DT93" s="387">
        <v>0</v>
      </c>
      <c r="DU93" s="387">
        <v>0</v>
      </c>
      <c r="DV93" s="387">
        <v>0</v>
      </c>
      <c r="DW93" s="387">
        <v>0</v>
      </c>
    </row>
    <row r="94" spans="1:127" ht="14.25" customHeight="1">
      <c r="A94" s="544"/>
      <c r="B94" s="196" t="s">
        <v>144</v>
      </c>
      <c r="C94" s="156">
        <v>0</v>
      </c>
      <c r="D94" s="156">
        <v>0</v>
      </c>
      <c r="E94" s="156">
        <v>0</v>
      </c>
      <c r="F94" s="156">
        <v>0</v>
      </c>
      <c r="G94" s="156">
        <v>0</v>
      </c>
      <c r="H94" s="156">
        <v>0</v>
      </c>
      <c r="I94" s="156">
        <v>0</v>
      </c>
      <c r="J94" s="156">
        <v>0</v>
      </c>
      <c r="K94" s="156">
        <v>0</v>
      </c>
      <c r="L94" s="156">
        <v>0</v>
      </c>
      <c r="M94" s="156">
        <v>0</v>
      </c>
      <c r="N94" s="156">
        <v>0</v>
      </c>
      <c r="O94" s="156">
        <v>0</v>
      </c>
      <c r="P94" s="156">
        <v>0</v>
      </c>
      <c r="Q94" s="156">
        <v>0</v>
      </c>
      <c r="R94" s="156">
        <v>0</v>
      </c>
      <c r="S94" s="156">
        <v>0</v>
      </c>
      <c r="T94" s="156">
        <v>0</v>
      </c>
      <c r="U94" s="156">
        <v>0</v>
      </c>
      <c r="V94" s="156">
        <v>0</v>
      </c>
      <c r="W94" s="200">
        <v>0</v>
      </c>
      <c r="AA94" s="544"/>
      <c r="AB94" s="196" t="s">
        <v>144</v>
      </c>
      <c r="AC94" s="156">
        <v>0</v>
      </c>
      <c r="AD94" s="156">
        <v>0</v>
      </c>
      <c r="AE94" s="156">
        <v>0</v>
      </c>
      <c r="AF94" s="156">
        <v>0</v>
      </c>
      <c r="AG94" s="156">
        <v>0</v>
      </c>
      <c r="AH94" s="156">
        <v>0</v>
      </c>
      <c r="AI94" s="156">
        <v>0</v>
      </c>
      <c r="AJ94" s="156">
        <v>0</v>
      </c>
      <c r="AK94" s="156">
        <v>0</v>
      </c>
      <c r="AL94" s="156">
        <v>0</v>
      </c>
      <c r="AM94" s="156">
        <v>0</v>
      </c>
      <c r="AN94" s="156">
        <v>0</v>
      </c>
      <c r="AO94" s="156">
        <v>0</v>
      </c>
      <c r="AP94" s="156">
        <v>0</v>
      </c>
      <c r="AQ94" s="156">
        <v>0</v>
      </c>
      <c r="AR94" s="156">
        <v>0</v>
      </c>
      <c r="AS94" s="156">
        <v>0</v>
      </c>
      <c r="AT94" s="156">
        <v>0</v>
      </c>
      <c r="AU94" s="156">
        <v>0</v>
      </c>
      <c r="AV94" s="156">
        <v>0</v>
      </c>
      <c r="AW94" s="200">
        <v>0</v>
      </c>
      <c r="BF94" s="538"/>
      <c r="BG94" s="363" t="s">
        <v>144</v>
      </c>
      <c r="BH94" s="387">
        <v>0</v>
      </c>
      <c r="BI94" s="387">
        <v>0</v>
      </c>
      <c r="BJ94" s="387">
        <v>0</v>
      </c>
      <c r="BK94" s="387">
        <v>0</v>
      </c>
      <c r="BL94" s="387">
        <v>0</v>
      </c>
      <c r="BM94" s="387">
        <v>0</v>
      </c>
      <c r="BN94" s="387">
        <v>0</v>
      </c>
      <c r="BO94" s="387">
        <v>0</v>
      </c>
      <c r="BP94" s="387">
        <v>0</v>
      </c>
      <c r="BQ94" s="387">
        <v>0</v>
      </c>
      <c r="BR94" s="387">
        <v>0</v>
      </c>
      <c r="BS94" s="387">
        <v>0</v>
      </c>
      <c r="BT94" s="387">
        <v>0</v>
      </c>
      <c r="BU94" s="387">
        <v>0</v>
      </c>
      <c r="BV94" s="387">
        <v>0</v>
      </c>
      <c r="BW94" s="387">
        <v>0</v>
      </c>
      <c r="BX94" s="387">
        <v>0</v>
      </c>
      <c r="BY94" s="387">
        <v>0</v>
      </c>
      <c r="BZ94" s="387">
        <v>0</v>
      </c>
      <c r="CA94" s="387">
        <v>0</v>
      </c>
      <c r="CB94" s="387">
        <v>0</v>
      </c>
      <c r="CC94"/>
      <c r="CD94" s="196" t="s">
        <v>48</v>
      </c>
      <c r="CE94" s="395">
        <v>2.401476141803105E-2</v>
      </c>
      <c r="CF94" s="141">
        <v>-1.0455987837262204E-2</v>
      </c>
      <c r="CG94" s="141">
        <v>-3.5792075711063021E-2</v>
      </c>
      <c r="CH94" s="345">
        <v>0</v>
      </c>
      <c r="CI94" s="345">
        <v>0</v>
      </c>
      <c r="CJ94" s="345">
        <v>0</v>
      </c>
      <c r="CK94" s="345">
        <v>0</v>
      </c>
      <c r="CL94" s="141">
        <v>-1.2092318218139608E-2</v>
      </c>
      <c r="DA94" s="537"/>
      <c r="DB94" s="390" t="s">
        <v>144</v>
      </c>
      <c r="DC94" s="387">
        <v>0</v>
      </c>
      <c r="DD94" s="387">
        <v>0</v>
      </c>
      <c r="DE94" s="387">
        <v>0</v>
      </c>
      <c r="DF94" s="387">
        <v>0</v>
      </c>
      <c r="DG94" s="387">
        <v>0</v>
      </c>
      <c r="DH94" s="387">
        <v>0</v>
      </c>
      <c r="DI94" s="387">
        <v>0</v>
      </c>
      <c r="DJ94" s="387">
        <v>0</v>
      </c>
      <c r="DK94" s="387">
        <v>0</v>
      </c>
      <c r="DL94" s="387">
        <v>0</v>
      </c>
      <c r="DM94" s="387">
        <v>0</v>
      </c>
      <c r="DN94" s="387">
        <v>0</v>
      </c>
      <c r="DO94" s="387">
        <v>0</v>
      </c>
      <c r="DP94" s="387">
        <v>0</v>
      </c>
      <c r="DQ94" s="387">
        <v>0</v>
      </c>
      <c r="DR94" s="387">
        <v>0</v>
      </c>
      <c r="DS94" s="387">
        <v>0</v>
      </c>
      <c r="DT94" s="387">
        <v>0</v>
      </c>
      <c r="DU94" s="387">
        <v>0</v>
      </c>
      <c r="DV94" s="387">
        <v>0</v>
      </c>
      <c r="DW94" s="387">
        <v>0</v>
      </c>
    </row>
    <row r="95" spans="1:127" ht="14.25" customHeight="1">
      <c r="A95" s="544"/>
      <c r="B95" s="196" t="s">
        <v>61</v>
      </c>
      <c r="C95" s="156">
        <v>0</v>
      </c>
      <c r="D95" s="156">
        <v>0</v>
      </c>
      <c r="E95" s="156">
        <v>0</v>
      </c>
      <c r="F95" s="156">
        <v>0</v>
      </c>
      <c r="G95" s="156">
        <v>0</v>
      </c>
      <c r="H95" s="156">
        <v>0</v>
      </c>
      <c r="I95" s="156">
        <v>0</v>
      </c>
      <c r="J95" s="156">
        <v>0</v>
      </c>
      <c r="K95" s="156">
        <v>0</v>
      </c>
      <c r="L95" s="156">
        <v>0</v>
      </c>
      <c r="M95" s="156">
        <v>0</v>
      </c>
      <c r="N95" s="156">
        <v>0</v>
      </c>
      <c r="O95" s="156">
        <v>0</v>
      </c>
      <c r="P95" s="156">
        <v>0</v>
      </c>
      <c r="Q95" s="156">
        <v>0</v>
      </c>
      <c r="R95" s="156">
        <v>0</v>
      </c>
      <c r="S95" s="156">
        <v>0</v>
      </c>
      <c r="T95" s="156">
        <v>0</v>
      </c>
      <c r="U95" s="156">
        <v>0</v>
      </c>
      <c r="V95" s="156">
        <v>0</v>
      </c>
      <c r="W95" s="200">
        <v>0</v>
      </c>
      <c r="AA95" s="544"/>
      <c r="AB95" s="196" t="s">
        <v>61</v>
      </c>
      <c r="AC95" s="156">
        <v>0</v>
      </c>
      <c r="AD95" s="156">
        <v>0</v>
      </c>
      <c r="AE95" s="156">
        <v>0</v>
      </c>
      <c r="AF95" s="156">
        <v>0</v>
      </c>
      <c r="AG95" s="156">
        <v>0</v>
      </c>
      <c r="AH95" s="156">
        <v>0</v>
      </c>
      <c r="AI95" s="156">
        <v>0</v>
      </c>
      <c r="AJ95" s="156">
        <v>0</v>
      </c>
      <c r="AK95" s="156">
        <v>0</v>
      </c>
      <c r="AL95" s="156">
        <v>0</v>
      </c>
      <c r="AM95" s="156">
        <v>0</v>
      </c>
      <c r="AN95" s="156">
        <v>0</v>
      </c>
      <c r="AO95" s="156">
        <v>0</v>
      </c>
      <c r="AP95" s="156">
        <v>0</v>
      </c>
      <c r="AQ95" s="156">
        <v>0</v>
      </c>
      <c r="AR95" s="156">
        <v>0</v>
      </c>
      <c r="AS95" s="156">
        <v>0</v>
      </c>
      <c r="AT95" s="156">
        <v>0</v>
      </c>
      <c r="AU95" s="156">
        <v>0</v>
      </c>
      <c r="AV95" s="156">
        <v>0</v>
      </c>
      <c r="AW95" s="200">
        <v>0</v>
      </c>
      <c r="BF95" s="538"/>
      <c r="BG95" s="363" t="s">
        <v>61</v>
      </c>
      <c r="BH95" s="387">
        <v>0</v>
      </c>
      <c r="BI95" s="387">
        <v>0</v>
      </c>
      <c r="BJ95" s="387">
        <v>0</v>
      </c>
      <c r="BK95" s="387">
        <v>0</v>
      </c>
      <c r="BL95" s="387">
        <v>0</v>
      </c>
      <c r="BM95" s="387">
        <v>0</v>
      </c>
      <c r="BN95" s="387">
        <v>0</v>
      </c>
      <c r="BO95" s="387">
        <v>0</v>
      </c>
      <c r="BP95" s="387">
        <v>0</v>
      </c>
      <c r="BQ95" s="387">
        <v>0</v>
      </c>
      <c r="BR95" s="387">
        <v>0</v>
      </c>
      <c r="BS95" s="387">
        <v>0</v>
      </c>
      <c r="BT95" s="387">
        <v>0</v>
      </c>
      <c r="BU95" s="387">
        <v>0</v>
      </c>
      <c r="BV95" s="387">
        <v>0</v>
      </c>
      <c r="BW95" s="387">
        <v>0</v>
      </c>
      <c r="BX95" s="387">
        <v>0</v>
      </c>
      <c r="BY95" s="387">
        <v>0</v>
      </c>
      <c r="BZ95" s="387">
        <v>0</v>
      </c>
      <c r="CA95" s="387">
        <v>0</v>
      </c>
      <c r="CB95" s="387">
        <v>0</v>
      </c>
      <c r="CC95"/>
      <c r="CD95" s="196" t="s">
        <v>141</v>
      </c>
      <c r="CE95" s="395">
        <v>1.0899377841123048E-2</v>
      </c>
      <c r="CF95" s="141">
        <v>-6.4741499948328673E-4</v>
      </c>
      <c r="CG95" s="141">
        <v>-2.1284391559904581E-2</v>
      </c>
      <c r="CH95" s="345">
        <v>0</v>
      </c>
      <c r="CI95" s="345">
        <v>0</v>
      </c>
      <c r="CJ95" s="345">
        <v>0</v>
      </c>
      <c r="CK95" s="345">
        <v>0</v>
      </c>
      <c r="CL95" s="141">
        <v>-1.4648580420730806E-3</v>
      </c>
      <c r="DA95" s="537"/>
      <c r="DB95" s="390" t="s">
        <v>61</v>
      </c>
      <c r="DC95" s="387">
        <v>0</v>
      </c>
      <c r="DD95" s="387">
        <v>0</v>
      </c>
      <c r="DE95" s="387">
        <v>0</v>
      </c>
      <c r="DF95" s="387">
        <v>0</v>
      </c>
      <c r="DG95" s="387">
        <v>0</v>
      </c>
      <c r="DH95" s="387">
        <v>0</v>
      </c>
      <c r="DI95" s="387">
        <v>0</v>
      </c>
      <c r="DJ95" s="387">
        <v>0</v>
      </c>
      <c r="DK95" s="387">
        <v>0</v>
      </c>
      <c r="DL95" s="387">
        <v>0</v>
      </c>
      <c r="DM95" s="387">
        <v>0</v>
      </c>
      <c r="DN95" s="387">
        <v>0</v>
      </c>
      <c r="DO95" s="387">
        <v>0</v>
      </c>
      <c r="DP95" s="387">
        <v>0</v>
      </c>
      <c r="DQ95" s="387">
        <v>0</v>
      </c>
      <c r="DR95" s="387">
        <v>0</v>
      </c>
      <c r="DS95" s="387">
        <v>0</v>
      </c>
      <c r="DT95" s="387">
        <v>0</v>
      </c>
      <c r="DU95" s="387">
        <v>0</v>
      </c>
      <c r="DV95" s="387">
        <v>0</v>
      </c>
      <c r="DW95" s="387">
        <v>0</v>
      </c>
    </row>
    <row r="96" spans="1:127" ht="14.25" customHeight="1">
      <c r="A96" s="544"/>
      <c r="B96" s="196" t="s">
        <v>63</v>
      </c>
      <c r="C96" s="156">
        <v>0</v>
      </c>
      <c r="D96" s="156">
        <v>0</v>
      </c>
      <c r="E96" s="156">
        <v>0</v>
      </c>
      <c r="F96" s="156">
        <v>0</v>
      </c>
      <c r="G96" s="156">
        <v>0</v>
      </c>
      <c r="H96" s="156">
        <v>0</v>
      </c>
      <c r="I96" s="156">
        <v>0</v>
      </c>
      <c r="J96" s="156">
        <v>0</v>
      </c>
      <c r="K96" s="156">
        <v>0</v>
      </c>
      <c r="L96" s="156">
        <v>0</v>
      </c>
      <c r="M96" s="156">
        <v>0</v>
      </c>
      <c r="N96" s="156">
        <v>0</v>
      </c>
      <c r="O96" s="156">
        <v>0</v>
      </c>
      <c r="P96" s="156">
        <v>0</v>
      </c>
      <c r="Q96" s="156">
        <v>0</v>
      </c>
      <c r="R96" s="156">
        <v>0</v>
      </c>
      <c r="S96" s="156">
        <v>0</v>
      </c>
      <c r="T96" s="156">
        <v>0</v>
      </c>
      <c r="U96" s="156">
        <v>0</v>
      </c>
      <c r="V96" s="156">
        <v>0</v>
      </c>
      <c r="W96" s="200">
        <v>0</v>
      </c>
      <c r="AA96" s="544"/>
      <c r="AB96" s="196" t="s">
        <v>63</v>
      </c>
      <c r="AC96" s="156">
        <v>0</v>
      </c>
      <c r="AD96" s="156">
        <v>0</v>
      </c>
      <c r="AE96" s="156">
        <v>0</v>
      </c>
      <c r="AF96" s="156">
        <v>0</v>
      </c>
      <c r="AG96" s="156">
        <v>0</v>
      </c>
      <c r="AH96" s="156">
        <v>0</v>
      </c>
      <c r="AI96" s="156">
        <v>0</v>
      </c>
      <c r="AJ96" s="156">
        <v>0</v>
      </c>
      <c r="AK96" s="156">
        <v>0</v>
      </c>
      <c r="AL96" s="156">
        <v>0</v>
      </c>
      <c r="AM96" s="156">
        <v>0</v>
      </c>
      <c r="AN96" s="156">
        <v>0</v>
      </c>
      <c r="AO96" s="156">
        <v>0</v>
      </c>
      <c r="AP96" s="156">
        <v>0</v>
      </c>
      <c r="AQ96" s="156">
        <v>0</v>
      </c>
      <c r="AR96" s="156">
        <v>0</v>
      </c>
      <c r="AS96" s="156">
        <v>0</v>
      </c>
      <c r="AT96" s="156">
        <v>0</v>
      </c>
      <c r="AU96" s="156">
        <v>0</v>
      </c>
      <c r="AV96" s="156">
        <v>0</v>
      </c>
      <c r="AW96" s="200">
        <v>0</v>
      </c>
      <c r="BF96" s="538"/>
      <c r="BG96" s="363" t="s">
        <v>63</v>
      </c>
      <c r="BH96" s="387">
        <v>0</v>
      </c>
      <c r="BI96" s="387">
        <v>0</v>
      </c>
      <c r="BJ96" s="387">
        <v>0</v>
      </c>
      <c r="BK96" s="387">
        <v>0</v>
      </c>
      <c r="BL96" s="387">
        <v>0</v>
      </c>
      <c r="BM96" s="387">
        <v>0</v>
      </c>
      <c r="BN96" s="387">
        <v>0</v>
      </c>
      <c r="BO96" s="387">
        <v>0</v>
      </c>
      <c r="BP96" s="387">
        <v>0</v>
      </c>
      <c r="BQ96" s="387">
        <v>0</v>
      </c>
      <c r="BR96" s="387">
        <v>0</v>
      </c>
      <c r="BS96" s="387">
        <v>0</v>
      </c>
      <c r="BT96" s="387">
        <v>0</v>
      </c>
      <c r="BU96" s="387">
        <v>0</v>
      </c>
      <c r="BV96" s="387">
        <v>0</v>
      </c>
      <c r="BW96" s="387">
        <v>0</v>
      </c>
      <c r="BX96" s="387">
        <v>0</v>
      </c>
      <c r="BY96" s="387">
        <v>0</v>
      </c>
      <c r="BZ96" s="387">
        <v>0</v>
      </c>
      <c r="CA96" s="387">
        <v>0</v>
      </c>
      <c r="CB96" s="387">
        <v>0</v>
      </c>
      <c r="CC96"/>
      <c r="CD96" s="196" t="s">
        <v>142</v>
      </c>
      <c r="CE96" s="395">
        <v>-4.0587220814709557E-3</v>
      </c>
      <c r="CF96" s="141">
        <v>-1.3685173272261708E-2</v>
      </c>
      <c r="CG96" s="141">
        <v>-3.8286823071996379E-2</v>
      </c>
      <c r="CH96" s="345">
        <v>0</v>
      </c>
      <c r="CI96" s="345">
        <v>0</v>
      </c>
      <c r="CJ96" s="345">
        <v>0</v>
      </c>
      <c r="CK96" s="345">
        <v>0</v>
      </c>
      <c r="CL96" s="141">
        <v>-6.2476156217711187E-3</v>
      </c>
      <c r="DA96" s="537"/>
      <c r="DB96" s="390" t="s">
        <v>63</v>
      </c>
      <c r="DC96" s="387">
        <v>0</v>
      </c>
      <c r="DD96" s="387">
        <v>0</v>
      </c>
      <c r="DE96" s="387">
        <v>0</v>
      </c>
      <c r="DF96" s="387">
        <v>0</v>
      </c>
      <c r="DG96" s="387">
        <v>0</v>
      </c>
      <c r="DH96" s="387">
        <v>0</v>
      </c>
      <c r="DI96" s="387">
        <v>0</v>
      </c>
      <c r="DJ96" s="387">
        <v>0</v>
      </c>
      <c r="DK96" s="387">
        <v>0</v>
      </c>
      <c r="DL96" s="387">
        <v>0</v>
      </c>
      <c r="DM96" s="387">
        <v>0</v>
      </c>
      <c r="DN96" s="387">
        <v>0</v>
      </c>
      <c r="DO96" s="387">
        <v>0</v>
      </c>
      <c r="DP96" s="387">
        <v>0</v>
      </c>
      <c r="DQ96" s="387">
        <v>0</v>
      </c>
      <c r="DR96" s="387">
        <v>0</v>
      </c>
      <c r="DS96" s="387">
        <v>0</v>
      </c>
      <c r="DT96" s="387">
        <v>0</v>
      </c>
      <c r="DU96" s="387">
        <v>0</v>
      </c>
      <c r="DV96" s="387">
        <v>0</v>
      </c>
      <c r="DW96" s="387">
        <v>0</v>
      </c>
    </row>
    <row r="97" spans="1:127" ht="14.25" customHeight="1">
      <c r="A97" s="544"/>
      <c r="B97" s="196" t="s">
        <v>65</v>
      </c>
      <c r="C97" s="156">
        <v>0</v>
      </c>
      <c r="D97" s="156">
        <v>0</v>
      </c>
      <c r="E97" s="156">
        <v>0</v>
      </c>
      <c r="F97" s="156">
        <v>0</v>
      </c>
      <c r="G97" s="156">
        <v>0</v>
      </c>
      <c r="H97" s="156">
        <v>0</v>
      </c>
      <c r="I97" s="156">
        <v>0</v>
      </c>
      <c r="J97" s="156">
        <v>0</v>
      </c>
      <c r="K97" s="156">
        <v>0</v>
      </c>
      <c r="L97" s="156">
        <v>0</v>
      </c>
      <c r="M97" s="156">
        <v>0</v>
      </c>
      <c r="N97" s="156">
        <v>0</v>
      </c>
      <c r="O97" s="156">
        <v>0</v>
      </c>
      <c r="P97" s="156">
        <v>0</v>
      </c>
      <c r="Q97" s="156">
        <v>0</v>
      </c>
      <c r="R97" s="156">
        <v>0</v>
      </c>
      <c r="S97" s="156">
        <v>0</v>
      </c>
      <c r="T97" s="156">
        <v>0</v>
      </c>
      <c r="U97" s="156">
        <v>0</v>
      </c>
      <c r="V97" s="156">
        <v>0</v>
      </c>
      <c r="W97" s="200">
        <v>0</v>
      </c>
      <c r="AA97" s="544"/>
      <c r="AB97" s="196" t="s">
        <v>65</v>
      </c>
      <c r="AC97" s="156">
        <v>0</v>
      </c>
      <c r="AD97" s="156">
        <v>0</v>
      </c>
      <c r="AE97" s="156">
        <v>0</v>
      </c>
      <c r="AF97" s="156">
        <v>0</v>
      </c>
      <c r="AG97" s="156">
        <v>0</v>
      </c>
      <c r="AH97" s="156">
        <v>0</v>
      </c>
      <c r="AI97" s="156">
        <v>0</v>
      </c>
      <c r="AJ97" s="156">
        <v>0</v>
      </c>
      <c r="AK97" s="156">
        <v>0</v>
      </c>
      <c r="AL97" s="156">
        <v>0</v>
      </c>
      <c r="AM97" s="156">
        <v>0</v>
      </c>
      <c r="AN97" s="156">
        <v>0</v>
      </c>
      <c r="AO97" s="156">
        <v>0</v>
      </c>
      <c r="AP97" s="156">
        <v>0</v>
      </c>
      <c r="AQ97" s="156">
        <v>0</v>
      </c>
      <c r="AR97" s="156">
        <v>0</v>
      </c>
      <c r="AS97" s="156">
        <v>0</v>
      </c>
      <c r="AT97" s="156">
        <v>0</v>
      </c>
      <c r="AU97" s="156">
        <v>0</v>
      </c>
      <c r="AV97" s="156">
        <v>0</v>
      </c>
      <c r="AW97" s="200">
        <v>0</v>
      </c>
      <c r="BF97" s="538"/>
      <c r="BG97" s="363" t="s">
        <v>65</v>
      </c>
      <c r="BH97" s="387">
        <v>0</v>
      </c>
      <c r="BI97" s="387">
        <v>0</v>
      </c>
      <c r="BJ97" s="387">
        <v>0</v>
      </c>
      <c r="BK97" s="387">
        <v>0</v>
      </c>
      <c r="BL97" s="387">
        <v>0</v>
      </c>
      <c r="BM97" s="387">
        <v>0</v>
      </c>
      <c r="BN97" s="387">
        <v>0</v>
      </c>
      <c r="BO97" s="387">
        <v>0</v>
      </c>
      <c r="BP97" s="387">
        <v>0</v>
      </c>
      <c r="BQ97" s="387">
        <v>0</v>
      </c>
      <c r="BR97" s="387">
        <v>0</v>
      </c>
      <c r="BS97" s="387">
        <v>0</v>
      </c>
      <c r="BT97" s="387">
        <v>0</v>
      </c>
      <c r="BU97" s="387">
        <v>0</v>
      </c>
      <c r="BV97" s="387">
        <v>0</v>
      </c>
      <c r="BW97" s="387">
        <v>0</v>
      </c>
      <c r="BX97" s="387">
        <v>0</v>
      </c>
      <c r="BY97" s="387">
        <v>0</v>
      </c>
      <c r="BZ97" s="387">
        <v>0</v>
      </c>
      <c r="CA97" s="387">
        <v>0</v>
      </c>
      <c r="CB97" s="387">
        <v>0</v>
      </c>
      <c r="CC97"/>
      <c r="CD97" s="196" t="s">
        <v>143</v>
      </c>
      <c r="CE97" s="395">
        <v>-4.0587220814709557E-3</v>
      </c>
      <c r="CF97" s="141">
        <v>-1.3685173272261708E-2</v>
      </c>
      <c r="CG97" s="141">
        <v>-3.8286823071996379E-2</v>
      </c>
      <c r="CH97" s="345">
        <v>0</v>
      </c>
      <c r="CI97" s="345">
        <v>0</v>
      </c>
      <c r="CJ97" s="345">
        <v>0</v>
      </c>
      <c r="CK97" s="345">
        <v>0</v>
      </c>
      <c r="CL97" s="141">
        <v>-6.2476156217711187E-3</v>
      </c>
      <c r="DA97" s="537"/>
      <c r="DB97" s="390" t="s">
        <v>65</v>
      </c>
      <c r="DC97" s="387">
        <v>0</v>
      </c>
      <c r="DD97" s="387">
        <v>0</v>
      </c>
      <c r="DE97" s="387">
        <v>0</v>
      </c>
      <c r="DF97" s="387">
        <v>0</v>
      </c>
      <c r="DG97" s="387">
        <v>0</v>
      </c>
      <c r="DH97" s="387">
        <v>0</v>
      </c>
      <c r="DI97" s="387">
        <v>0</v>
      </c>
      <c r="DJ97" s="387">
        <v>0</v>
      </c>
      <c r="DK97" s="387">
        <v>0</v>
      </c>
      <c r="DL97" s="387">
        <v>0</v>
      </c>
      <c r="DM97" s="387">
        <v>0</v>
      </c>
      <c r="DN97" s="387">
        <v>0</v>
      </c>
      <c r="DO97" s="387">
        <v>0</v>
      </c>
      <c r="DP97" s="387">
        <v>0</v>
      </c>
      <c r="DQ97" s="387">
        <v>0</v>
      </c>
      <c r="DR97" s="387">
        <v>0</v>
      </c>
      <c r="DS97" s="387">
        <v>0</v>
      </c>
      <c r="DT97" s="387">
        <v>0</v>
      </c>
      <c r="DU97" s="387">
        <v>0</v>
      </c>
      <c r="DV97" s="387">
        <v>0</v>
      </c>
      <c r="DW97" s="387">
        <v>0</v>
      </c>
    </row>
    <row r="98" spans="1:127" ht="14.25" customHeight="1">
      <c r="A98" s="544"/>
      <c r="B98" s="196" t="s">
        <v>67</v>
      </c>
      <c r="C98" s="156">
        <v>0</v>
      </c>
      <c r="D98" s="156">
        <v>0</v>
      </c>
      <c r="E98" s="156">
        <v>0</v>
      </c>
      <c r="F98" s="156">
        <v>0</v>
      </c>
      <c r="G98" s="156">
        <v>0</v>
      </c>
      <c r="H98" s="156">
        <v>0</v>
      </c>
      <c r="I98" s="156">
        <v>0</v>
      </c>
      <c r="J98" s="156">
        <v>0</v>
      </c>
      <c r="K98" s="156">
        <v>0</v>
      </c>
      <c r="L98" s="156">
        <v>0</v>
      </c>
      <c r="M98" s="156">
        <v>0</v>
      </c>
      <c r="N98" s="156">
        <v>0</v>
      </c>
      <c r="O98" s="156">
        <v>0</v>
      </c>
      <c r="P98" s="156">
        <v>0</v>
      </c>
      <c r="Q98" s="156">
        <v>0</v>
      </c>
      <c r="R98" s="156">
        <v>0</v>
      </c>
      <c r="S98" s="156">
        <v>0</v>
      </c>
      <c r="T98" s="156">
        <v>0</v>
      </c>
      <c r="U98" s="156">
        <v>0</v>
      </c>
      <c r="V98" s="156">
        <v>0</v>
      </c>
      <c r="W98" s="200">
        <v>0</v>
      </c>
      <c r="AA98" s="544"/>
      <c r="AB98" s="196" t="s">
        <v>67</v>
      </c>
      <c r="AC98" s="156">
        <v>0</v>
      </c>
      <c r="AD98" s="156">
        <v>0</v>
      </c>
      <c r="AE98" s="156">
        <v>0</v>
      </c>
      <c r="AF98" s="156">
        <v>0</v>
      </c>
      <c r="AG98" s="156">
        <v>0</v>
      </c>
      <c r="AH98" s="156">
        <v>0</v>
      </c>
      <c r="AI98" s="156">
        <v>0</v>
      </c>
      <c r="AJ98" s="156">
        <v>0</v>
      </c>
      <c r="AK98" s="156">
        <v>0</v>
      </c>
      <c r="AL98" s="156">
        <v>0</v>
      </c>
      <c r="AM98" s="156">
        <v>0</v>
      </c>
      <c r="AN98" s="156">
        <v>0</v>
      </c>
      <c r="AO98" s="156">
        <v>0</v>
      </c>
      <c r="AP98" s="156">
        <v>0</v>
      </c>
      <c r="AQ98" s="156">
        <v>0</v>
      </c>
      <c r="AR98" s="156">
        <v>0</v>
      </c>
      <c r="AS98" s="156">
        <v>0</v>
      </c>
      <c r="AT98" s="156">
        <v>0</v>
      </c>
      <c r="AU98" s="156">
        <v>0</v>
      </c>
      <c r="AV98" s="156">
        <v>0</v>
      </c>
      <c r="AW98" s="200">
        <v>0</v>
      </c>
      <c r="BF98" s="538"/>
      <c r="BG98" s="363" t="s">
        <v>67</v>
      </c>
      <c r="BH98" s="387">
        <v>0</v>
      </c>
      <c r="BI98" s="387">
        <v>0</v>
      </c>
      <c r="BJ98" s="387">
        <v>0</v>
      </c>
      <c r="BK98" s="387">
        <v>0</v>
      </c>
      <c r="BL98" s="387">
        <v>0</v>
      </c>
      <c r="BM98" s="387">
        <v>0</v>
      </c>
      <c r="BN98" s="387">
        <v>0</v>
      </c>
      <c r="BO98" s="387">
        <v>0</v>
      </c>
      <c r="BP98" s="387">
        <v>0</v>
      </c>
      <c r="BQ98" s="387">
        <v>0</v>
      </c>
      <c r="BR98" s="387">
        <v>0</v>
      </c>
      <c r="BS98" s="387">
        <v>0</v>
      </c>
      <c r="BT98" s="387">
        <v>0</v>
      </c>
      <c r="BU98" s="387">
        <v>0</v>
      </c>
      <c r="BV98" s="387">
        <v>0</v>
      </c>
      <c r="BW98" s="387">
        <v>0</v>
      </c>
      <c r="BX98" s="387">
        <v>0</v>
      </c>
      <c r="BY98" s="387">
        <v>0</v>
      </c>
      <c r="BZ98" s="387">
        <v>0</v>
      </c>
      <c r="CA98" s="387">
        <v>0</v>
      </c>
      <c r="CB98" s="387">
        <v>0</v>
      </c>
      <c r="CC98"/>
      <c r="CD98" s="196" t="s">
        <v>144</v>
      </c>
      <c r="CE98" s="395">
        <v>-4.0587220814709557E-3</v>
      </c>
      <c r="CF98" s="141">
        <v>-1.3685173272261708E-2</v>
      </c>
      <c r="CG98" s="141">
        <v>-3.8286823071996379E-2</v>
      </c>
      <c r="CH98" s="345">
        <v>0</v>
      </c>
      <c r="CI98" s="345">
        <v>0</v>
      </c>
      <c r="CJ98" s="345">
        <v>0</v>
      </c>
      <c r="CK98" s="345">
        <v>0</v>
      </c>
      <c r="CL98" s="141">
        <v>-6.2476156217711187E-3</v>
      </c>
      <c r="DA98" s="537"/>
      <c r="DB98" s="390" t="s">
        <v>67</v>
      </c>
      <c r="DC98" s="387">
        <v>0</v>
      </c>
      <c r="DD98" s="387">
        <v>0</v>
      </c>
      <c r="DE98" s="387">
        <v>0</v>
      </c>
      <c r="DF98" s="387">
        <v>0</v>
      </c>
      <c r="DG98" s="387">
        <v>0</v>
      </c>
      <c r="DH98" s="387">
        <v>0</v>
      </c>
      <c r="DI98" s="387">
        <v>0</v>
      </c>
      <c r="DJ98" s="387">
        <v>0</v>
      </c>
      <c r="DK98" s="387">
        <v>0</v>
      </c>
      <c r="DL98" s="387">
        <v>0</v>
      </c>
      <c r="DM98" s="387">
        <v>0</v>
      </c>
      <c r="DN98" s="387">
        <v>0</v>
      </c>
      <c r="DO98" s="387">
        <v>0</v>
      </c>
      <c r="DP98" s="387">
        <v>0</v>
      </c>
      <c r="DQ98" s="387">
        <v>0</v>
      </c>
      <c r="DR98" s="387">
        <v>0</v>
      </c>
      <c r="DS98" s="387">
        <v>0</v>
      </c>
      <c r="DT98" s="387">
        <v>0</v>
      </c>
      <c r="DU98" s="387">
        <v>0</v>
      </c>
      <c r="DV98" s="387">
        <v>0</v>
      </c>
      <c r="DW98" s="387">
        <v>0</v>
      </c>
    </row>
    <row r="99" spans="1:127" ht="14.25" customHeight="1">
      <c r="A99" s="544"/>
      <c r="B99" s="196" t="s">
        <v>69</v>
      </c>
      <c r="C99" s="156">
        <v>0</v>
      </c>
      <c r="D99" s="156">
        <v>0</v>
      </c>
      <c r="E99" s="156">
        <v>0</v>
      </c>
      <c r="F99" s="156">
        <v>0</v>
      </c>
      <c r="G99" s="156">
        <v>0</v>
      </c>
      <c r="H99" s="156">
        <v>0</v>
      </c>
      <c r="I99" s="156">
        <v>0</v>
      </c>
      <c r="J99" s="156">
        <v>0</v>
      </c>
      <c r="K99" s="156">
        <v>0</v>
      </c>
      <c r="L99" s="156">
        <v>0</v>
      </c>
      <c r="M99" s="156">
        <v>0</v>
      </c>
      <c r="N99" s="156">
        <v>0</v>
      </c>
      <c r="O99" s="156">
        <v>0</v>
      </c>
      <c r="P99" s="156">
        <v>0</v>
      </c>
      <c r="Q99" s="156">
        <v>0</v>
      </c>
      <c r="R99" s="156">
        <v>0</v>
      </c>
      <c r="S99" s="156">
        <v>0</v>
      </c>
      <c r="T99" s="156">
        <v>0</v>
      </c>
      <c r="U99" s="156">
        <v>0</v>
      </c>
      <c r="V99" s="156">
        <v>0</v>
      </c>
      <c r="W99" s="200">
        <v>0</v>
      </c>
      <c r="AA99" s="544"/>
      <c r="AB99" s="196" t="s">
        <v>69</v>
      </c>
      <c r="AC99" s="156">
        <v>0</v>
      </c>
      <c r="AD99" s="156">
        <v>0</v>
      </c>
      <c r="AE99" s="156">
        <v>0</v>
      </c>
      <c r="AF99" s="156">
        <v>0</v>
      </c>
      <c r="AG99" s="156">
        <v>0</v>
      </c>
      <c r="AH99" s="156">
        <v>0</v>
      </c>
      <c r="AI99" s="156">
        <v>0</v>
      </c>
      <c r="AJ99" s="156">
        <v>0</v>
      </c>
      <c r="AK99" s="156">
        <v>0</v>
      </c>
      <c r="AL99" s="156">
        <v>0</v>
      </c>
      <c r="AM99" s="156">
        <v>0</v>
      </c>
      <c r="AN99" s="156">
        <v>0</v>
      </c>
      <c r="AO99" s="156">
        <v>0</v>
      </c>
      <c r="AP99" s="156">
        <v>0</v>
      </c>
      <c r="AQ99" s="156">
        <v>0</v>
      </c>
      <c r="AR99" s="156">
        <v>0</v>
      </c>
      <c r="AS99" s="156">
        <v>0</v>
      </c>
      <c r="AT99" s="156">
        <v>0</v>
      </c>
      <c r="AU99" s="156">
        <v>0</v>
      </c>
      <c r="AV99" s="156">
        <v>0</v>
      </c>
      <c r="AW99" s="200">
        <v>0</v>
      </c>
      <c r="BF99" s="538"/>
      <c r="BG99" s="363" t="s">
        <v>69</v>
      </c>
      <c r="BH99" s="387">
        <v>0</v>
      </c>
      <c r="BI99" s="387">
        <v>0</v>
      </c>
      <c r="BJ99" s="387">
        <v>0</v>
      </c>
      <c r="BK99" s="387">
        <v>0</v>
      </c>
      <c r="BL99" s="387">
        <v>0</v>
      </c>
      <c r="BM99" s="387">
        <v>0</v>
      </c>
      <c r="BN99" s="387">
        <v>0</v>
      </c>
      <c r="BO99" s="387">
        <v>0</v>
      </c>
      <c r="BP99" s="387">
        <v>0</v>
      </c>
      <c r="BQ99" s="387">
        <v>0</v>
      </c>
      <c r="BR99" s="387">
        <v>0</v>
      </c>
      <c r="BS99" s="387">
        <v>0</v>
      </c>
      <c r="BT99" s="387">
        <v>0</v>
      </c>
      <c r="BU99" s="387">
        <v>0</v>
      </c>
      <c r="BV99" s="387">
        <v>0</v>
      </c>
      <c r="BW99" s="387">
        <v>0</v>
      </c>
      <c r="BX99" s="387">
        <v>0</v>
      </c>
      <c r="BY99" s="387">
        <v>0</v>
      </c>
      <c r="BZ99" s="387">
        <v>0</v>
      </c>
      <c r="CA99" s="387">
        <v>0</v>
      </c>
      <c r="CB99" s="387">
        <v>0</v>
      </c>
      <c r="CC99"/>
      <c r="CD99" s="196" t="s">
        <v>61</v>
      </c>
      <c r="CE99" s="395">
        <v>5.4471688476187108E-2</v>
      </c>
      <c r="CF99" s="141">
        <v>5.0135708984990757E-3</v>
      </c>
      <c r="CG99" s="141">
        <v>-7.0858832279627748E-3</v>
      </c>
      <c r="CH99" s="345">
        <v>0</v>
      </c>
      <c r="CI99" s="345">
        <v>0</v>
      </c>
      <c r="CJ99" s="345">
        <v>0</v>
      </c>
      <c r="CK99" s="345">
        <v>0</v>
      </c>
      <c r="CL99" s="141">
        <v>2.326751250500303E-2</v>
      </c>
      <c r="DA99" s="537"/>
      <c r="DB99" s="390" t="s">
        <v>69</v>
      </c>
      <c r="DC99" s="387">
        <v>0</v>
      </c>
      <c r="DD99" s="387">
        <v>0</v>
      </c>
      <c r="DE99" s="387">
        <v>0</v>
      </c>
      <c r="DF99" s="387">
        <v>0</v>
      </c>
      <c r="DG99" s="387">
        <v>0</v>
      </c>
      <c r="DH99" s="387">
        <v>0</v>
      </c>
      <c r="DI99" s="387">
        <v>0</v>
      </c>
      <c r="DJ99" s="387">
        <v>0</v>
      </c>
      <c r="DK99" s="387">
        <v>0</v>
      </c>
      <c r="DL99" s="387">
        <v>0</v>
      </c>
      <c r="DM99" s="387">
        <v>0</v>
      </c>
      <c r="DN99" s="387">
        <v>0</v>
      </c>
      <c r="DO99" s="387">
        <v>0</v>
      </c>
      <c r="DP99" s="387">
        <v>0</v>
      </c>
      <c r="DQ99" s="387">
        <v>0</v>
      </c>
      <c r="DR99" s="387">
        <v>0</v>
      </c>
      <c r="DS99" s="387">
        <v>0</v>
      </c>
      <c r="DT99" s="387">
        <v>0</v>
      </c>
      <c r="DU99" s="387">
        <v>0</v>
      </c>
      <c r="DV99" s="387">
        <v>0</v>
      </c>
      <c r="DW99" s="387">
        <v>0</v>
      </c>
    </row>
    <row r="100" spans="1:127" ht="14.25" customHeight="1">
      <c r="A100" s="544"/>
      <c r="B100" s="196" t="s">
        <v>145</v>
      </c>
      <c r="C100" s="156">
        <v>0</v>
      </c>
      <c r="D100" s="156">
        <v>0</v>
      </c>
      <c r="E100" s="156">
        <v>0</v>
      </c>
      <c r="F100" s="156">
        <v>0</v>
      </c>
      <c r="G100" s="156">
        <v>0</v>
      </c>
      <c r="H100" s="156">
        <v>0</v>
      </c>
      <c r="I100" s="156">
        <v>0</v>
      </c>
      <c r="J100" s="156">
        <v>0</v>
      </c>
      <c r="K100" s="156">
        <v>0</v>
      </c>
      <c r="L100" s="156">
        <v>0</v>
      </c>
      <c r="M100" s="156">
        <v>0</v>
      </c>
      <c r="N100" s="156">
        <v>0</v>
      </c>
      <c r="O100" s="156">
        <v>0</v>
      </c>
      <c r="P100" s="156">
        <v>0</v>
      </c>
      <c r="Q100" s="156">
        <v>0</v>
      </c>
      <c r="R100" s="156">
        <v>0</v>
      </c>
      <c r="S100" s="156">
        <v>0</v>
      </c>
      <c r="T100" s="156">
        <v>0</v>
      </c>
      <c r="U100" s="156">
        <v>0</v>
      </c>
      <c r="V100" s="156">
        <v>0</v>
      </c>
      <c r="W100" s="200">
        <v>0</v>
      </c>
      <c r="AA100" s="544"/>
      <c r="AB100" s="196" t="s">
        <v>145</v>
      </c>
      <c r="AC100" s="156">
        <v>0</v>
      </c>
      <c r="AD100" s="156">
        <v>0</v>
      </c>
      <c r="AE100" s="156">
        <v>0</v>
      </c>
      <c r="AF100" s="156">
        <v>0</v>
      </c>
      <c r="AG100" s="156">
        <v>0</v>
      </c>
      <c r="AH100" s="156">
        <v>0</v>
      </c>
      <c r="AI100" s="156">
        <v>0</v>
      </c>
      <c r="AJ100" s="156">
        <v>0</v>
      </c>
      <c r="AK100" s="156">
        <v>0</v>
      </c>
      <c r="AL100" s="156">
        <v>0</v>
      </c>
      <c r="AM100" s="156">
        <v>0</v>
      </c>
      <c r="AN100" s="156">
        <v>0</v>
      </c>
      <c r="AO100" s="156">
        <v>0</v>
      </c>
      <c r="AP100" s="156">
        <v>0</v>
      </c>
      <c r="AQ100" s="156">
        <v>0</v>
      </c>
      <c r="AR100" s="156">
        <v>0</v>
      </c>
      <c r="AS100" s="156">
        <v>0</v>
      </c>
      <c r="AT100" s="156">
        <v>0</v>
      </c>
      <c r="AU100" s="156">
        <v>0</v>
      </c>
      <c r="AV100" s="156">
        <v>0</v>
      </c>
      <c r="AW100" s="200">
        <v>0</v>
      </c>
      <c r="BF100" s="538"/>
      <c r="BG100" s="363" t="s">
        <v>145</v>
      </c>
      <c r="BH100" s="387">
        <v>0</v>
      </c>
      <c r="BI100" s="387">
        <v>0</v>
      </c>
      <c r="BJ100" s="387">
        <v>0</v>
      </c>
      <c r="BK100" s="387">
        <v>0</v>
      </c>
      <c r="BL100" s="387">
        <v>0</v>
      </c>
      <c r="BM100" s="387">
        <v>0</v>
      </c>
      <c r="BN100" s="387">
        <v>0</v>
      </c>
      <c r="BO100" s="387">
        <v>0</v>
      </c>
      <c r="BP100" s="387">
        <v>0</v>
      </c>
      <c r="BQ100" s="387">
        <v>0</v>
      </c>
      <c r="BR100" s="387">
        <v>0</v>
      </c>
      <c r="BS100" s="387">
        <v>0</v>
      </c>
      <c r="BT100" s="387">
        <v>0</v>
      </c>
      <c r="BU100" s="387">
        <v>0</v>
      </c>
      <c r="BV100" s="387">
        <v>0</v>
      </c>
      <c r="BW100" s="387">
        <v>0</v>
      </c>
      <c r="BX100" s="387">
        <v>0</v>
      </c>
      <c r="BY100" s="387">
        <v>0</v>
      </c>
      <c r="BZ100" s="387">
        <v>0</v>
      </c>
      <c r="CA100" s="387">
        <v>0</v>
      </c>
      <c r="CB100" s="387">
        <v>0</v>
      </c>
      <c r="CC100"/>
      <c r="CD100" s="196" t="s">
        <v>63</v>
      </c>
      <c r="CE100" s="395">
        <v>1.7179067857135966E-2</v>
      </c>
      <c r="CF100" s="141">
        <v>-2.3880821627744298E-2</v>
      </c>
      <c r="CG100" s="141">
        <v>-4.187275670496815E-2</v>
      </c>
      <c r="CH100" s="345">
        <v>0</v>
      </c>
      <c r="CI100" s="345">
        <v>0</v>
      </c>
      <c r="CJ100" s="345">
        <v>0</v>
      </c>
      <c r="CK100" s="345">
        <v>0</v>
      </c>
      <c r="CL100" s="141">
        <v>-1.2677214000449633E-2</v>
      </c>
      <c r="DA100" s="537"/>
      <c r="DB100" s="390" t="s">
        <v>145</v>
      </c>
      <c r="DC100" s="387">
        <v>0</v>
      </c>
      <c r="DD100" s="387">
        <v>0</v>
      </c>
      <c r="DE100" s="387">
        <v>0</v>
      </c>
      <c r="DF100" s="387">
        <v>0</v>
      </c>
      <c r="DG100" s="387">
        <v>0</v>
      </c>
      <c r="DH100" s="387">
        <v>0</v>
      </c>
      <c r="DI100" s="387">
        <v>0</v>
      </c>
      <c r="DJ100" s="387">
        <v>0</v>
      </c>
      <c r="DK100" s="387">
        <v>0</v>
      </c>
      <c r="DL100" s="387">
        <v>0</v>
      </c>
      <c r="DM100" s="387">
        <v>0</v>
      </c>
      <c r="DN100" s="387">
        <v>0</v>
      </c>
      <c r="DO100" s="387">
        <v>0</v>
      </c>
      <c r="DP100" s="387">
        <v>0</v>
      </c>
      <c r="DQ100" s="387">
        <v>0</v>
      </c>
      <c r="DR100" s="387">
        <v>0</v>
      </c>
      <c r="DS100" s="387">
        <v>0</v>
      </c>
      <c r="DT100" s="387">
        <v>0</v>
      </c>
      <c r="DU100" s="387">
        <v>0</v>
      </c>
      <c r="DV100" s="387">
        <v>0</v>
      </c>
      <c r="DW100" s="387">
        <v>0</v>
      </c>
    </row>
    <row r="101" spans="1:127" ht="14.25" customHeight="1">
      <c r="A101" s="544"/>
      <c r="B101" s="196" t="s">
        <v>73</v>
      </c>
      <c r="C101" s="156">
        <v>0</v>
      </c>
      <c r="D101" s="156">
        <v>0</v>
      </c>
      <c r="E101" s="156">
        <v>0</v>
      </c>
      <c r="F101" s="156">
        <v>0</v>
      </c>
      <c r="G101" s="156">
        <v>0</v>
      </c>
      <c r="H101" s="156">
        <v>0</v>
      </c>
      <c r="I101" s="156">
        <v>0</v>
      </c>
      <c r="J101" s="156">
        <v>0</v>
      </c>
      <c r="K101" s="156">
        <v>0</v>
      </c>
      <c r="L101" s="156">
        <v>0</v>
      </c>
      <c r="M101" s="156">
        <v>0</v>
      </c>
      <c r="N101" s="156">
        <v>0</v>
      </c>
      <c r="O101" s="156">
        <v>0</v>
      </c>
      <c r="P101" s="156">
        <v>0</v>
      </c>
      <c r="Q101" s="156">
        <v>0</v>
      </c>
      <c r="R101" s="156">
        <v>0</v>
      </c>
      <c r="S101" s="156">
        <v>0</v>
      </c>
      <c r="T101" s="156">
        <v>0</v>
      </c>
      <c r="U101" s="156">
        <v>0</v>
      </c>
      <c r="V101" s="156">
        <v>0</v>
      </c>
      <c r="W101" s="200">
        <v>0</v>
      </c>
      <c r="AA101" s="544"/>
      <c r="AB101" s="196" t="s">
        <v>73</v>
      </c>
      <c r="AC101" s="156">
        <v>0</v>
      </c>
      <c r="AD101" s="156">
        <v>0</v>
      </c>
      <c r="AE101" s="156">
        <v>0</v>
      </c>
      <c r="AF101" s="156">
        <v>0</v>
      </c>
      <c r="AG101" s="156">
        <v>0</v>
      </c>
      <c r="AH101" s="156">
        <v>0</v>
      </c>
      <c r="AI101" s="156">
        <v>0</v>
      </c>
      <c r="AJ101" s="156">
        <v>0</v>
      </c>
      <c r="AK101" s="156">
        <v>0</v>
      </c>
      <c r="AL101" s="156">
        <v>0</v>
      </c>
      <c r="AM101" s="156">
        <v>0</v>
      </c>
      <c r="AN101" s="156">
        <v>0</v>
      </c>
      <c r="AO101" s="156">
        <v>0</v>
      </c>
      <c r="AP101" s="156">
        <v>0</v>
      </c>
      <c r="AQ101" s="156">
        <v>0</v>
      </c>
      <c r="AR101" s="156">
        <v>0</v>
      </c>
      <c r="AS101" s="156">
        <v>0</v>
      </c>
      <c r="AT101" s="156">
        <v>0</v>
      </c>
      <c r="AU101" s="156">
        <v>0</v>
      </c>
      <c r="AV101" s="156">
        <v>0</v>
      </c>
      <c r="AW101" s="200">
        <v>0</v>
      </c>
      <c r="BF101" s="538"/>
      <c r="BG101" s="363" t="s">
        <v>73</v>
      </c>
      <c r="BH101" s="387">
        <v>0</v>
      </c>
      <c r="BI101" s="387">
        <v>0</v>
      </c>
      <c r="BJ101" s="387">
        <v>0</v>
      </c>
      <c r="BK101" s="387">
        <v>0</v>
      </c>
      <c r="BL101" s="387">
        <v>0</v>
      </c>
      <c r="BM101" s="387">
        <v>0</v>
      </c>
      <c r="BN101" s="387">
        <v>0</v>
      </c>
      <c r="BO101" s="387">
        <v>0</v>
      </c>
      <c r="BP101" s="387">
        <v>0</v>
      </c>
      <c r="BQ101" s="387">
        <v>0</v>
      </c>
      <c r="BR101" s="387">
        <v>0</v>
      </c>
      <c r="BS101" s="387">
        <v>0</v>
      </c>
      <c r="BT101" s="387">
        <v>0</v>
      </c>
      <c r="BU101" s="387">
        <v>0</v>
      </c>
      <c r="BV101" s="387">
        <v>0</v>
      </c>
      <c r="BW101" s="387">
        <v>0</v>
      </c>
      <c r="BX101" s="387">
        <v>0</v>
      </c>
      <c r="BY101" s="387">
        <v>0</v>
      </c>
      <c r="BZ101" s="387">
        <v>0</v>
      </c>
      <c r="CA101" s="387">
        <v>0</v>
      </c>
      <c r="CB101" s="387">
        <v>0</v>
      </c>
      <c r="CC101"/>
      <c r="CD101" s="196" t="s">
        <v>65</v>
      </c>
      <c r="CE101" s="395">
        <v>-9.2380019387006129E-4</v>
      </c>
      <c r="CF101" s="141">
        <v>-1.7453239579035995E-2</v>
      </c>
      <c r="CG101" s="141">
        <v>-2.9594555751095708E-2</v>
      </c>
      <c r="CH101" s="345">
        <v>0</v>
      </c>
      <c r="CI101" s="345">
        <v>0</v>
      </c>
      <c r="CJ101" s="345">
        <v>0</v>
      </c>
      <c r="CK101" s="345">
        <v>0</v>
      </c>
      <c r="CL101" s="141">
        <v>-1.6040734504282228E-2</v>
      </c>
      <c r="DA101" s="537"/>
      <c r="DB101" s="390" t="s">
        <v>73</v>
      </c>
      <c r="DC101" s="387">
        <v>0</v>
      </c>
      <c r="DD101" s="387">
        <v>0</v>
      </c>
      <c r="DE101" s="387">
        <v>0</v>
      </c>
      <c r="DF101" s="387">
        <v>0</v>
      </c>
      <c r="DG101" s="387">
        <v>0</v>
      </c>
      <c r="DH101" s="387">
        <v>0</v>
      </c>
      <c r="DI101" s="387">
        <v>0</v>
      </c>
      <c r="DJ101" s="387">
        <v>0</v>
      </c>
      <c r="DK101" s="387">
        <v>0</v>
      </c>
      <c r="DL101" s="387">
        <v>0</v>
      </c>
      <c r="DM101" s="387">
        <v>0</v>
      </c>
      <c r="DN101" s="387">
        <v>0</v>
      </c>
      <c r="DO101" s="387">
        <v>0</v>
      </c>
      <c r="DP101" s="387">
        <v>0</v>
      </c>
      <c r="DQ101" s="387">
        <v>0</v>
      </c>
      <c r="DR101" s="387">
        <v>0</v>
      </c>
      <c r="DS101" s="387">
        <v>0</v>
      </c>
      <c r="DT101" s="387">
        <v>0</v>
      </c>
      <c r="DU101" s="387">
        <v>0</v>
      </c>
      <c r="DV101" s="387">
        <v>0</v>
      </c>
      <c r="DW101" s="387">
        <v>0</v>
      </c>
    </row>
    <row r="102" spans="1:127" ht="14.25" customHeight="1">
      <c r="A102" s="544"/>
      <c r="B102" s="196" t="s">
        <v>75</v>
      </c>
      <c r="C102" s="156">
        <v>0</v>
      </c>
      <c r="D102" s="156">
        <v>0</v>
      </c>
      <c r="E102" s="156">
        <v>0</v>
      </c>
      <c r="F102" s="156">
        <v>0</v>
      </c>
      <c r="G102" s="156">
        <v>0</v>
      </c>
      <c r="H102" s="156">
        <v>0</v>
      </c>
      <c r="I102" s="156">
        <v>0</v>
      </c>
      <c r="J102" s="156">
        <v>0</v>
      </c>
      <c r="K102" s="156">
        <v>0</v>
      </c>
      <c r="L102" s="156">
        <v>0</v>
      </c>
      <c r="M102" s="156">
        <v>0</v>
      </c>
      <c r="N102" s="156">
        <v>0</v>
      </c>
      <c r="O102" s="156">
        <v>0</v>
      </c>
      <c r="P102" s="156">
        <v>0</v>
      </c>
      <c r="Q102" s="156">
        <v>0</v>
      </c>
      <c r="R102" s="156">
        <v>0</v>
      </c>
      <c r="S102" s="156">
        <v>0</v>
      </c>
      <c r="T102" s="156">
        <v>0</v>
      </c>
      <c r="U102" s="156">
        <v>0</v>
      </c>
      <c r="V102" s="156">
        <v>0</v>
      </c>
      <c r="W102" s="200">
        <v>0</v>
      </c>
      <c r="AA102" s="544"/>
      <c r="AB102" s="196" t="s">
        <v>75</v>
      </c>
      <c r="AC102" s="156">
        <v>0</v>
      </c>
      <c r="AD102" s="156">
        <v>0</v>
      </c>
      <c r="AE102" s="156">
        <v>0</v>
      </c>
      <c r="AF102" s="156">
        <v>0</v>
      </c>
      <c r="AG102" s="156">
        <v>0</v>
      </c>
      <c r="AH102" s="156">
        <v>0</v>
      </c>
      <c r="AI102" s="156">
        <v>0</v>
      </c>
      <c r="AJ102" s="156">
        <v>0</v>
      </c>
      <c r="AK102" s="156">
        <v>0</v>
      </c>
      <c r="AL102" s="156">
        <v>0</v>
      </c>
      <c r="AM102" s="156">
        <v>0</v>
      </c>
      <c r="AN102" s="156">
        <v>0</v>
      </c>
      <c r="AO102" s="156">
        <v>0</v>
      </c>
      <c r="AP102" s="156">
        <v>0</v>
      </c>
      <c r="AQ102" s="156">
        <v>0</v>
      </c>
      <c r="AR102" s="156">
        <v>0</v>
      </c>
      <c r="AS102" s="156">
        <v>0</v>
      </c>
      <c r="AT102" s="156">
        <v>0</v>
      </c>
      <c r="AU102" s="156">
        <v>0</v>
      </c>
      <c r="AV102" s="156">
        <v>0</v>
      </c>
      <c r="AW102" s="200">
        <v>0</v>
      </c>
      <c r="BF102" s="538"/>
      <c r="BG102" s="363" t="s">
        <v>75</v>
      </c>
      <c r="BH102" s="387">
        <v>0</v>
      </c>
      <c r="BI102" s="387">
        <v>0</v>
      </c>
      <c r="BJ102" s="387">
        <v>0</v>
      </c>
      <c r="BK102" s="387">
        <v>0</v>
      </c>
      <c r="BL102" s="387">
        <v>0</v>
      </c>
      <c r="BM102" s="387">
        <v>0</v>
      </c>
      <c r="BN102" s="387">
        <v>0</v>
      </c>
      <c r="BO102" s="387">
        <v>0</v>
      </c>
      <c r="BP102" s="387">
        <v>0</v>
      </c>
      <c r="BQ102" s="387">
        <v>0</v>
      </c>
      <c r="BR102" s="387">
        <v>0</v>
      </c>
      <c r="BS102" s="387">
        <v>0</v>
      </c>
      <c r="BT102" s="387">
        <v>0</v>
      </c>
      <c r="BU102" s="387">
        <v>0</v>
      </c>
      <c r="BV102" s="387">
        <v>0</v>
      </c>
      <c r="BW102" s="387">
        <v>0</v>
      </c>
      <c r="BX102" s="387">
        <v>0</v>
      </c>
      <c r="BY102" s="387">
        <v>0</v>
      </c>
      <c r="BZ102" s="387">
        <v>0</v>
      </c>
      <c r="CA102" s="387">
        <v>0</v>
      </c>
      <c r="CB102" s="387">
        <v>0</v>
      </c>
      <c r="CC102"/>
      <c r="CD102" s="196" t="s">
        <v>67</v>
      </c>
      <c r="CE102" s="395">
        <v>2.0848531655726976E-2</v>
      </c>
      <c r="CF102" s="141">
        <v>-1.145468512370762E-2</v>
      </c>
      <c r="CG102" s="141">
        <v>-7.705158212306551E-3</v>
      </c>
      <c r="CH102" s="345">
        <v>0</v>
      </c>
      <c r="CI102" s="345">
        <v>0</v>
      </c>
      <c r="CJ102" s="345">
        <v>0</v>
      </c>
      <c r="CK102" s="345">
        <v>0</v>
      </c>
      <c r="CL102" s="141">
        <v>-5.2382355830592475E-3</v>
      </c>
      <c r="DA102" s="537"/>
      <c r="DB102" s="390" t="s">
        <v>75</v>
      </c>
      <c r="DC102" s="387">
        <v>0</v>
      </c>
      <c r="DD102" s="387">
        <v>0</v>
      </c>
      <c r="DE102" s="387">
        <v>0</v>
      </c>
      <c r="DF102" s="387">
        <v>0</v>
      </c>
      <c r="DG102" s="387">
        <v>0</v>
      </c>
      <c r="DH102" s="387">
        <v>0</v>
      </c>
      <c r="DI102" s="387">
        <v>0</v>
      </c>
      <c r="DJ102" s="387">
        <v>0</v>
      </c>
      <c r="DK102" s="387">
        <v>0</v>
      </c>
      <c r="DL102" s="387">
        <v>0</v>
      </c>
      <c r="DM102" s="387">
        <v>0</v>
      </c>
      <c r="DN102" s="387">
        <v>0</v>
      </c>
      <c r="DO102" s="387">
        <v>0</v>
      </c>
      <c r="DP102" s="387">
        <v>0</v>
      </c>
      <c r="DQ102" s="387">
        <v>0</v>
      </c>
      <c r="DR102" s="387">
        <v>0</v>
      </c>
      <c r="DS102" s="387">
        <v>0</v>
      </c>
      <c r="DT102" s="387">
        <v>0</v>
      </c>
      <c r="DU102" s="387">
        <v>0</v>
      </c>
      <c r="DV102" s="387">
        <v>0</v>
      </c>
      <c r="DW102" s="387">
        <v>0</v>
      </c>
    </row>
    <row r="103" spans="1:127" ht="14.25" customHeight="1">
      <c r="A103" s="544"/>
      <c r="B103" s="196" t="s">
        <v>146</v>
      </c>
      <c r="C103" s="156">
        <v>0</v>
      </c>
      <c r="D103" s="156">
        <v>0</v>
      </c>
      <c r="E103" s="156">
        <v>0</v>
      </c>
      <c r="F103" s="156">
        <v>0</v>
      </c>
      <c r="G103" s="156">
        <v>0</v>
      </c>
      <c r="H103" s="156">
        <v>0</v>
      </c>
      <c r="I103" s="156">
        <v>0</v>
      </c>
      <c r="J103" s="156">
        <v>0</v>
      </c>
      <c r="K103" s="156">
        <v>0</v>
      </c>
      <c r="L103" s="156">
        <v>0</v>
      </c>
      <c r="M103" s="156">
        <v>0</v>
      </c>
      <c r="N103" s="156">
        <v>0</v>
      </c>
      <c r="O103" s="156">
        <v>0</v>
      </c>
      <c r="P103" s="156">
        <v>0</v>
      </c>
      <c r="Q103" s="156">
        <v>0</v>
      </c>
      <c r="R103" s="156">
        <v>0</v>
      </c>
      <c r="S103" s="156">
        <v>0</v>
      </c>
      <c r="T103" s="156">
        <v>0</v>
      </c>
      <c r="U103" s="156">
        <v>0</v>
      </c>
      <c r="V103" s="156">
        <v>0</v>
      </c>
      <c r="W103" s="200">
        <v>0</v>
      </c>
      <c r="AA103" s="544"/>
      <c r="AB103" s="196" t="s">
        <v>146</v>
      </c>
      <c r="AC103" s="156">
        <v>0</v>
      </c>
      <c r="AD103" s="156">
        <v>0</v>
      </c>
      <c r="AE103" s="156">
        <v>0</v>
      </c>
      <c r="AF103" s="156">
        <v>0</v>
      </c>
      <c r="AG103" s="156">
        <v>0</v>
      </c>
      <c r="AH103" s="156">
        <v>0</v>
      </c>
      <c r="AI103" s="156">
        <v>0</v>
      </c>
      <c r="AJ103" s="156">
        <v>0</v>
      </c>
      <c r="AK103" s="156">
        <v>0</v>
      </c>
      <c r="AL103" s="156">
        <v>0</v>
      </c>
      <c r="AM103" s="156">
        <v>0</v>
      </c>
      <c r="AN103" s="156">
        <v>0</v>
      </c>
      <c r="AO103" s="156">
        <v>0</v>
      </c>
      <c r="AP103" s="156">
        <v>0</v>
      </c>
      <c r="AQ103" s="156">
        <v>0</v>
      </c>
      <c r="AR103" s="156">
        <v>0</v>
      </c>
      <c r="AS103" s="156">
        <v>0</v>
      </c>
      <c r="AT103" s="156">
        <v>0</v>
      </c>
      <c r="AU103" s="156">
        <v>0</v>
      </c>
      <c r="AV103" s="156">
        <v>0</v>
      </c>
      <c r="AW103" s="200">
        <v>0</v>
      </c>
      <c r="BF103" s="538"/>
      <c r="BG103" s="363" t="s">
        <v>146</v>
      </c>
      <c r="BH103" s="387">
        <v>0</v>
      </c>
      <c r="BI103" s="387">
        <v>0</v>
      </c>
      <c r="BJ103" s="387">
        <v>0</v>
      </c>
      <c r="BK103" s="387">
        <v>0</v>
      </c>
      <c r="BL103" s="387">
        <v>0</v>
      </c>
      <c r="BM103" s="387">
        <v>0</v>
      </c>
      <c r="BN103" s="387">
        <v>0</v>
      </c>
      <c r="BO103" s="387">
        <v>0</v>
      </c>
      <c r="BP103" s="387">
        <v>0</v>
      </c>
      <c r="BQ103" s="387">
        <v>0</v>
      </c>
      <c r="BR103" s="387">
        <v>0</v>
      </c>
      <c r="BS103" s="387">
        <v>0</v>
      </c>
      <c r="BT103" s="387">
        <v>0</v>
      </c>
      <c r="BU103" s="387">
        <v>0</v>
      </c>
      <c r="BV103" s="387">
        <v>0</v>
      </c>
      <c r="BW103" s="387">
        <v>0</v>
      </c>
      <c r="BX103" s="387">
        <v>0</v>
      </c>
      <c r="BY103" s="387">
        <v>0</v>
      </c>
      <c r="BZ103" s="387">
        <v>0</v>
      </c>
      <c r="CA103" s="387">
        <v>0</v>
      </c>
      <c r="CB103" s="387">
        <v>0</v>
      </c>
      <c r="CC103"/>
      <c r="CD103" s="196" t="s">
        <v>69</v>
      </c>
      <c r="CE103" s="395">
        <v>3.4404221783598921E-2</v>
      </c>
      <c r="CF103" s="141">
        <v>-4.2082417463382704E-3</v>
      </c>
      <c r="CG103" s="141">
        <v>-6.8856667843942843E-3</v>
      </c>
      <c r="CH103" s="345">
        <v>0</v>
      </c>
      <c r="CI103" s="345">
        <v>0</v>
      </c>
      <c r="CJ103" s="345">
        <v>0</v>
      </c>
      <c r="CK103" s="345">
        <v>0</v>
      </c>
      <c r="CL103" s="141">
        <v>6.3390302352250849E-3</v>
      </c>
      <c r="DA103" s="537"/>
      <c r="DB103" s="390" t="s">
        <v>146</v>
      </c>
      <c r="DC103" s="387">
        <v>0</v>
      </c>
      <c r="DD103" s="387">
        <v>0</v>
      </c>
      <c r="DE103" s="387">
        <v>0</v>
      </c>
      <c r="DF103" s="387">
        <v>0</v>
      </c>
      <c r="DG103" s="387">
        <v>0</v>
      </c>
      <c r="DH103" s="387">
        <v>0</v>
      </c>
      <c r="DI103" s="387">
        <v>0</v>
      </c>
      <c r="DJ103" s="387">
        <v>0</v>
      </c>
      <c r="DK103" s="387">
        <v>0</v>
      </c>
      <c r="DL103" s="387">
        <v>0</v>
      </c>
      <c r="DM103" s="387">
        <v>0</v>
      </c>
      <c r="DN103" s="387">
        <v>0</v>
      </c>
      <c r="DO103" s="387">
        <v>0</v>
      </c>
      <c r="DP103" s="387">
        <v>0</v>
      </c>
      <c r="DQ103" s="387">
        <v>0</v>
      </c>
      <c r="DR103" s="387">
        <v>0</v>
      </c>
      <c r="DS103" s="387">
        <v>0</v>
      </c>
      <c r="DT103" s="387">
        <v>0</v>
      </c>
      <c r="DU103" s="387">
        <v>0</v>
      </c>
      <c r="DV103" s="387">
        <v>0</v>
      </c>
      <c r="DW103" s="387">
        <v>0</v>
      </c>
    </row>
    <row r="104" spans="1:127" ht="14.25" customHeight="1">
      <c r="A104" s="544"/>
      <c r="B104" s="196" t="s">
        <v>83</v>
      </c>
      <c r="C104" s="156">
        <v>0</v>
      </c>
      <c r="D104" s="156">
        <v>0</v>
      </c>
      <c r="E104" s="156">
        <v>0</v>
      </c>
      <c r="F104" s="156">
        <v>0</v>
      </c>
      <c r="G104" s="156">
        <v>0</v>
      </c>
      <c r="H104" s="156">
        <v>0</v>
      </c>
      <c r="I104" s="156">
        <v>0</v>
      </c>
      <c r="J104" s="156">
        <v>0</v>
      </c>
      <c r="K104" s="156">
        <v>0</v>
      </c>
      <c r="L104" s="156">
        <v>0</v>
      </c>
      <c r="M104" s="156">
        <v>0</v>
      </c>
      <c r="N104" s="156">
        <v>0</v>
      </c>
      <c r="O104" s="156">
        <v>0</v>
      </c>
      <c r="P104" s="156">
        <v>0</v>
      </c>
      <c r="Q104" s="156">
        <v>0</v>
      </c>
      <c r="R104" s="156">
        <v>0</v>
      </c>
      <c r="S104" s="156">
        <v>0</v>
      </c>
      <c r="T104" s="156">
        <v>0</v>
      </c>
      <c r="U104" s="156">
        <v>0</v>
      </c>
      <c r="V104" s="156">
        <v>0</v>
      </c>
      <c r="W104" s="200">
        <v>0</v>
      </c>
      <c r="AA104" s="544"/>
      <c r="AB104" s="196" t="s">
        <v>83</v>
      </c>
      <c r="AC104" s="156">
        <v>0</v>
      </c>
      <c r="AD104" s="156">
        <v>0</v>
      </c>
      <c r="AE104" s="156">
        <v>0</v>
      </c>
      <c r="AF104" s="156">
        <v>0</v>
      </c>
      <c r="AG104" s="156">
        <v>0</v>
      </c>
      <c r="AH104" s="156">
        <v>0</v>
      </c>
      <c r="AI104" s="156">
        <v>0</v>
      </c>
      <c r="AJ104" s="156">
        <v>0</v>
      </c>
      <c r="AK104" s="156">
        <v>0</v>
      </c>
      <c r="AL104" s="156">
        <v>0</v>
      </c>
      <c r="AM104" s="156">
        <v>0</v>
      </c>
      <c r="AN104" s="156">
        <v>0</v>
      </c>
      <c r="AO104" s="156">
        <v>0</v>
      </c>
      <c r="AP104" s="156">
        <v>0</v>
      </c>
      <c r="AQ104" s="156">
        <v>0</v>
      </c>
      <c r="AR104" s="156">
        <v>0</v>
      </c>
      <c r="AS104" s="156">
        <v>0</v>
      </c>
      <c r="AT104" s="156">
        <v>0</v>
      </c>
      <c r="AU104" s="156">
        <v>0</v>
      </c>
      <c r="AV104" s="156">
        <v>0</v>
      </c>
      <c r="AW104" s="200">
        <v>0</v>
      </c>
      <c r="BF104" s="538"/>
      <c r="BG104" s="363" t="s">
        <v>83</v>
      </c>
      <c r="BH104" s="387">
        <v>0</v>
      </c>
      <c r="BI104" s="387">
        <v>0</v>
      </c>
      <c r="BJ104" s="387">
        <v>0</v>
      </c>
      <c r="BK104" s="387">
        <v>0</v>
      </c>
      <c r="BL104" s="387">
        <v>0</v>
      </c>
      <c r="BM104" s="387">
        <v>0</v>
      </c>
      <c r="BN104" s="387">
        <v>0</v>
      </c>
      <c r="BO104" s="387">
        <v>0</v>
      </c>
      <c r="BP104" s="387">
        <v>0</v>
      </c>
      <c r="BQ104" s="387">
        <v>0</v>
      </c>
      <c r="BR104" s="387">
        <v>0</v>
      </c>
      <c r="BS104" s="387">
        <v>0</v>
      </c>
      <c r="BT104" s="387">
        <v>0</v>
      </c>
      <c r="BU104" s="387">
        <v>0</v>
      </c>
      <c r="BV104" s="387">
        <v>0</v>
      </c>
      <c r="BW104" s="387">
        <v>0</v>
      </c>
      <c r="BX104" s="387">
        <v>0</v>
      </c>
      <c r="BY104" s="387">
        <v>0</v>
      </c>
      <c r="BZ104" s="387">
        <v>0</v>
      </c>
      <c r="CA104" s="387">
        <v>0</v>
      </c>
      <c r="CB104" s="387">
        <v>0</v>
      </c>
      <c r="CC104"/>
      <c r="CD104" s="196" t="s">
        <v>145</v>
      </c>
      <c r="CE104" s="395">
        <v>-4.3999682568576226E-3</v>
      </c>
      <c r="CF104" s="141">
        <v>-2.01325822502465E-2</v>
      </c>
      <c r="CG104" s="141">
        <v>-2.8247534577616862E-2</v>
      </c>
      <c r="CH104" s="345">
        <v>0</v>
      </c>
      <c r="CI104" s="345">
        <v>0</v>
      </c>
      <c r="CJ104" s="345">
        <v>0</v>
      </c>
      <c r="CK104" s="345">
        <v>0</v>
      </c>
      <c r="CL104" s="141">
        <v>-1.6606197228015041E-2</v>
      </c>
      <c r="DA104" s="537"/>
      <c r="DB104" s="390" t="s">
        <v>83</v>
      </c>
      <c r="DC104" s="387">
        <v>0</v>
      </c>
      <c r="DD104" s="387">
        <v>0</v>
      </c>
      <c r="DE104" s="387">
        <v>0</v>
      </c>
      <c r="DF104" s="387">
        <v>0</v>
      </c>
      <c r="DG104" s="387">
        <v>0</v>
      </c>
      <c r="DH104" s="387">
        <v>0</v>
      </c>
      <c r="DI104" s="387">
        <v>0</v>
      </c>
      <c r="DJ104" s="387">
        <v>0</v>
      </c>
      <c r="DK104" s="387">
        <v>0</v>
      </c>
      <c r="DL104" s="387">
        <v>0</v>
      </c>
      <c r="DM104" s="387">
        <v>0</v>
      </c>
      <c r="DN104" s="387">
        <v>0</v>
      </c>
      <c r="DO104" s="387">
        <v>0</v>
      </c>
      <c r="DP104" s="387">
        <v>0</v>
      </c>
      <c r="DQ104" s="387">
        <v>0</v>
      </c>
      <c r="DR104" s="387">
        <v>0</v>
      </c>
      <c r="DS104" s="387">
        <v>0</v>
      </c>
      <c r="DT104" s="387">
        <v>0</v>
      </c>
      <c r="DU104" s="387">
        <v>0</v>
      </c>
      <c r="DV104" s="387">
        <v>0</v>
      </c>
      <c r="DW104" s="387">
        <v>0</v>
      </c>
    </row>
    <row r="105" spans="1:127" ht="14.25" customHeight="1">
      <c r="A105" s="544"/>
      <c r="B105" s="196" t="s">
        <v>85</v>
      </c>
      <c r="C105" s="156">
        <v>0</v>
      </c>
      <c r="D105" s="156">
        <v>0</v>
      </c>
      <c r="E105" s="156">
        <v>0</v>
      </c>
      <c r="F105" s="156">
        <v>0</v>
      </c>
      <c r="G105" s="156">
        <v>0</v>
      </c>
      <c r="H105" s="156">
        <v>0</v>
      </c>
      <c r="I105" s="156">
        <v>0</v>
      </c>
      <c r="J105" s="156">
        <v>0</v>
      </c>
      <c r="K105" s="156">
        <v>0</v>
      </c>
      <c r="L105" s="156">
        <v>0</v>
      </c>
      <c r="M105" s="156">
        <v>0</v>
      </c>
      <c r="N105" s="156">
        <v>0</v>
      </c>
      <c r="O105" s="156">
        <v>0</v>
      </c>
      <c r="P105" s="156">
        <v>0</v>
      </c>
      <c r="Q105" s="156">
        <v>0</v>
      </c>
      <c r="R105" s="156">
        <v>0</v>
      </c>
      <c r="S105" s="156">
        <v>0</v>
      </c>
      <c r="T105" s="156">
        <v>0</v>
      </c>
      <c r="U105" s="156">
        <v>0</v>
      </c>
      <c r="V105" s="156">
        <v>0</v>
      </c>
      <c r="W105" s="200">
        <v>0</v>
      </c>
      <c r="AA105" s="544"/>
      <c r="AB105" s="196" t="s">
        <v>85</v>
      </c>
      <c r="AC105" s="156">
        <v>0</v>
      </c>
      <c r="AD105" s="156">
        <v>0</v>
      </c>
      <c r="AE105" s="156">
        <v>0</v>
      </c>
      <c r="AF105" s="156">
        <v>0</v>
      </c>
      <c r="AG105" s="156">
        <v>0</v>
      </c>
      <c r="AH105" s="156">
        <v>0</v>
      </c>
      <c r="AI105" s="156">
        <v>0</v>
      </c>
      <c r="AJ105" s="156">
        <v>0</v>
      </c>
      <c r="AK105" s="156">
        <v>0</v>
      </c>
      <c r="AL105" s="156">
        <v>0</v>
      </c>
      <c r="AM105" s="156">
        <v>0</v>
      </c>
      <c r="AN105" s="156">
        <v>0</v>
      </c>
      <c r="AO105" s="156">
        <v>0</v>
      </c>
      <c r="AP105" s="156">
        <v>0</v>
      </c>
      <c r="AQ105" s="156">
        <v>0</v>
      </c>
      <c r="AR105" s="156">
        <v>0</v>
      </c>
      <c r="AS105" s="156">
        <v>0</v>
      </c>
      <c r="AT105" s="156">
        <v>0</v>
      </c>
      <c r="AU105" s="156">
        <v>0</v>
      </c>
      <c r="AV105" s="156">
        <v>0</v>
      </c>
      <c r="AW105" s="200">
        <v>0</v>
      </c>
      <c r="BF105" s="538"/>
      <c r="BG105" s="363" t="s">
        <v>85</v>
      </c>
      <c r="BH105" s="387">
        <v>0</v>
      </c>
      <c r="BI105" s="387">
        <v>0</v>
      </c>
      <c r="BJ105" s="387">
        <v>0</v>
      </c>
      <c r="BK105" s="387">
        <v>0</v>
      </c>
      <c r="BL105" s="387">
        <v>0</v>
      </c>
      <c r="BM105" s="387">
        <v>0</v>
      </c>
      <c r="BN105" s="387">
        <v>0</v>
      </c>
      <c r="BO105" s="387">
        <v>0</v>
      </c>
      <c r="BP105" s="387">
        <v>0</v>
      </c>
      <c r="BQ105" s="387">
        <v>0</v>
      </c>
      <c r="BR105" s="387">
        <v>0</v>
      </c>
      <c r="BS105" s="387">
        <v>0</v>
      </c>
      <c r="BT105" s="387">
        <v>0</v>
      </c>
      <c r="BU105" s="387">
        <v>0</v>
      </c>
      <c r="BV105" s="387">
        <v>0</v>
      </c>
      <c r="BW105" s="387">
        <v>0</v>
      </c>
      <c r="BX105" s="387">
        <v>0</v>
      </c>
      <c r="BY105" s="387">
        <v>0</v>
      </c>
      <c r="BZ105" s="387">
        <v>0</v>
      </c>
      <c r="CA105" s="387">
        <v>0</v>
      </c>
      <c r="CB105" s="387">
        <v>0</v>
      </c>
      <c r="CC105"/>
      <c r="CD105" s="196" t="s">
        <v>73</v>
      </c>
      <c r="CE105" s="395">
        <v>6.5699560633403209E-4</v>
      </c>
      <c r="CF105" s="141">
        <v>-1.4258792201631731E-2</v>
      </c>
      <c r="CG105" s="141">
        <v>-2.1216424182096016E-2</v>
      </c>
      <c r="CH105" s="345">
        <v>0</v>
      </c>
      <c r="CI105" s="345">
        <v>0</v>
      </c>
      <c r="CJ105" s="345">
        <v>0</v>
      </c>
      <c r="CK105" s="345">
        <v>0</v>
      </c>
      <c r="CL105" s="141">
        <v>-1.5152476808989901E-2</v>
      </c>
      <c r="DA105" s="537"/>
      <c r="DB105" s="390" t="s">
        <v>85</v>
      </c>
      <c r="DC105" s="387">
        <v>0</v>
      </c>
      <c r="DD105" s="387">
        <v>0</v>
      </c>
      <c r="DE105" s="387">
        <v>0</v>
      </c>
      <c r="DF105" s="387">
        <v>0</v>
      </c>
      <c r="DG105" s="387">
        <v>0</v>
      </c>
      <c r="DH105" s="387">
        <v>0</v>
      </c>
      <c r="DI105" s="387">
        <v>0</v>
      </c>
      <c r="DJ105" s="387">
        <v>0</v>
      </c>
      <c r="DK105" s="387">
        <v>0</v>
      </c>
      <c r="DL105" s="387">
        <v>0</v>
      </c>
      <c r="DM105" s="387">
        <v>0</v>
      </c>
      <c r="DN105" s="387">
        <v>0</v>
      </c>
      <c r="DO105" s="387">
        <v>0</v>
      </c>
      <c r="DP105" s="387">
        <v>0</v>
      </c>
      <c r="DQ105" s="387">
        <v>0</v>
      </c>
      <c r="DR105" s="387">
        <v>0</v>
      </c>
      <c r="DS105" s="387">
        <v>0</v>
      </c>
      <c r="DT105" s="387">
        <v>0</v>
      </c>
      <c r="DU105" s="387">
        <v>0</v>
      </c>
      <c r="DV105" s="387">
        <v>0</v>
      </c>
      <c r="DW105" s="387">
        <v>0</v>
      </c>
    </row>
    <row r="106" spans="1:127" ht="14.25" customHeight="1">
      <c r="A106" s="544"/>
      <c r="B106" s="196" t="s">
        <v>88</v>
      </c>
      <c r="C106" s="156">
        <v>0</v>
      </c>
      <c r="D106" s="156">
        <v>0</v>
      </c>
      <c r="E106" s="156">
        <v>0</v>
      </c>
      <c r="F106" s="156">
        <v>0</v>
      </c>
      <c r="G106" s="156">
        <v>0</v>
      </c>
      <c r="H106" s="156">
        <v>0</v>
      </c>
      <c r="I106" s="156">
        <v>0</v>
      </c>
      <c r="J106" s="156">
        <v>0</v>
      </c>
      <c r="K106" s="156">
        <v>0</v>
      </c>
      <c r="L106" s="156">
        <v>0</v>
      </c>
      <c r="M106" s="156">
        <v>0</v>
      </c>
      <c r="N106" s="156">
        <v>0</v>
      </c>
      <c r="O106" s="156">
        <v>0</v>
      </c>
      <c r="P106" s="156">
        <v>0</v>
      </c>
      <c r="Q106" s="156">
        <v>0</v>
      </c>
      <c r="R106" s="156">
        <v>0</v>
      </c>
      <c r="S106" s="156">
        <v>0</v>
      </c>
      <c r="T106" s="156">
        <v>0</v>
      </c>
      <c r="U106" s="156">
        <v>0</v>
      </c>
      <c r="V106" s="156">
        <v>0</v>
      </c>
      <c r="W106" s="200">
        <v>0</v>
      </c>
      <c r="AA106" s="544"/>
      <c r="AB106" s="196" t="s">
        <v>88</v>
      </c>
      <c r="AC106" s="156">
        <v>0</v>
      </c>
      <c r="AD106" s="156">
        <v>0</v>
      </c>
      <c r="AE106" s="156">
        <v>0</v>
      </c>
      <c r="AF106" s="156">
        <v>0</v>
      </c>
      <c r="AG106" s="156">
        <v>0</v>
      </c>
      <c r="AH106" s="156">
        <v>0</v>
      </c>
      <c r="AI106" s="156">
        <v>0</v>
      </c>
      <c r="AJ106" s="156">
        <v>0</v>
      </c>
      <c r="AK106" s="156">
        <v>0</v>
      </c>
      <c r="AL106" s="156">
        <v>0</v>
      </c>
      <c r="AM106" s="156">
        <v>0</v>
      </c>
      <c r="AN106" s="156">
        <v>0</v>
      </c>
      <c r="AO106" s="156">
        <v>0</v>
      </c>
      <c r="AP106" s="156">
        <v>0</v>
      </c>
      <c r="AQ106" s="156">
        <v>0</v>
      </c>
      <c r="AR106" s="156">
        <v>0</v>
      </c>
      <c r="AS106" s="156">
        <v>0</v>
      </c>
      <c r="AT106" s="156">
        <v>0</v>
      </c>
      <c r="AU106" s="156">
        <v>0</v>
      </c>
      <c r="AV106" s="156">
        <v>0</v>
      </c>
      <c r="AW106" s="200">
        <v>0</v>
      </c>
      <c r="BF106" s="538"/>
      <c r="BG106" s="363" t="s">
        <v>88</v>
      </c>
      <c r="BH106" s="387">
        <v>0</v>
      </c>
      <c r="BI106" s="387">
        <v>0</v>
      </c>
      <c r="BJ106" s="387">
        <v>0</v>
      </c>
      <c r="BK106" s="387">
        <v>0</v>
      </c>
      <c r="BL106" s="387">
        <v>0</v>
      </c>
      <c r="BM106" s="387">
        <v>0</v>
      </c>
      <c r="BN106" s="387">
        <v>0</v>
      </c>
      <c r="BO106" s="387">
        <v>0</v>
      </c>
      <c r="BP106" s="387">
        <v>0</v>
      </c>
      <c r="BQ106" s="387">
        <v>0</v>
      </c>
      <c r="BR106" s="387">
        <v>0</v>
      </c>
      <c r="BS106" s="387">
        <v>0</v>
      </c>
      <c r="BT106" s="387">
        <v>0</v>
      </c>
      <c r="BU106" s="387">
        <v>0</v>
      </c>
      <c r="BV106" s="387">
        <v>0</v>
      </c>
      <c r="BW106" s="387">
        <v>0</v>
      </c>
      <c r="BX106" s="387">
        <v>0</v>
      </c>
      <c r="BY106" s="387">
        <v>0</v>
      </c>
      <c r="BZ106" s="387">
        <v>0</v>
      </c>
      <c r="CA106" s="387">
        <v>0</v>
      </c>
      <c r="CB106" s="387">
        <v>0</v>
      </c>
      <c r="CC106"/>
      <c r="CD106" s="196" t="s">
        <v>75</v>
      </c>
      <c r="CE106" s="395">
        <v>-3.1133386602155588E-2</v>
      </c>
      <c r="CF106" s="141">
        <v>7.9920779022559785E-3</v>
      </c>
      <c r="CG106" s="141">
        <v>-4.0374248536110824E-2</v>
      </c>
      <c r="CH106" s="345">
        <v>0</v>
      </c>
      <c r="CI106" s="345">
        <v>0</v>
      </c>
      <c r="CJ106" s="345">
        <v>0</v>
      </c>
      <c r="CK106" s="345">
        <v>0</v>
      </c>
      <c r="CL106" s="141">
        <v>-1.5670222108031373E-2</v>
      </c>
      <c r="DA106" s="537"/>
      <c r="DB106" s="390" t="s">
        <v>88</v>
      </c>
      <c r="DC106" s="387">
        <v>0</v>
      </c>
      <c r="DD106" s="387">
        <v>0</v>
      </c>
      <c r="DE106" s="387">
        <v>0</v>
      </c>
      <c r="DF106" s="387">
        <v>0</v>
      </c>
      <c r="DG106" s="387">
        <v>0</v>
      </c>
      <c r="DH106" s="387">
        <v>0</v>
      </c>
      <c r="DI106" s="387">
        <v>0</v>
      </c>
      <c r="DJ106" s="387">
        <v>0</v>
      </c>
      <c r="DK106" s="387">
        <v>0</v>
      </c>
      <c r="DL106" s="387">
        <v>0</v>
      </c>
      <c r="DM106" s="387">
        <v>0</v>
      </c>
      <c r="DN106" s="387">
        <v>0</v>
      </c>
      <c r="DO106" s="387">
        <v>0</v>
      </c>
      <c r="DP106" s="387">
        <v>0</v>
      </c>
      <c r="DQ106" s="387">
        <v>0</v>
      </c>
      <c r="DR106" s="387">
        <v>0</v>
      </c>
      <c r="DS106" s="387">
        <v>0</v>
      </c>
      <c r="DT106" s="387">
        <v>0</v>
      </c>
      <c r="DU106" s="387">
        <v>0</v>
      </c>
      <c r="DV106" s="387">
        <v>0</v>
      </c>
      <c r="DW106" s="387">
        <v>0</v>
      </c>
    </row>
    <row r="107" spans="1:127" ht="14.25" customHeight="1">
      <c r="A107" s="545"/>
      <c r="B107" s="196" t="s">
        <v>147</v>
      </c>
      <c r="C107" s="156">
        <v>0</v>
      </c>
      <c r="D107" s="156">
        <v>0</v>
      </c>
      <c r="E107" s="156">
        <v>0</v>
      </c>
      <c r="F107" s="156">
        <v>0</v>
      </c>
      <c r="G107" s="156">
        <v>0</v>
      </c>
      <c r="H107" s="156">
        <v>0</v>
      </c>
      <c r="I107" s="156">
        <v>0</v>
      </c>
      <c r="J107" s="156">
        <v>0</v>
      </c>
      <c r="K107" s="156">
        <v>0</v>
      </c>
      <c r="L107" s="156">
        <v>0</v>
      </c>
      <c r="M107" s="156">
        <v>0</v>
      </c>
      <c r="N107" s="156">
        <v>0</v>
      </c>
      <c r="O107" s="156">
        <v>0</v>
      </c>
      <c r="P107" s="156">
        <v>0</v>
      </c>
      <c r="Q107" s="156">
        <v>0</v>
      </c>
      <c r="R107" s="156">
        <v>0</v>
      </c>
      <c r="S107" s="156">
        <v>0</v>
      </c>
      <c r="T107" s="156">
        <v>0</v>
      </c>
      <c r="U107" s="156">
        <v>0</v>
      </c>
      <c r="V107" s="156">
        <v>0</v>
      </c>
      <c r="W107" s="200">
        <v>0</v>
      </c>
      <c r="AA107" s="545"/>
      <c r="AB107" s="196" t="s">
        <v>147</v>
      </c>
      <c r="AC107" s="156">
        <v>0</v>
      </c>
      <c r="AD107" s="156">
        <v>0</v>
      </c>
      <c r="AE107" s="156">
        <v>0</v>
      </c>
      <c r="AF107" s="156">
        <v>0</v>
      </c>
      <c r="AG107" s="156">
        <v>0</v>
      </c>
      <c r="AH107" s="156">
        <v>0</v>
      </c>
      <c r="AI107" s="156">
        <v>0</v>
      </c>
      <c r="AJ107" s="156">
        <v>0</v>
      </c>
      <c r="AK107" s="156">
        <v>0</v>
      </c>
      <c r="AL107" s="156">
        <v>0</v>
      </c>
      <c r="AM107" s="156">
        <v>0</v>
      </c>
      <c r="AN107" s="156">
        <v>0</v>
      </c>
      <c r="AO107" s="156">
        <v>0</v>
      </c>
      <c r="AP107" s="156">
        <v>0</v>
      </c>
      <c r="AQ107" s="156">
        <v>0</v>
      </c>
      <c r="AR107" s="156">
        <v>0</v>
      </c>
      <c r="AS107" s="156">
        <v>0</v>
      </c>
      <c r="AT107" s="156">
        <v>0</v>
      </c>
      <c r="AU107" s="156">
        <v>0</v>
      </c>
      <c r="AV107" s="156">
        <v>0</v>
      </c>
      <c r="AW107" s="200">
        <v>0</v>
      </c>
      <c r="BF107" s="538"/>
      <c r="BG107" s="363" t="s">
        <v>147</v>
      </c>
      <c r="BH107" s="387">
        <v>0</v>
      </c>
      <c r="BI107" s="387">
        <v>0</v>
      </c>
      <c r="BJ107" s="387">
        <v>0</v>
      </c>
      <c r="BK107" s="387">
        <v>0</v>
      </c>
      <c r="BL107" s="387">
        <v>0</v>
      </c>
      <c r="BM107" s="387">
        <v>0</v>
      </c>
      <c r="BN107" s="387">
        <v>0</v>
      </c>
      <c r="BO107" s="387">
        <v>0</v>
      </c>
      <c r="BP107" s="387">
        <v>0</v>
      </c>
      <c r="BQ107" s="387">
        <v>0</v>
      </c>
      <c r="BR107" s="387">
        <v>0</v>
      </c>
      <c r="BS107" s="387">
        <v>0</v>
      </c>
      <c r="BT107" s="387">
        <v>0</v>
      </c>
      <c r="BU107" s="387">
        <v>0</v>
      </c>
      <c r="BV107" s="387">
        <v>0</v>
      </c>
      <c r="BW107" s="387">
        <v>0</v>
      </c>
      <c r="BX107" s="387">
        <v>0</v>
      </c>
      <c r="BY107" s="387">
        <v>0</v>
      </c>
      <c r="BZ107" s="387">
        <v>0</v>
      </c>
      <c r="CA107" s="387">
        <v>0</v>
      </c>
      <c r="CB107" s="387">
        <v>0</v>
      </c>
      <c r="CC107"/>
      <c r="CD107" s="196" t="s">
        <v>146</v>
      </c>
      <c r="CE107" s="395">
        <v>2.331632030417996E-2</v>
      </c>
      <c r="CF107" s="141">
        <v>-7.5377991162044466E-3</v>
      </c>
      <c r="CG107" s="141">
        <v>-1.5375150221457745E-2</v>
      </c>
      <c r="CH107" s="345">
        <v>0</v>
      </c>
      <c r="CI107" s="345">
        <v>0</v>
      </c>
      <c r="CJ107" s="345">
        <v>0</v>
      </c>
      <c r="CK107" s="345">
        <v>0</v>
      </c>
      <c r="CL107" s="141">
        <v>-2.419831727033972E-3</v>
      </c>
      <c r="DA107" s="537"/>
      <c r="DB107" s="390" t="s">
        <v>147</v>
      </c>
      <c r="DC107" s="387">
        <v>0</v>
      </c>
      <c r="DD107" s="387">
        <v>0</v>
      </c>
      <c r="DE107" s="387">
        <v>0</v>
      </c>
      <c r="DF107" s="387">
        <v>0</v>
      </c>
      <c r="DG107" s="387">
        <v>0</v>
      </c>
      <c r="DH107" s="387">
        <v>0</v>
      </c>
      <c r="DI107" s="387">
        <v>0</v>
      </c>
      <c r="DJ107" s="387">
        <v>0</v>
      </c>
      <c r="DK107" s="387">
        <v>0</v>
      </c>
      <c r="DL107" s="387">
        <v>0</v>
      </c>
      <c r="DM107" s="387">
        <v>0</v>
      </c>
      <c r="DN107" s="387">
        <v>0</v>
      </c>
      <c r="DO107" s="387">
        <v>0</v>
      </c>
      <c r="DP107" s="387">
        <v>0</v>
      </c>
      <c r="DQ107" s="387">
        <v>0</v>
      </c>
      <c r="DR107" s="387">
        <v>0</v>
      </c>
      <c r="DS107" s="387">
        <v>0</v>
      </c>
      <c r="DT107" s="387">
        <v>0</v>
      </c>
      <c r="DU107" s="387">
        <v>0</v>
      </c>
      <c r="DV107" s="387">
        <v>0</v>
      </c>
      <c r="DW107" s="387">
        <v>0</v>
      </c>
    </row>
    <row r="108" spans="1:127" ht="14.25" customHeight="1">
      <c r="A108" s="543" t="s">
        <v>59</v>
      </c>
      <c r="B108" s="196" t="s">
        <v>139</v>
      </c>
      <c r="C108" s="156">
        <v>0.5449201679632556</v>
      </c>
      <c r="D108" s="156">
        <v>0</v>
      </c>
      <c r="E108" s="156">
        <v>0</v>
      </c>
      <c r="F108" s="156">
        <v>0</v>
      </c>
      <c r="G108" s="156">
        <v>0</v>
      </c>
      <c r="H108" s="156">
        <v>0</v>
      </c>
      <c r="I108" s="156">
        <v>0</v>
      </c>
      <c r="J108" s="156">
        <v>0</v>
      </c>
      <c r="K108" s="156">
        <v>0</v>
      </c>
      <c r="L108" s="156">
        <v>0</v>
      </c>
      <c r="M108" s="156">
        <v>0</v>
      </c>
      <c r="N108" s="156">
        <v>0</v>
      </c>
      <c r="O108" s="156">
        <v>0</v>
      </c>
      <c r="P108" s="156">
        <v>0</v>
      </c>
      <c r="Q108" s="156">
        <v>0</v>
      </c>
      <c r="R108" s="156">
        <v>0</v>
      </c>
      <c r="S108" s="156">
        <v>0</v>
      </c>
      <c r="T108" s="156">
        <v>0</v>
      </c>
      <c r="U108" s="156">
        <v>0</v>
      </c>
      <c r="V108" s="156">
        <v>0</v>
      </c>
      <c r="W108" s="200">
        <v>0</v>
      </c>
      <c r="AA108" s="543" t="s">
        <v>59</v>
      </c>
      <c r="AB108" s="196" t="s">
        <v>139</v>
      </c>
      <c r="AC108" s="156">
        <v>0</v>
      </c>
      <c r="AD108" s="156">
        <v>0</v>
      </c>
      <c r="AE108" s="156">
        <v>0</v>
      </c>
      <c r="AF108" s="156">
        <v>0</v>
      </c>
      <c r="AG108" s="156">
        <v>0</v>
      </c>
      <c r="AH108" s="156">
        <v>0</v>
      </c>
      <c r="AI108" s="156">
        <v>0</v>
      </c>
      <c r="AJ108" s="156">
        <v>0</v>
      </c>
      <c r="AK108" s="156">
        <v>0</v>
      </c>
      <c r="AL108" s="156">
        <v>0</v>
      </c>
      <c r="AM108" s="156">
        <v>0</v>
      </c>
      <c r="AN108" s="156">
        <v>0</v>
      </c>
      <c r="AO108" s="156">
        <v>0</v>
      </c>
      <c r="AP108" s="156">
        <v>0</v>
      </c>
      <c r="AQ108" s="156">
        <v>0</v>
      </c>
      <c r="AR108" s="156">
        <v>0</v>
      </c>
      <c r="AS108" s="156">
        <v>0</v>
      </c>
      <c r="AT108" s="156">
        <v>0</v>
      </c>
      <c r="AU108" s="156">
        <v>0</v>
      </c>
      <c r="AV108" s="156">
        <v>0</v>
      </c>
      <c r="AW108" s="200">
        <v>0</v>
      </c>
      <c r="BF108" s="538" t="s">
        <v>1384</v>
      </c>
      <c r="BG108" s="363" t="s">
        <v>139</v>
      </c>
      <c r="BH108" s="385">
        <v>0</v>
      </c>
      <c r="BI108" s="385">
        <v>0</v>
      </c>
      <c r="BJ108" s="385">
        <v>0</v>
      </c>
      <c r="BK108" s="385">
        <v>0</v>
      </c>
      <c r="BL108" s="385">
        <v>0</v>
      </c>
      <c r="BM108" s="386">
        <v>0</v>
      </c>
      <c r="BN108" s="386">
        <v>0</v>
      </c>
      <c r="BO108" s="386">
        <v>0</v>
      </c>
      <c r="BP108" s="385">
        <v>0</v>
      </c>
      <c r="BQ108" s="385">
        <v>0</v>
      </c>
      <c r="BR108" s="385">
        <v>0</v>
      </c>
      <c r="BS108" s="385">
        <v>0</v>
      </c>
      <c r="BT108" s="385">
        <v>0</v>
      </c>
      <c r="BU108" s="385">
        <v>0</v>
      </c>
      <c r="BV108" s="385">
        <v>0</v>
      </c>
      <c r="BW108" s="385">
        <v>0</v>
      </c>
      <c r="BX108" s="385">
        <v>0</v>
      </c>
      <c r="BY108" s="385">
        <v>0</v>
      </c>
      <c r="BZ108" s="385">
        <v>0</v>
      </c>
      <c r="CA108" s="385">
        <v>0</v>
      </c>
      <c r="CB108" s="385">
        <v>0</v>
      </c>
      <c r="CC108"/>
      <c r="CD108" s="196" t="s">
        <v>83</v>
      </c>
      <c r="CE108" s="395">
        <v>2.2553126678305002E-2</v>
      </c>
      <c r="CF108" s="141">
        <v>7.4791622586640738E-3</v>
      </c>
      <c r="CG108" s="141">
        <v>-5.8377149286636953E-3</v>
      </c>
      <c r="CH108" s="345">
        <v>0</v>
      </c>
      <c r="CI108" s="345">
        <v>0</v>
      </c>
      <c r="CJ108" s="345">
        <v>0</v>
      </c>
      <c r="CK108" s="345">
        <v>0</v>
      </c>
      <c r="CL108" s="141">
        <v>5.8498363891679173E-3</v>
      </c>
      <c r="DA108" s="538" t="s">
        <v>1384</v>
      </c>
      <c r="DB108" s="363" t="s">
        <v>139</v>
      </c>
      <c r="DC108" s="387">
        <v>0</v>
      </c>
      <c r="DD108" s="387">
        <v>0</v>
      </c>
      <c r="DE108" s="387">
        <v>0</v>
      </c>
      <c r="DF108" s="387">
        <v>0</v>
      </c>
      <c r="DG108" s="387">
        <v>0</v>
      </c>
      <c r="DH108" s="387">
        <v>0</v>
      </c>
      <c r="DI108" s="387">
        <v>0</v>
      </c>
      <c r="DJ108" s="387">
        <v>0</v>
      </c>
      <c r="DK108" s="387">
        <v>0</v>
      </c>
      <c r="DL108" s="387">
        <v>0</v>
      </c>
      <c r="DM108" s="387">
        <v>0</v>
      </c>
      <c r="DN108" s="387">
        <v>0</v>
      </c>
      <c r="DO108" s="387">
        <v>0</v>
      </c>
      <c r="DP108" s="387">
        <v>0</v>
      </c>
      <c r="DQ108" s="387">
        <v>0</v>
      </c>
      <c r="DR108" s="387">
        <v>0</v>
      </c>
      <c r="DS108" s="387">
        <v>0</v>
      </c>
      <c r="DT108" s="387">
        <v>0</v>
      </c>
      <c r="DU108" s="387">
        <v>0</v>
      </c>
      <c r="DV108" s="387">
        <v>0</v>
      </c>
      <c r="DW108" s="387">
        <v>0</v>
      </c>
    </row>
    <row r="109" spans="1:127" ht="14.25" customHeight="1">
      <c r="A109" s="544"/>
      <c r="B109" s="196" t="s">
        <v>37</v>
      </c>
      <c r="C109" s="156">
        <v>0</v>
      </c>
      <c r="D109" s="156">
        <v>0.21668738427652701</v>
      </c>
      <c r="E109" s="156">
        <v>0</v>
      </c>
      <c r="F109" s="156">
        <v>0</v>
      </c>
      <c r="G109" s="156">
        <v>0</v>
      </c>
      <c r="H109" s="156">
        <v>0</v>
      </c>
      <c r="I109" s="156">
        <v>0</v>
      </c>
      <c r="J109" s="156">
        <v>0</v>
      </c>
      <c r="K109" s="156">
        <v>0</v>
      </c>
      <c r="L109" s="156">
        <v>0</v>
      </c>
      <c r="M109" s="156">
        <v>0</v>
      </c>
      <c r="N109" s="156">
        <v>0</v>
      </c>
      <c r="O109" s="156">
        <v>0</v>
      </c>
      <c r="P109" s="156">
        <v>0</v>
      </c>
      <c r="Q109" s="156">
        <v>0</v>
      </c>
      <c r="R109" s="156">
        <v>0</v>
      </c>
      <c r="S109" s="156">
        <v>0</v>
      </c>
      <c r="T109" s="156">
        <v>0</v>
      </c>
      <c r="U109" s="156">
        <v>0</v>
      </c>
      <c r="V109" s="156">
        <v>0</v>
      </c>
      <c r="W109" s="200">
        <v>0</v>
      </c>
      <c r="AA109" s="544"/>
      <c r="AB109" s="196" t="s">
        <v>37</v>
      </c>
      <c r="AC109" s="156">
        <v>0</v>
      </c>
      <c r="AD109" s="156">
        <v>0</v>
      </c>
      <c r="AE109" s="156">
        <v>0</v>
      </c>
      <c r="AF109" s="156">
        <v>0</v>
      </c>
      <c r="AG109" s="156">
        <v>0</v>
      </c>
      <c r="AH109" s="156">
        <v>0</v>
      </c>
      <c r="AI109" s="156">
        <v>0</v>
      </c>
      <c r="AJ109" s="156">
        <v>0</v>
      </c>
      <c r="AK109" s="156">
        <v>0</v>
      </c>
      <c r="AL109" s="156">
        <v>0</v>
      </c>
      <c r="AM109" s="156">
        <v>0</v>
      </c>
      <c r="AN109" s="156">
        <v>0</v>
      </c>
      <c r="AO109" s="156">
        <v>0</v>
      </c>
      <c r="AP109" s="156">
        <v>0</v>
      </c>
      <c r="AQ109" s="156">
        <v>0</v>
      </c>
      <c r="AR109" s="156">
        <v>0</v>
      </c>
      <c r="AS109" s="156">
        <v>0</v>
      </c>
      <c r="AT109" s="156">
        <v>0</v>
      </c>
      <c r="AU109" s="156">
        <v>0</v>
      </c>
      <c r="AV109" s="156">
        <v>0</v>
      </c>
      <c r="AW109" s="200">
        <v>0</v>
      </c>
      <c r="BF109" s="538"/>
      <c r="BG109" s="363" t="s">
        <v>37</v>
      </c>
      <c r="BH109" s="385">
        <v>0</v>
      </c>
      <c r="BI109" s="385">
        <v>0</v>
      </c>
      <c r="BJ109" s="385">
        <v>0</v>
      </c>
      <c r="BK109" s="385">
        <v>0</v>
      </c>
      <c r="BL109" s="385">
        <v>0</v>
      </c>
      <c r="BM109" s="386">
        <v>0</v>
      </c>
      <c r="BN109" s="386">
        <v>0</v>
      </c>
      <c r="BO109" s="386">
        <v>0</v>
      </c>
      <c r="BP109" s="385">
        <v>0</v>
      </c>
      <c r="BQ109" s="385">
        <v>0</v>
      </c>
      <c r="BR109" s="385">
        <v>0</v>
      </c>
      <c r="BS109" s="385">
        <v>0</v>
      </c>
      <c r="BT109" s="385">
        <v>0</v>
      </c>
      <c r="BU109" s="385">
        <v>0</v>
      </c>
      <c r="BV109" s="385">
        <v>0</v>
      </c>
      <c r="BW109" s="385">
        <v>0</v>
      </c>
      <c r="BX109" s="385">
        <v>0</v>
      </c>
      <c r="BY109" s="385">
        <v>0</v>
      </c>
      <c r="BZ109" s="385">
        <v>0</v>
      </c>
      <c r="CA109" s="385">
        <v>0</v>
      </c>
      <c r="CB109" s="385">
        <v>0</v>
      </c>
      <c r="CC109"/>
      <c r="CD109" s="196" t="s">
        <v>85</v>
      </c>
      <c r="CE109" s="395">
        <v>-3.1602368522365865E-2</v>
      </c>
      <c r="CF109" s="141">
        <v>-4.3599125275573303E-2</v>
      </c>
      <c r="CG109" s="141">
        <v>-4.3478197902176441E-2</v>
      </c>
      <c r="CH109" s="345">
        <v>0</v>
      </c>
      <c r="CI109" s="345">
        <v>0</v>
      </c>
      <c r="CJ109" s="345">
        <v>0</v>
      </c>
      <c r="CK109" s="345">
        <v>0</v>
      </c>
      <c r="CL109" s="141">
        <v>-9.2533792321848329E-3</v>
      </c>
      <c r="DA109" s="538"/>
      <c r="DB109" s="363" t="s">
        <v>37</v>
      </c>
      <c r="DC109" s="387">
        <v>0</v>
      </c>
      <c r="DD109" s="387">
        <v>0</v>
      </c>
      <c r="DE109" s="387">
        <v>0</v>
      </c>
      <c r="DF109" s="387">
        <v>0</v>
      </c>
      <c r="DG109" s="387">
        <v>0</v>
      </c>
      <c r="DH109" s="387">
        <v>0</v>
      </c>
      <c r="DI109" s="387">
        <v>0</v>
      </c>
      <c r="DJ109" s="387">
        <v>0</v>
      </c>
      <c r="DK109" s="387">
        <v>0</v>
      </c>
      <c r="DL109" s="387">
        <v>0</v>
      </c>
      <c r="DM109" s="387">
        <v>0</v>
      </c>
      <c r="DN109" s="387">
        <v>0</v>
      </c>
      <c r="DO109" s="387">
        <v>0</v>
      </c>
      <c r="DP109" s="387">
        <v>0</v>
      </c>
      <c r="DQ109" s="387">
        <v>0</v>
      </c>
      <c r="DR109" s="387">
        <v>0</v>
      </c>
      <c r="DS109" s="387">
        <v>0</v>
      </c>
      <c r="DT109" s="387">
        <v>0</v>
      </c>
      <c r="DU109" s="387">
        <v>0</v>
      </c>
      <c r="DV109" s="387">
        <v>0</v>
      </c>
      <c r="DW109" s="387">
        <v>0</v>
      </c>
    </row>
    <row r="110" spans="1:127" ht="14.25" customHeight="1">
      <c r="A110" s="544"/>
      <c r="B110" s="196" t="s">
        <v>140</v>
      </c>
      <c r="C110" s="156">
        <v>0</v>
      </c>
      <c r="D110" s="156">
        <v>0</v>
      </c>
      <c r="E110" s="156">
        <v>0.32413933529832001</v>
      </c>
      <c r="F110" s="156">
        <v>0</v>
      </c>
      <c r="G110" s="156">
        <v>0</v>
      </c>
      <c r="H110" s="156">
        <v>0</v>
      </c>
      <c r="I110" s="156">
        <v>0</v>
      </c>
      <c r="J110" s="156">
        <v>0</v>
      </c>
      <c r="K110" s="156">
        <v>0</v>
      </c>
      <c r="L110" s="156">
        <v>0</v>
      </c>
      <c r="M110" s="156">
        <v>0</v>
      </c>
      <c r="N110" s="156">
        <v>0</v>
      </c>
      <c r="O110" s="156">
        <v>0</v>
      </c>
      <c r="P110" s="156">
        <v>0</v>
      </c>
      <c r="Q110" s="156">
        <v>0</v>
      </c>
      <c r="R110" s="156">
        <v>0</v>
      </c>
      <c r="S110" s="156">
        <v>0</v>
      </c>
      <c r="T110" s="156">
        <v>0</v>
      </c>
      <c r="U110" s="156">
        <v>0</v>
      </c>
      <c r="V110" s="156">
        <v>0</v>
      </c>
      <c r="W110" s="200">
        <v>0</v>
      </c>
      <c r="AA110" s="544"/>
      <c r="AB110" s="196" t="s">
        <v>140</v>
      </c>
      <c r="AC110" s="156">
        <v>0</v>
      </c>
      <c r="AD110" s="156">
        <v>0</v>
      </c>
      <c r="AE110" s="156">
        <v>0</v>
      </c>
      <c r="AF110" s="156">
        <v>0</v>
      </c>
      <c r="AG110" s="156">
        <v>0</v>
      </c>
      <c r="AH110" s="156">
        <v>0</v>
      </c>
      <c r="AI110" s="156">
        <v>0</v>
      </c>
      <c r="AJ110" s="156">
        <v>0</v>
      </c>
      <c r="AK110" s="156">
        <v>0</v>
      </c>
      <c r="AL110" s="156">
        <v>0</v>
      </c>
      <c r="AM110" s="156">
        <v>0</v>
      </c>
      <c r="AN110" s="156">
        <v>0</v>
      </c>
      <c r="AO110" s="156">
        <v>0</v>
      </c>
      <c r="AP110" s="156">
        <v>0</v>
      </c>
      <c r="AQ110" s="156">
        <v>0</v>
      </c>
      <c r="AR110" s="156">
        <v>0</v>
      </c>
      <c r="AS110" s="156">
        <v>0</v>
      </c>
      <c r="AT110" s="156">
        <v>0</v>
      </c>
      <c r="AU110" s="156">
        <v>0</v>
      </c>
      <c r="AV110" s="156">
        <v>0</v>
      </c>
      <c r="AW110" s="200">
        <v>0</v>
      </c>
      <c r="BF110" s="538"/>
      <c r="BG110" s="363" t="s">
        <v>140</v>
      </c>
      <c r="BH110" s="385">
        <v>0</v>
      </c>
      <c r="BI110" s="385">
        <v>0</v>
      </c>
      <c r="BJ110" s="385">
        <v>0</v>
      </c>
      <c r="BK110" s="385">
        <v>0</v>
      </c>
      <c r="BL110" s="385">
        <v>0</v>
      </c>
      <c r="BM110" s="386">
        <v>0</v>
      </c>
      <c r="BN110" s="386">
        <v>0</v>
      </c>
      <c r="BO110" s="386">
        <v>0</v>
      </c>
      <c r="BP110" s="385">
        <v>0</v>
      </c>
      <c r="BQ110" s="385">
        <v>0</v>
      </c>
      <c r="BR110" s="385">
        <v>0</v>
      </c>
      <c r="BS110" s="385">
        <v>0</v>
      </c>
      <c r="BT110" s="385">
        <v>0</v>
      </c>
      <c r="BU110" s="385">
        <v>0</v>
      </c>
      <c r="BV110" s="385">
        <v>0</v>
      </c>
      <c r="BW110" s="385">
        <v>0</v>
      </c>
      <c r="BX110" s="385">
        <v>0</v>
      </c>
      <c r="BY110" s="385">
        <v>0</v>
      </c>
      <c r="BZ110" s="385">
        <v>0</v>
      </c>
      <c r="CA110" s="385">
        <v>0</v>
      </c>
      <c r="CB110" s="385">
        <v>0</v>
      </c>
      <c r="CC110"/>
      <c r="CD110" s="196" t="s">
        <v>88</v>
      </c>
      <c r="CE110" s="395">
        <v>2.3874085505626974E-2</v>
      </c>
      <c r="CF110" s="141">
        <v>-1.7666621831799789E-2</v>
      </c>
      <c r="CG110" s="141">
        <v>-3.1843918266784232E-2</v>
      </c>
      <c r="CH110" s="345">
        <v>0</v>
      </c>
      <c r="CI110" s="345">
        <v>0</v>
      </c>
      <c r="CJ110" s="345">
        <v>0</v>
      </c>
      <c r="CK110" s="345">
        <v>0</v>
      </c>
      <c r="CL110" s="141">
        <v>-1.2541387417379757E-2</v>
      </c>
      <c r="DA110" s="538"/>
      <c r="DB110" s="363" t="s">
        <v>140</v>
      </c>
      <c r="DC110" s="387">
        <v>0</v>
      </c>
      <c r="DD110" s="387">
        <v>0</v>
      </c>
      <c r="DE110" s="387">
        <v>0</v>
      </c>
      <c r="DF110" s="387">
        <v>0</v>
      </c>
      <c r="DG110" s="387">
        <v>0</v>
      </c>
      <c r="DH110" s="387">
        <v>0</v>
      </c>
      <c r="DI110" s="387">
        <v>0</v>
      </c>
      <c r="DJ110" s="387">
        <v>0</v>
      </c>
      <c r="DK110" s="387">
        <v>0</v>
      </c>
      <c r="DL110" s="387">
        <v>0</v>
      </c>
      <c r="DM110" s="387">
        <v>0</v>
      </c>
      <c r="DN110" s="387">
        <v>0</v>
      </c>
      <c r="DO110" s="387">
        <v>0</v>
      </c>
      <c r="DP110" s="387">
        <v>0</v>
      </c>
      <c r="DQ110" s="387">
        <v>0</v>
      </c>
      <c r="DR110" s="387">
        <v>0</v>
      </c>
      <c r="DS110" s="387">
        <v>0</v>
      </c>
      <c r="DT110" s="387">
        <v>0</v>
      </c>
      <c r="DU110" s="387">
        <v>0</v>
      </c>
      <c r="DV110" s="387">
        <v>0</v>
      </c>
      <c r="DW110" s="387">
        <v>0</v>
      </c>
    </row>
    <row r="111" spans="1:127" ht="14.25" customHeight="1">
      <c r="A111" s="544"/>
      <c r="B111" s="196" t="s">
        <v>48</v>
      </c>
      <c r="C111" s="156">
        <v>0</v>
      </c>
      <c r="D111" s="156">
        <v>0</v>
      </c>
      <c r="E111" s="156">
        <v>0</v>
      </c>
      <c r="F111" s="156">
        <v>5.3813292003388857E-2</v>
      </c>
      <c r="G111" s="156">
        <v>0</v>
      </c>
      <c r="H111" s="156">
        <v>0</v>
      </c>
      <c r="I111" s="156">
        <v>0</v>
      </c>
      <c r="J111" s="156">
        <v>0</v>
      </c>
      <c r="K111" s="156">
        <v>0</v>
      </c>
      <c r="L111" s="156">
        <v>0</v>
      </c>
      <c r="M111" s="156">
        <v>0</v>
      </c>
      <c r="N111" s="156">
        <v>0</v>
      </c>
      <c r="O111" s="156">
        <v>0</v>
      </c>
      <c r="P111" s="156">
        <v>0</v>
      </c>
      <c r="Q111" s="156">
        <v>0</v>
      </c>
      <c r="R111" s="156">
        <v>0</v>
      </c>
      <c r="S111" s="156">
        <v>0</v>
      </c>
      <c r="T111" s="156">
        <v>0</v>
      </c>
      <c r="U111" s="156">
        <v>0</v>
      </c>
      <c r="V111" s="156">
        <v>0</v>
      </c>
      <c r="W111" s="200">
        <v>0</v>
      </c>
      <c r="AA111" s="544"/>
      <c r="AB111" s="196" t="s">
        <v>48</v>
      </c>
      <c r="AC111" s="156">
        <v>0</v>
      </c>
      <c r="AD111" s="156">
        <v>0</v>
      </c>
      <c r="AE111" s="156">
        <v>0</v>
      </c>
      <c r="AF111" s="156">
        <v>0</v>
      </c>
      <c r="AG111" s="156">
        <v>0</v>
      </c>
      <c r="AH111" s="156">
        <v>0</v>
      </c>
      <c r="AI111" s="156">
        <v>0</v>
      </c>
      <c r="AJ111" s="156">
        <v>0</v>
      </c>
      <c r="AK111" s="156">
        <v>0</v>
      </c>
      <c r="AL111" s="156">
        <v>0</v>
      </c>
      <c r="AM111" s="156">
        <v>0</v>
      </c>
      <c r="AN111" s="156">
        <v>0</v>
      </c>
      <c r="AO111" s="156">
        <v>0</v>
      </c>
      <c r="AP111" s="156">
        <v>0</v>
      </c>
      <c r="AQ111" s="156">
        <v>0</v>
      </c>
      <c r="AR111" s="156">
        <v>0</v>
      </c>
      <c r="AS111" s="156">
        <v>0</v>
      </c>
      <c r="AT111" s="156">
        <v>0</v>
      </c>
      <c r="AU111" s="156">
        <v>0</v>
      </c>
      <c r="AV111" s="156">
        <v>0</v>
      </c>
      <c r="AW111" s="200">
        <v>0</v>
      </c>
      <c r="BF111" s="538"/>
      <c r="BG111" s="363" t="s">
        <v>48</v>
      </c>
      <c r="BH111" s="385">
        <v>0</v>
      </c>
      <c r="BI111" s="385">
        <v>0</v>
      </c>
      <c r="BJ111" s="385">
        <v>0</v>
      </c>
      <c r="BK111" s="385">
        <v>0</v>
      </c>
      <c r="BL111" s="385">
        <v>0</v>
      </c>
      <c r="BM111" s="386">
        <v>0</v>
      </c>
      <c r="BN111" s="386">
        <v>0</v>
      </c>
      <c r="BO111" s="386">
        <v>0</v>
      </c>
      <c r="BP111" s="385">
        <v>0</v>
      </c>
      <c r="BQ111" s="385">
        <v>0</v>
      </c>
      <c r="BR111" s="385">
        <v>0</v>
      </c>
      <c r="BS111" s="385">
        <v>0</v>
      </c>
      <c r="BT111" s="385">
        <v>0</v>
      </c>
      <c r="BU111" s="385">
        <v>0</v>
      </c>
      <c r="BV111" s="385">
        <v>0</v>
      </c>
      <c r="BW111" s="385">
        <v>0</v>
      </c>
      <c r="BX111" s="385">
        <v>0</v>
      </c>
      <c r="BY111" s="385">
        <v>0</v>
      </c>
      <c r="BZ111" s="385">
        <v>0</v>
      </c>
      <c r="CA111" s="385">
        <v>0</v>
      </c>
      <c r="CB111" s="385">
        <v>0</v>
      </c>
      <c r="CC111"/>
      <c r="CD111" s="196" t="s">
        <v>147</v>
      </c>
      <c r="CE111" s="395">
        <v>-0.13739348547268093</v>
      </c>
      <c r="CF111" s="141">
        <v>-9.9729349274244261E-2</v>
      </c>
      <c r="CG111" s="141">
        <v>-9.6990348494592982E-2</v>
      </c>
      <c r="CH111" s="345">
        <v>0</v>
      </c>
      <c r="CI111" s="345">
        <v>0</v>
      </c>
      <c r="CJ111" s="345">
        <v>0</v>
      </c>
      <c r="CK111" s="345">
        <v>0</v>
      </c>
      <c r="CL111" s="141">
        <v>-0.10608227512832791</v>
      </c>
      <c r="DA111" s="538"/>
      <c r="DB111" s="363" t="s">
        <v>48</v>
      </c>
      <c r="DC111" s="387">
        <v>0</v>
      </c>
      <c r="DD111" s="387">
        <v>0</v>
      </c>
      <c r="DE111" s="387">
        <v>0</v>
      </c>
      <c r="DF111" s="387">
        <v>0</v>
      </c>
      <c r="DG111" s="387">
        <v>0</v>
      </c>
      <c r="DH111" s="387">
        <v>0</v>
      </c>
      <c r="DI111" s="387">
        <v>0</v>
      </c>
      <c r="DJ111" s="387">
        <v>0</v>
      </c>
      <c r="DK111" s="387">
        <v>0</v>
      </c>
      <c r="DL111" s="387">
        <v>0</v>
      </c>
      <c r="DM111" s="387">
        <v>0</v>
      </c>
      <c r="DN111" s="387">
        <v>0</v>
      </c>
      <c r="DO111" s="387">
        <v>0</v>
      </c>
      <c r="DP111" s="387">
        <v>0</v>
      </c>
      <c r="DQ111" s="387">
        <v>0</v>
      </c>
      <c r="DR111" s="387">
        <v>0</v>
      </c>
      <c r="DS111" s="387">
        <v>0</v>
      </c>
      <c r="DT111" s="387">
        <v>0</v>
      </c>
      <c r="DU111" s="387">
        <v>0</v>
      </c>
      <c r="DV111" s="387">
        <v>0</v>
      </c>
      <c r="DW111" s="387">
        <v>0</v>
      </c>
    </row>
    <row r="112" spans="1:127" ht="14.25" customHeight="1">
      <c r="A112" s="544"/>
      <c r="B112" s="196" t="s">
        <v>141</v>
      </c>
      <c r="C112" s="156">
        <v>0</v>
      </c>
      <c r="D112" s="156">
        <v>0</v>
      </c>
      <c r="E112" s="156">
        <v>0</v>
      </c>
      <c r="F112" s="156">
        <v>0</v>
      </c>
      <c r="G112" s="156">
        <v>0.23041821151702149</v>
      </c>
      <c r="H112" s="156">
        <v>0</v>
      </c>
      <c r="I112" s="156">
        <v>0</v>
      </c>
      <c r="J112" s="156">
        <v>0</v>
      </c>
      <c r="K112" s="156">
        <v>0</v>
      </c>
      <c r="L112" s="156">
        <v>0</v>
      </c>
      <c r="M112" s="156">
        <v>0</v>
      </c>
      <c r="N112" s="156">
        <v>0</v>
      </c>
      <c r="O112" s="156">
        <v>0</v>
      </c>
      <c r="P112" s="156">
        <v>0</v>
      </c>
      <c r="Q112" s="156">
        <v>0</v>
      </c>
      <c r="R112" s="156">
        <v>0</v>
      </c>
      <c r="S112" s="156">
        <v>0</v>
      </c>
      <c r="T112" s="156">
        <v>0</v>
      </c>
      <c r="U112" s="156">
        <v>0</v>
      </c>
      <c r="V112" s="156">
        <v>0</v>
      </c>
      <c r="W112" s="200">
        <v>0</v>
      </c>
      <c r="AA112" s="544"/>
      <c r="AB112" s="196" t="s">
        <v>141</v>
      </c>
      <c r="AC112" s="156">
        <v>0</v>
      </c>
      <c r="AD112" s="156">
        <v>0</v>
      </c>
      <c r="AE112" s="156">
        <v>0</v>
      </c>
      <c r="AF112" s="156">
        <v>0</v>
      </c>
      <c r="AG112" s="156">
        <v>0</v>
      </c>
      <c r="AH112" s="156">
        <v>0</v>
      </c>
      <c r="AI112" s="156">
        <v>0</v>
      </c>
      <c r="AJ112" s="156">
        <v>0</v>
      </c>
      <c r="AK112" s="156">
        <v>0</v>
      </c>
      <c r="AL112" s="156">
        <v>0</v>
      </c>
      <c r="AM112" s="156">
        <v>0</v>
      </c>
      <c r="AN112" s="156">
        <v>0</v>
      </c>
      <c r="AO112" s="156">
        <v>0</v>
      </c>
      <c r="AP112" s="156">
        <v>0</v>
      </c>
      <c r="AQ112" s="156">
        <v>0</v>
      </c>
      <c r="AR112" s="156">
        <v>0</v>
      </c>
      <c r="AS112" s="156">
        <v>0</v>
      </c>
      <c r="AT112" s="156">
        <v>0</v>
      </c>
      <c r="AU112" s="156">
        <v>0</v>
      </c>
      <c r="AV112" s="156">
        <v>0</v>
      </c>
      <c r="AW112" s="200">
        <v>0</v>
      </c>
      <c r="BF112" s="538"/>
      <c r="BG112" s="363" t="s">
        <v>141</v>
      </c>
      <c r="BH112" s="385">
        <v>0</v>
      </c>
      <c r="BI112" s="385">
        <v>0</v>
      </c>
      <c r="BJ112" s="385">
        <v>0</v>
      </c>
      <c r="BK112" s="385">
        <v>0</v>
      </c>
      <c r="BL112" s="385">
        <v>0</v>
      </c>
      <c r="BM112" s="386">
        <v>0</v>
      </c>
      <c r="BN112" s="386">
        <v>0</v>
      </c>
      <c r="BO112" s="386">
        <v>0</v>
      </c>
      <c r="BP112" s="385">
        <v>0</v>
      </c>
      <c r="BQ112" s="385">
        <v>0</v>
      </c>
      <c r="BR112" s="385">
        <v>0</v>
      </c>
      <c r="BS112" s="385">
        <v>0</v>
      </c>
      <c r="BT112" s="385">
        <v>0</v>
      </c>
      <c r="BU112" s="385">
        <v>0</v>
      </c>
      <c r="BV112" s="385">
        <v>0</v>
      </c>
      <c r="BW112" s="385">
        <v>0</v>
      </c>
      <c r="BX112" s="385">
        <v>0</v>
      </c>
      <c r="BY112" s="385">
        <v>0</v>
      </c>
      <c r="BZ112" s="385">
        <v>0</v>
      </c>
      <c r="CA112" s="385">
        <v>0</v>
      </c>
      <c r="CB112" s="385">
        <v>0</v>
      </c>
      <c r="CC112"/>
      <c r="CD112"/>
      <c r="CE112"/>
      <c r="CF112"/>
      <c r="CG112"/>
      <c r="CH112"/>
      <c r="CI112"/>
      <c r="CJ112"/>
      <c r="CK112"/>
      <c r="DA112" s="538"/>
      <c r="DB112" s="363" t="s">
        <v>141</v>
      </c>
      <c r="DC112" s="387">
        <v>0</v>
      </c>
      <c r="DD112" s="387">
        <v>0</v>
      </c>
      <c r="DE112" s="387">
        <v>0</v>
      </c>
      <c r="DF112" s="387">
        <v>0</v>
      </c>
      <c r="DG112" s="387">
        <v>0</v>
      </c>
      <c r="DH112" s="387">
        <v>0</v>
      </c>
      <c r="DI112" s="387">
        <v>0</v>
      </c>
      <c r="DJ112" s="387">
        <v>0</v>
      </c>
      <c r="DK112" s="387">
        <v>0</v>
      </c>
      <c r="DL112" s="387">
        <v>0</v>
      </c>
      <c r="DM112" s="387">
        <v>0</v>
      </c>
      <c r="DN112" s="387">
        <v>0</v>
      </c>
      <c r="DO112" s="387">
        <v>0</v>
      </c>
      <c r="DP112" s="387">
        <v>0</v>
      </c>
      <c r="DQ112" s="387">
        <v>0</v>
      </c>
      <c r="DR112" s="387">
        <v>0</v>
      </c>
      <c r="DS112" s="387">
        <v>0</v>
      </c>
      <c r="DT112" s="387">
        <v>0</v>
      </c>
      <c r="DU112" s="387">
        <v>0</v>
      </c>
      <c r="DV112" s="387">
        <v>0</v>
      </c>
      <c r="DW112" s="387">
        <v>0</v>
      </c>
    </row>
    <row r="113" spans="1:127" ht="14.25" customHeight="1">
      <c r="A113" s="544"/>
      <c r="B113" s="196" t="s">
        <v>142</v>
      </c>
      <c r="C113" s="156">
        <v>1</v>
      </c>
      <c r="D113" s="156">
        <v>0.73203694932402374</v>
      </c>
      <c r="E113" s="156">
        <v>0.8378813665312661</v>
      </c>
      <c r="F113" s="156">
        <v>0.25198176477953699</v>
      </c>
      <c r="G113" s="156">
        <v>0.88304172764156252</v>
      </c>
      <c r="H113" s="156">
        <v>0.36206249149801878</v>
      </c>
      <c r="I113" s="156">
        <v>0.76695228612579092</v>
      </c>
      <c r="J113" s="156">
        <v>1</v>
      </c>
      <c r="K113" s="156">
        <v>1</v>
      </c>
      <c r="L113" s="156">
        <v>1</v>
      </c>
      <c r="M113" s="156">
        <v>0.99415309554375941</v>
      </c>
      <c r="N113" s="156">
        <v>0.99979831881853565</v>
      </c>
      <c r="O113" s="156">
        <v>0.99725242547727033</v>
      </c>
      <c r="P113" s="156">
        <v>0.99410479989976452</v>
      </c>
      <c r="Q113" s="156">
        <v>0.97185246274064663</v>
      </c>
      <c r="R113" s="156">
        <v>0.9544472841355649</v>
      </c>
      <c r="S113" s="156">
        <v>0.9955126283009722</v>
      </c>
      <c r="T113" s="156">
        <v>0.95804282718872835</v>
      </c>
      <c r="U113" s="156">
        <v>0.9902893121937002</v>
      </c>
      <c r="V113" s="156">
        <v>0.99523615888491912</v>
      </c>
      <c r="W113" s="200">
        <v>0</v>
      </c>
      <c r="AA113" s="544"/>
      <c r="AB113" s="196" t="s">
        <v>142</v>
      </c>
      <c r="AC113" s="156">
        <v>1</v>
      </c>
      <c r="AD113" s="156">
        <v>1</v>
      </c>
      <c r="AE113" s="156">
        <v>1</v>
      </c>
      <c r="AF113" s="156">
        <v>1</v>
      </c>
      <c r="AG113" s="156">
        <v>1</v>
      </c>
      <c r="AH113" s="156">
        <v>0</v>
      </c>
      <c r="AI113" s="156">
        <v>1</v>
      </c>
      <c r="AJ113" s="156">
        <v>1</v>
      </c>
      <c r="AK113" s="156">
        <v>1</v>
      </c>
      <c r="AL113" s="156">
        <v>1</v>
      </c>
      <c r="AM113" s="156">
        <v>1</v>
      </c>
      <c r="AN113" s="156">
        <v>1</v>
      </c>
      <c r="AO113" s="156">
        <v>1</v>
      </c>
      <c r="AP113" s="156">
        <v>1</v>
      </c>
      <c r="AQ113" s="156">
        <v>1</v>
      </c>
      <c r="AR113" s="156">
        <v>1</v>
      </c>
      <c r="AS113" s="156">
        <v>1</v>
      </c>
      <c r="AT113" s="156">
        <v>1</v>
      </c>
      <c r="AU113" s="156">
        <v>1</v>
      </c>
      <c r="AV113" s="156">
        <v>1</v>
      </c>
      <c r="AW113" s="200">
        <v>0</v>
      </c>
      <c r="BF113" s="538"/>
      <c r="BG113" s="363" t="s">
        <v>142</v>
      </c>
      <c r="BH113" s="385">
        <v>0</v>
      </c>
      <c r="BI113" s="385">
        <v>0</v>
      </c>
      <c r="BJ113" s="385">
        <v>0</v>
      </c>
      <c r="BK113" s="385">
        <v>0</v>
      </c>
      <c r="BL113" s="385">
        <v>0</v>
      </c>
      <c r="BM113" s="386">
        <v>0</v>
      </c>
      <c r="BN113" s="386">
        <v>0</v>
      </c>
      <c r="BO113" s="386">
        <v>0</v>
      </c>
      <c r="BP113" s="385">
        <v>0</v>
      </c>
      <c r="BQ113" s="385">
        <v>0</v>
      </c>
      <c r="BR113" s="385">
        <v>0</v>
      </c>
      <c r="BS113" s="385">
        <v>0</v>
      </c>
      <c r="BT113" s="385">
        <v>0</v>
      </c>
      <c r="BU113" s="385">
        <v>0</v>
      </c>
      <c r="BV113" s="385">
        <v>0</v>
      </c>
      <c r="BW113" s="385">
        <v>0</v>
      </c>
      <c r="BX113" s="385">
        <v>0</v>
      </c>
      <c r="BY113" s="385">
        <v>0</v>
      </c>
      <c r="BZ113" s="385">
        <v>0</v>
      </c>
      <c r="CA113" s="385">
        <v>0</v>
      </c>
      <c r="CB113" s="385">
        <v>0</v>
      </c>
      <c r="CC113"/>
      <c r="CD113"/>
      <c r="CE113"/>
      <c r="CF113"/>
      <c r="CG113"/>
      <c r="CH113"/>
      <c r="CI113"/>
      <c r="CJ113"/>
      <c r="CK113"/>
      <c r="DA113" s="538"/>
      <c r="DB113" s="363" t="s">
        <v>142</v>
      </c>
      <c r="DC113" s="387">
        <v>0</v>
      </c>
      <c r="DD113" s="387">
        <v>0</v>
      </c>
      <c r="DE113" s="387">
        <v>0</v>
      </c>
      <c r="DF113" s="387">
        <v>0</v>
      </c>
      <c r="DG113" s="387">
        <v>0</v>
      </c>
      <c r="DH113" s="387">
        <v>0</v>
      </c>
      <c r="DI113" s="387">
        <v>0</v>
      </c>
      <c r="DJ113" s="387">
        <v>0</v>
      </c>
      <c r="DK113" s="387">
        <v>0</v>
      </c>
      <c r="DL113" s="387">
        <v>0</v>
      </c>
      <c r="DM113" s="387">
        <v>0</v>
      </c>
      <c r="DN113" s="387">
        <v>0</v>
      </c>
      <c r="DO113" s="387">
        <v>0</v>
      </c>
      <c r="DP113" s="387">
        <v>0</v>
      </c>
      <c r="DQ113" s="387">
        <v>0</v>
      </c>
      <c r="DR113" s="387">
        <v>0</v>
      </c>
      <c r="DS113" s="387">
        <v>0</v>
      </c>
      <c r="DT113" s="387">
        <v>0</v>
      </c>
      <c r="DU113" s="387">
        <v>0</v>
      </c>
      <c r="DV113" s="387">
        <v>0</v>
      </c>
      <c r="DW113" s="387">
        <v>0</v>
      </c>
    </row>
    <row r="114" spans="1:127" ht="14.25" customHeight="1">
      <c r="A114" s="544"/>
      <c r="B114" s="196" t="s">
        <v>143</v>
      </c>
      <c r="C114" s="156">
        <v>0</v>
      </c>
      <c r="D114" s="156">
        <v>0</v>
      </c>
      <c r="E114" s="156">
        <v>0</v>
      </c>
      <c r="F114" s="156">
        <v>0</v>
      </c>
      <c r="G114" s="156">
        <v>0</v>
      </c>
      <c r="H114" s="156">
        <v>0</v>
      </c>
      <c r="I114" s="156">
        <v>0</v>
      </c>
      <c r="J114" s="156">
        <v>0</v>
      </c>
      <c r="K114" s="156">
        <v>0</v>
      </c>
      <c r="L114" s="156">
        <v>0</v>
      </c>
      <c r="M114" s="156">
        <v>0</v>
      </c>
      <c r="N114" s="156">
        <v>0</v>
      </c>
      <c r="O114" s="156">
        <v>0</v>
      </c>
      <c r="P114" s="156">
        <v>0</v>
      </c>
      <c r="Q114" s="156">
        <v>0</v>
      </c>
      <c r="R114" s="156">
        <v>0</v>
      </c>
      <c r="S114" s="156">
        <v>0</v>
      </c>
      <c r="T114" s="156">
        <v>0</v>
      </c>
      <c r="U114" s="156">
        <v>0</v>
      </c>
      <c r="V114" s="156">
        <v>0</v>
      </c>
      <c r="W114" s="200">
        <v>0</v>
      </c>
      <c r="AA114" s="544"/>
      <c r="AB114" s="196" t="s">
        <v>143</v>
      </c>
      <c r="AC114" s="156">
        <v>0</v>
      </c>
      <c r="AD114" s="156">
        <v>0</v>
      </c>
      <c r="AE114" s="156">
        <v>0</v>
      </c>
      <c r="AF114" s="156">
        <v>0</v>
      </c>
      <c r="AG114" s="156">
        <v>0</v>
      </c>
      <c r="AH114" s="156">
        <v>0</v>
      </c>
      <c r="AI114" s="156">
        <v>0</v>
      </c>
      <c r="AJ114" s="156">
        <v>0</v>
      </c>
      <c r="AK114" s="156">
        <v>0</v>
      </c>
      <c r="AL114" s="156">
        <v>0</v>
      </c>
      <c r="AM114" s="156">
        <v>0</v>
      </c>
      <c r="AN114" s="156">
        <v>0</v>
      </c>
      <c r="AO114" s="156">
        <v>0</v>
      </c>
      <c r="AP114" s="156">
        <v>0</v>
      </c>
      <c r="AQ114" s="156">
        <v>0</v>
      </c>
      <c r="AR114" s="156">
        <v>0</v>
      </c>
      <c r="AS114" s="156">
        <v>0</v>
      </c>
      <c r="AT114" s="156">
        <v>0</v>
      </c>
      <c r="AU114" s="156">
        <v>0</v>
      </c>
      <c r="AV114" s="156">
        <v>0</v>
      </c>
      <c r="AW114" s="200">
        <v>0</v>
      </c>
      <c r="BF114" s="538"/>
      <c r="BG114" s="363" t="s">
        <v>143</v>
      </c>
      <c r="BH114" s="385">
        <v>0</v>
      </c>
      <c r="BI114" s="385">
        <v>0</v>
      </c>
      <c r="BJ114" s="385">
        <v>0</v>
      </c>
      <c r="BK114" s="385">
        <v>0</v>
      </c>
      <c r="BL114" s="385">
        <v>0</v>
      </c>
      <c r="BM114" s="386">
        <v>0</v>
      </c>
      <c r="BN114" s="386">
        <v>0</v>
      </c>
      <c r="BO114" s="386">
        <v>0</v>
      </c>
      <c r="BP114" s="385">
        <v>0</v>
      </c>
      <c r="BQ114" s="385">
        <v>0</v>
      </c>
      <c r="BR114" s="385">
        <v>0</v>
      </c>
      <c r="BS114" s="385">
        <v>0</v>
      </c>
      <c r="BT114" s="385">
        <v>0</v>
      </c>
      <c r="BU114" s="385">
        <v>0</v>
      </c>
      <c r="BV114" s="385">
        <v>0</v>
      </c>
      <c r="BW114" s="385">
        <v>0</v>
      </c>
      <c r="BX114" s="385">
        <v>0</v>
      </c>
      <c r="BY114" s="385">
        <v>0</v>
      </c>
      <c r="BZ114" s="385">
        <v>0</v>
      </c>
      <c r="CA114" s="385">
        <v>0</v>
      </c>
      <c r="CB114" s="385">
        <v>0</v>
      </c>
      <c r="CC114"/>
      <c r="CD114"/>
      <c r="CE114"/>
      <c r="CF114"/>
      <c r="CG114"/>
      <c r="CH114"/>
      <c r="CI114"/>
      <c r="CJ114"/>
      <c r="CK114"/>
      <c r="DA114" s="538"/>
      <c r="DB114" s="363" t="s">
        <v>143</v>
      </c>
      <c r="DC114" s="387">
        <v>0</v>
      </c>
      <c r="DD114" s="387">
        <v>0</v>
      </c>
      <c r="DE114" s="387">
        <v>0</v>
      </c>
      <c r="DF114" s="387">
        <v>0</v>
      </c>
      <c r="DG114" s="387">
        <v>0</v>
      </c>
      <c r="DH114" s="387">
        <v>0</v>
      </c>
      <c r="DI114" s="387">
        <v>0</v>
      </c>
      <c r="DJ114" s="387">
        <v>0</v>
      </c>
      <c r="DK114" s="387">
        <v>0</v>
      </c>
      <c r="DL114" s="387">
        <v>0</v>
      </c>
      <c r="DM114" s="387">
        <v>0</v>
      </c>
      <c r="DN114" s="387">
        <v>0</v>
      </c>
      <c r="DO114" s="387">
        <v>0</v>
      </c>
      <c r="DP114" s="387">
        <v>0</v>
      </c>
      <c r="DQ114" s="387">
        <v>0</v>
      </c>
      <c r="DR114" s="387">
        <v>0</v>
      </c>
      <c r="DS114" s="387">
        <v>0</v>
      </c>
      <c r="DT114" s="387">
        <v>0</v>
      </c>
      <c r="DU114" s="387">
        <v>0</v>
      </c>
      <c r="DV114" s="387">
        <v>0</v>
      </c>
      <c r="DW114" s="387">
        <v>0</v>
      </c>
    </row>
    <row r="115" spans="1:127" ht="14.25" customHeight="1">
      <c r="A115" s="544"/>
      <c r="B115" s="196" t="s">
        <v>144</v>
      </c>
      <c r="C115" s="156">
        <v>0</v>
      </c>
      <c r="D115" s="156">
        <v>0</v>
      </c>
      <c r="E115" s="156">
        <v>0</v>
      </c>
      <c r="F115" s="156">
        <v>0</v>
      </c>
      <c r="G115" s="156">
        <v>0</v>
      </c>
      <c r="H115" s="156">
        <v>0</v>
      </c>
      <c r="I115" s="156">
        <v>0</v>
      </c>
      <c r="J115" s="156">
        <v>0</v>
      </c>
      <c r="K115" s="156">
        <v>0</v>
      </c>
      <c r="L115" s="156">
        <v>0</v>
      </c>
      <c r="M115" s="156">
        <v>0</v>
      </c>
      <c r="N115" s="156">
        <v>0</v>
      </c>
      <c r="O115" s="156">
        <v>0</v>
      </c>
      <c r="P115" s="156">
        <v>0</v>
      </c>
      <c r="Q115" s="156">
        <v>0</v>
      </c>
      <c r="R115" s="156">
        <v>0</v>
      </c>
      <c r="S115" s="156">
        <v>0</v>
      </c>
      <c r="T115" s="156">
        <v>0</v>
      </c>
      <c r="U115" s="156">
        <v>0</v>
      </c>
      <c r="V115" s="156">
        <v>0</v>
      </c>
      <c r="W115" s="200">
        <v>0</v>
      </c>
      <c r="AA115" s="544"/>
      <c r="AB115" s="196" t="s">
        <v>144</v>
      </c>
      <c r="AC115" s="156">
        <v>0</v>
      </c>
      <c r="AD115" s="156">
        <v>0</v>
      </c>
      <c r="AE115" s="156">
        <v>0</v>
      </c>
      <c r="AF115" s="156">
        <v>0</v>
      </c>
      <c r="AG115" s="156">
        <v>0</v>
      </c>
      <c r="AH115" s="156">
        <v>0</v>
      </c>
      <c r="AI115" s="156">
        <v>0</v>
      </c>
      <c r="AJ115" s="156">
        <v>0</v>
      </c>
      <c r="AK115" s="156">
        <v>0</v>
      </c>
      <c r="AL115" s="156">
        <v>0</v>
      </c>
      <c r="AM115" s="156">
        <v>0</v>
      </c>
      <c r="AN115" s="156">
        <v>0</v>
      </c>
      <c r="AO115" s="156">
        <v>0</v>
      </c>
      <c r="AP115" s="156">
        <v>0</v>
      </c>
      <c r="AQ115" s="156">
        <v>0</v>
      </c>
      <c r="AR115" s="156">
        <v>0</v>
      </c>
      <c r="AS115" s="156">
        <v>0</v>
      </c>
      <c r="AT115" s="156">
        <v>0</v>
      </c>
      <c r="AU115" s="156">
        <v>0</v>
      </c>
      <c r="AV115" s="156">
        <v>0</v>
      </c>
      <c r="AW115" s="200">
        <v>0</v>
      </c>
      <c r="BF115" s="538"/>
      <c r="BG115" s="363" t="s">
        <v>144</v>
      </c>
      <c r="BH115" s="385">
        <v>0</v>
      </c>
      <c r="BI115" s="385">
        <v>0</v>
      </c>
      <c r="BJ115" s="385">
        <v>0</v>
      </c>
      <c r="BK115" s="385">
        <v>0</v>
      </c>
      <c r="BL115" s="385">
        <v>0</v>
      </c>
      <c r="BM115" s="386">
        <v>0</v>
      </c>
      <c r="BN115" s="386">
        <v>0</v>
      </c>
      <c r="BO115" s="386">
        <v>0</v>
      </c>
      <c r="BP115" s="385">
        <v>0</v>
      </c>
      <c r="BQ115" s="385">
        <v>0</v>
      </c>
      <c r="BR115" s="385">
        <v>0</v>
      </c>
      <c r="BS115" s="385">
        <v>0</v>
      </c>
      <c r="BT115" s="385">
        <v>0</v>
      </c>
      <c r="BU115" s="385">
        <v>0</v>
      </c>
      <c r="BV115" s="385">
        <v>0</v>
      </c>
      <c r="BW115" s="385">
        <v>0</v>
      </c>
      <c r="BX115" s="385">
        <v>0</v>
      </c>
      <c r="BY115" s="385">
        <v>0</v>
      </c>
      <c r="BZ115" s="385">
        <v>0</v>
      </c>
      <c r="CA115" s="385">
        <v>0</v>
      </c>
      <c r="CB115" s="385">
        <v>0</v>
      </c>
      <c r="CC115"/>
      <c r="CD115"/>
      <c r="CE115" s="541" t="s">
        <v>1456</v>
      </c>
      <c r="CF115" s="541"/>
      <c r="CG115" s="541"/>
      <c r="CH115" s="541"/>
      <c r="CI115" s="541"/>
      <c r="CJ115" s="541"/>
      <c r="CK115" s="541"/>
      <c r="CL115" s="541"/>
      <c r="CM115" s="541"/>
      <c r="CN115" s="541"/>
      <c r="CO115" s="541"/>
      <c r="CP115" s="541"/>
      <c r="CQ115" s="541"/>
      <c r="CR115" s="541"/>
      <c r="CS115" s="541"/>
      <c r="CT115" s="541"/>
      <c r="CU115" s="541"/>
      <c r="CV115" s="541"/>
      <c r="CW115" s="541"/>
      <c r="CX115" s="541"/>
      <c r="CY115" s="541"/>
      <c r="DA115" s="538"/>
      <c r="DB115" s="363" t="s">
        <v>144</v>
      </c>
      <c r="DC115" s="387">
        <v>0</v>
      </c>
      <c r="DD115" s="387">
        <v>0</v>
      </c>
      <c r="DE115" s="387">
        <v>0</v>
      </c>
      <c r="DF115" s="387">
        <v>0</v>
      </c>
      <c r="DG115" s="387">
        <v>0</v>
      </c>
      <c r="DH115" s="387">
        <v>0</v>
      </c>
      <c r="DI115" s="387">
        <v>0</v>
      </c>
      <c r="DJ115" s="387">
        <v>0</v>
      </c>
      <c r="DK115" s="387">
        <v>0</v>
      </c>
      <c r="DL115" s="387">
        <v>0</v>
      </c>
      <c r="DM115" s="387">
        <v>0</v>
      </c>
      <c r="DN115" s="387">
        <v>0</v>
      </c>
      <c r="DO115" s="387">
        <v>0</v>
      </c>
      <c r="DP115" s="387">
        <v>0</v>
      </c>
      <c r="DQ115" s="387">
        <v>0</v>
      </c>
      <c r="DR115" s="387">
        <v>0</v>
      </c>
      <c r="DS115" s="387">
        <v>0</v>
      </c>
      <c r="DT115" s="387">
        <v>0</v>
      </c>
      <c r="DU115" s="387">
        <v>0</v>
      </c>
      <c r="DV115" s="387">
        <v>0</v>
      </c>
      <c r="DW115" s="387">
        <v>0</v>
      </c>
    </row>
    <row r="116" spans="1:127" ht="14.25" customHeight="1">
      <c r="A116" s="544"/>
      <c r="B116" s="196" t="s">
        <v>61</v>
      </c>
      <c r="C116" s="156">
        <v>0</v>
      </c>
      <c r="D116" s="156">
        <v>0</v>
      </c>
      <c r="E116" s="156">
        <v>0</v>
      </c>
      <c r="F116" s="156">
        <v>0</v>
      </c>
      <c r="G116" s="156">
        <v>0</v>
      </c>
      <c r="H116" s="156">
        <v>0</v>
      </c>
      <c r="I116" s="156">
        <v>0</v>
      </c>
      <c r="J116" s="156">
        <v>0</v>
      </c>
      <c r="K116" s="156">
        <v>0.99424424091773123</v>
      </c>
      <c r="L116" s="156">
        <v>0</v>
      </c>
      <c r="M116" s="156">
        <v>0</v>
      </c>
      <c r="N116" s="156">
        <v>0</v>
      </c>
      <c r="O116" s="156">
        <v>0</v>
      </c>
      <c r="P116" s="156">
        <v>0</v>
      </c>
      <c r="Q116" s="156">
        <v>0</v>
      </c>
      <c r="R116" s="156">
        <v>0</v>
      </c>
      <c r="S116" s="156">
        <v>0</v>
      </c>
      <c r="T116" s="156">
        <v>0</v>
      </c>
      <c r="U116" s="156">
        <v>0</v>
      </c>
      <c r="V116" s="156">
        <v>0</v>
      </c>
      <c r="W116" s="200">
        <v>0</v>
      </c>
      <c r="AA116" s="544"/>
      <c r="AB116" s="196" t="s">
        <v>61</v>
      </c>
      <c r="AC116" s="156">
        <v>0</v>
      </c>
      <c r="AD116" s="156">
        <v>0</v>
      </c>
      <c r="AE116" s="156">
        <v>0</v>
      </c>
      <c r="AF116" s="156">
        <v>0</v>
      </c>
      <c r="AG116" s="156">
        <v>0</v>
      </c>
      <c r="AH116" s="156">
        <v>0</v>
      </c>
      <c r="AI116" s="156">
        <v>0</v>
      </c>
      <c r="AJ116" s="156">
        <v>0</v>
      </c>
      <c r="AK116" s="156">
        <v>0</v>
      </c>
      <c r="AL116" s="156">
        <v>0</v>
      </c>
      <c r="AM116" s="156">
        <v>0</v>
      </c>
      <c r="AN116" s="156">
        <v>0</v>
      </c>
      <c r="AO116" s="156">
        <v>0</v>
      </c>
      <c r="AP116" s="156">
        <v>0</v>
      </c>
      <c r="AQ116" s="156">
        <v>0</v>
      </c>
      <c r="AR116" s="156">
        <v>0</v>
      </c>
      <c r="AS116" s="156">
        <v>0</v>
      </c>
      <c r="AT116" s="156">
        <v>0</v>
      </c>
      <c r="AU116" s="156">
        <v>0</v>
      </c>
      <c r="AV116" s="156">
        <v>0</v>
      </c>
      <c r="AW116" s="200">
        <v>0</v>
      </c>
      <c r="BF116" s="538"/>
      <c r="BG116" s="363" t="s">
        <v>61</v>
      </c>
      <c r="BH116" s="385">
        <v>0</v>
      </c>
      <c r="BI116" s="385">
        <v>0</v>
      </c>
      <c r="BJ116" s="385">
        <v>0</v>
      </c>
      <c r="BK116" s="385">
        <v>0</v>
      </c>
      <c r="BL116" s="385">
        <v>0</v>
      </c>
      <c r="BM116" s="386">
        <v>0</v>
      </c>
      <c r="BN116" s="386">
        <v>0</v>
      </c>
      <c r="BO116" s="386">
        <v>0</v>
      </c>
      <c r="BP116" s="385">
        <v>0</v>
      </c>
      <c r="BQ116" s="385">
        <v>0</v>
      </c>
      <c r="BR116" s="385">
        <v>0</v>
      </c>
      <c r="BS116" s="385">
        <v>0</v>
      </c>
      <c r="BT116" s="385">
        <v>0</v>
      </c>
      <c r="BU116" s="385">
        <v>0</v>
      </c>
      <c r="BV116" s="385">
        <v>0</v>
      </c>
      <c r="BW116" s="385">
        <v>0</v>
      </c>
      <c r="BX116" s="385">
        <v>0</v>
      </c>
      <c r="BY116" s="385">
        <v>0</v>
      </c>
      <c r="BZ116" s="385">
        <v>0</v>
      </c>
      <c r="CA116" s="385">
        <v>0</v>
      </c>
      <c r="CB116" s="385">
        <v>0</v>
      </c>
      <c r="CC116"/>
      <c r="CD116"/>
      <c r="CE116" s="196" t="s">
        <v>139</v>
      </c>
      <c r="CF116" s="196" t="s">
        <v>37</v>
      </c>
      <c r="CG116" s="196" t="s">
        <v>140</v>
      </c>
      <c r="CH116" s="196" t="s">
        <v>48</v>
      </c>
      <c r="CI116" s="196" t="s">
        <v>141</v>
      </c>
      <c r="CJ116" s="196" t="s">
        <v>142</v>
      </c>
      <c r="CK116" s="196" t="s">
        <v>143</v>
      </c>
      <c r="CL116" s="196" t="s">
        <v>144</v>
      </c>
      <c r="CM116" s="196" t="s">
        <v>61</v>
      </c>
      <c r="CN116" s="196" t="s">
        <v>63</v>
      </c>
      <c r="CO116" s="196" t="s">
        <v>65</v>
      </c>
      <c r="CP116" s="196" t="s">
        <v>67</v>
      </c>
      <c r="CQ116" s="196" t="s">
        <v>69</v>
      </c>
      <c r="CR116" s="196" t="s">
        <v>145</v>
      </c>
      <c r="CS116" s="196" t="s">
        <v>73</v>
      </c>
      <c r="CT116" s="196" t="s">
        <v>75</v>
      </c>
      <c r="CU116" s="196" t="s">
        <v>146</v>
      </c>
      <c r="CV116" s="196" t="s">
        <v>83</v>
      </c>
      <c r="CW116" s="196" t="s">
        <v>85</v>
      </c>
      <c r="CX116" s="196" t="s">
        <v>88</v>
      </c>
      <c r="CY116" s="196" t="s">
        <v>147</v>
      </c>
      <c r="DA116" s="538"/>
      <c r="DB116" s="363" t="s">
        <v>61</v>
      </c>
      <c r="DC116" s="387">
        <v>0</v>
      </c>
      <c r="DD116" s="387">
        <v>0</v>
      </c>
      <c r="DE116" s="387">
        <v>0</v>
      </c>
      <c r="DF116" s="387">
        <v>0</v>
      </c>
      <c r="DG116" s="387">
        <v>0</v>
      </c>
      <c r="DH116" s="387">
        <v>0</v>
      </c>
      <c r="DI116" s="387">
        <v>0</v>
      </c>
      <c r="DJ116" s="387">
        <v>0</v>
      </c>
      <c r="DK116" s="387">
        <v>0</v>
      </c>
      <c r="DL116" s="387">
        <v>0</v>
      </c>
      <c r="DM116" s="387">
        <v>0</v>
      </c>
      <c r="DN116" s="387">
        <v>0</v>
      </c>
      <c r="DO116" s="387">
        <v>0</v>
      </c>
      <c r="DP116" s="387">
        <v>0</v>
      </c>
      <c r="DQ116" s="387">
        <v>0</v>
      </c>
      <c r="DR116" s="387">
        <v>0</v>
      </c>
      <c r="DS116" s="387">
        <v>0</v>
      </c>
      <c r="DT116" s="387">
        <v>0</v>
      </c>
      <c r="DU116" s="387">
        <v>0</v>
      </c>
      <c r="DV116" s="387">
        <v>0</v>
      </c>
      <c r="DW116" s="387">
        <v>0</v>
      </c>
    </row>
    <row r="117" spans="1:127" ht="14.25" customHeight="1">
      <c r="A117" s="544"/>
      <c r="B117" s="196" t="s">
        <v>63</v>
      </c>
      <c r="C117" s="156">
        <v>0</v>
      </c>
      <c r="D117" s="156">
        <v>0</v>
      </c>
      <c r="E117" s="156">
        <v>0</v>
      </c>
      <c r="F117" s="156">
        <v>0</v>
      </c>
      <c r="G117" s="156">
        <v>0</v>
      </c>
      <c r="H117" s="156">
        <v>0</v>
      </c>
      <c r="I117" s="156">
        <v>0</v>
      </c>
      <c r="J117" s="156">
        <v>0</v>
      </c>
      <c r="K117" s="156">
        <v>0</v>
      </c>
      <c r="L117" s="156">
        <v>0.31096849474912491</v>
      </c>
      <c r="M117" s="156">
        <v>0</v>
      </c>
      <c r="N117" s="156">
        <v>0</v>
      </c>
      <c r="O117" s="156">
        <v>0</v>
      </c>
      <c r="P117" s="156">
        <v>0</v>
      </c>
      <c r="Q117" s="156">
        <v>0</v>
      </c>
      <c r="R117" s="156">
        <v>0</v>
      </c>
      <c r="S117" s="156">
        <v>0</v>
      </c>
      <c r="T117" s="156">
        <v>0</v>
      </c>
      <c r="U117" s="156">
        <v>0</v>
      </c>
      <c r="V117" s="156">
        <v>0</v>
      </c>
      <c r="W117" s="200">
        <v>0</v>
      </c>
      <c r="AA117" s="544"/>
      <c r="AB117" s="196" t="s">
        <v>63</v>
      </c>
      <c r="AC117" s="156">
        <v>0</v>
      </c>
      <c r="AD117" s="156">
        <v>0</v>
      </c>
      <c r="AE117" s="156">
        <v>0</v>
      </c>
      <c r="AF117" s="156">
        <v>0</v>
      </c>
      <c r="AG117" s="156">
        <v>0</v>
      </c>
      <c r="AH117" s="156">
        <v>0</v>
      </c>
      <c r="AI117" s="156">
        <v>0</v>
      </c>
      <c r="AJ117" s="156">
        <v>0</v>
      </c>
      <c r="AK117" s="156">
        <v>0</v>
      </c>
      <c r="AL117" s="156">
        <v>0</v>
      </c>
      <c r="AM117" s="156">
        <v>0</v>
      </c>
      <c r="AN117" s="156">
        <v>0</v>
      </c>
      <c r="AO117" s="156">
        <v>0</v>
      </c>
      <c r="AP117" s="156">
        <v>0</v>
      </c>
      <c r="AQ117" s="156">
        <v>0</v>
      </c>
      <c r="AR117" s="156">
        <v>0</v>
      </c>
      <c r="AS117" s="156">
        <v>0</v>
      </c>
      <c r="AT117" s="156">
        <v>0</v>
      </c>
      <c r="AU117" s="156">
        <v>0</v>
      </c>
      <c r="AV117" s="156">
        <v>0</v>
      </c>
      <c r="AW117" s="200">
        <v>0</v>
      </c>
      <c r="BF117" s="538"/>
      <c r="BG117" s="363" t="s">
        <v>63</v>
      </c>
      <c r="BH117" s="385">
        <v>0</v>
      </c>
      <c r="BI117" s="385">
        <v>0</v>
      </c>
      <c r="BJ117" s="385">
        <v>0</v>
      </c>
      <c r="BK117" s="385">
        <v>0</v>
      </c>
      <c r="BL117" s="385">
        <v>0</v>
      </c>
      <c r="BM117" s="386">
        <v>0</v>
      </c>
      <c r="BN117" s="386">
        <v>0</v>
      </c>
      <c r="BO117" s="386">
        <v>0</v>
      </c>
      <c r="BP117" s="385">
        <v>0</v>
      </c>
      <c r="BQ117" s="385">
        <v>0</v>
      </c>
      <c r="BR117" s="385">
        <v>0</v>
      </c>
      <c r="BS117" s="385">
        <v>0</v>
      </c>
      <c r="BT117" s="385">
        <v>0</v>
      </c>
      <c r="BU117" s="385">
        <v>0</v>
      </c>
      <c r="BV117" s="385">
        <v>0</v>
      </c>
      <c r="BW117" s="385">
        <v>0</v>
      </c>
      <c r="BX117" s="385">
        <v>0</v>
      </c>
      <c r="BY117" s="385">
        <v>0</v>
      </c>
      <c r="BZ117" s="385">
        <v>0</v>
      </c>
      <c r="CA117" s="385">
        <v>0</v>
      </c>
      <c r="CB117" s="385">
        <v>0</v>
      </c>
      <c r="CC117"/>
      <c r="CD117" s="196" t="s">
        <v>139</v>
      </c>
      <c r="CE117">
        <v>3.3373791368984343E-2</v>
      </c>
      <c r="CF117">
        <v>3.8217246126269972E-3</v>
      </c>
      <c r="CG117">
        <v>3.055113016782084E-2</v>
      </c>
      <c r="CH117">
        <v>7.8224151795239557E-3</v>
      </c>
      <c r="CI117">
        <v>6.5515839422622384E-3</v>
      </c>
      <c r="CJ117">
        <v>3.2936980008046761E-3</v>
      </c>
      <c r="CK117">
        <v>5.0102475681027166E-3</v>
      </c>
      <c r="CL117">
        <v>3.6463059387972351E-3</v>
      </c>
      <c r="CM117">
        <v>3.821424460438887E-3</v>
      </c>
      <c r="CN117">
        <v>4.9011917795571134E-3</v>
      </c>
      <c r="CO117">
        <v>5.2865612114541176E-3</v>
      </c>
      <c r="CP117">
        <v>4.3249924067461712E-3</v>
      </c>
      <c r="CQ117">
        <v>1.9206382000558301E-2</v>
      </c>
      <c r="CR117">
        <v>3.3987816909467239E-3</v>
      </c>
      <c r="CS117">
        <v>1.3281049940902601E-3</v>
      </c>
      <c r="CT117">
        <v>6.0477852918613322E-4</v>
      </c>
      <c r="CU117">
        <v>3.9749431655983474E-3</v>
      </c>
      <c r="CV117">
        <v>1.1089583036557799E-3</v>
      </c>
      <c r="CW117">
        <v>7.1976932888518036E-4</v>
      </c>
      <c r="CX117">
        <v>3.397162104854458E-3</v>
      </c>
      <c r="CY117">
        <v>0</v>
      </c>
      <c r="DA117" s="538"/>
      <c r="DB117" s="363" t="s">
        <v>63</v>
      </c>
      <c r="DC117" s="387">
        <v>0</v>
      </c>
      <c r="DD117" s="387">
        <v>0</v>
      </c>
      <c r="DE117" s="387">
        <v>0</v>
      </c>
      <c r="DF117" s="387">
        <v>0</v>
      </c>
      <c r="DG117" s="387">
        <v>0</v>
      </c>
      <c r="DH117" s="387">
        <v>0</v>
      </c>
      <c r="DI117" s="387">
        <v>0</v>
      </c>
      <c r="DJ117" s="387">
        <v>0</v>
      </c>
      <c r="DK117" s="387">
        <v>0</v>
      </c>
      <c r="DL117" s="387">
        <v>0</v>
      </c>
      <c r="DM117" s="387">
        <v>0</v>
      </c>
      <c r="DN117" s="387">
        <v>0</v>
      </c>
      <c r="DO117" s="387">
        <v>0</v>
      </c>
      <c r="DP117" s="387">
        <v>0</v>
      </c>
      <c r="DQ117" s="387">
        <v>0</v>
      </c>
      <c r="DR117" s="387">
        <v>0</v>
      </c>
      <c r="DS117" s="387">
        <v>0</v>
      </c>
      <c r="DT117" s="387">
        <v>0</v>
      </c>
      <c r="DU117" s="387">
        <v>0</v>
      </c>
      <c r="DV117" s="387">
        <v>0</v>
      </c>
      <c r="DW117" s="387">
        <v>0</v>
      </c>
    </row>
    <row r="118" spans="1:127" ht="14.25" customHeight="1">
      <c r="A118" s="544"/>
      <c r="B118" s="196" t="s">
        <v>65</v>
      </c>
      <c r="C118" s="156">
        <v>0</v>
      </c>
      <c r="D118" s="156">
        <v>0</v>
      </c>
      <c r="E118" s="156">
        <v>0</v>
      </c>
      <c r="F118" s="156">
        <v>0</v>
      </c>
      <c r="G118" s="156">
        <v>0</v>
      </c>
      <c r="H118" s="156">
        <v>0</v>
      </c>
      <c r="I118" s="156">
        <v>0</v>
      </c>
      <c r="J118" s="156">
        <v>0</v>
      </c>
      <c r="K118" s="156">
        <v>0</v>
      </c>
      <c r="L118" s="156">
        <v>0</v>
      </c>
      <c r="M118" s="156">
        <v>0.17379941195687679</v>
      </c>
      <c r="N118" s="156">
        <v>0</v>
      </c>
      <c r="O118" s="156">
        <v>0</v>
      </c>
      <c r="P118" s="156">
        <v>0</v>
      </c>
      <c r="Q118" s="156">
        <v>0</v>
      </c>
      <c r="R118" s="156">
        <v>0</v>
      </c>
      <c r="S118" s="156">
        <v>0</v>
      </c>
      <c r="T118" s="156">
        <v>0</v>
      </c>
      <c r="U118" s="156">
        <v>0</v>
      </c>
      <c r="V118" s="156">
        <v>0</v>
      </c>
      <c r="W118" s="200">
        <v>0</v>
      </c>
      <c r="AA118" s="544"/>
      <c r="AB118" s="196" t="s">
        <v>65</v>
      </c>
      <c r="AC118" s="156">
        <v>0</v>
      </c>
      <c r="AD118" s="156">
        <v>0</v>
      </c>
      <c r="AE118" s="156">
        <v>0</v>
      </c>
      <c r="AF118" s="156">
        <v>0</v>
      </c>
      <c r="AG118" s="156">
        <v>0</v>
      </c>
      <c r="AH118" s="156">
        <v>0</v>
      </c>
      <c r="AI118" s="156">
        <v>0</v>
      </c>
      <c r="AJ118" s="156">
        <v>0</v>
      </c>
      <c r="AK118" s="156">
        <v>0</v>
      </c>
      <c r="AL118" s="156">
        <v>0</v>
      </c>
      <c r="AM118" s="156">
        <v>0</v>
      </c>
      <c r="AN118" s="156">
        <v>0</v>
      </c>
      <c r="AO118" s="156">
        <v>0</v>
      </c>
      <c r="AP118" s="156">
        <v>0</v>
      </c>
      <c r="AQ118" s="156">
        <v>0</v>
      </c>
      <c r="AR118" s="156">
        <v>0</v>
      </c>
      <c r="AS118" s="156">
        <v>0</v>
      </c>
      <c r="AT118" s="156">
        <v>0</v>
      </c>
      <c r="AU118" s="156">
        <v>0</v>
      </c>
      <c r="AV118" s="156">
        <v>0</v>
      </c>
      <c r="AW118" s="200">
        <v>0</v>
      </c>
      <c r="BF118" s="538"/>
      <c r="BG118" s="363" t="s">
        <v>65</v>
      </c>
      <c r="BH118" s="385">
        <v>0</v>
      </c>
      <c r="BI118" s="385">
        <v>0</v>
      </c>
      <c r="BJ118" s="385">
        <v>0</v>
      </c>
      <c r="BK118" s="385">
        <v>0</v>
      </c>
      <c r="BL118" s="385">
        <v>0</v>
      </c>
      <c r="BM118" s="386">
        <v>0</v>
      </c>
      <c r="BN118" s="386">
        <v>0</v>
      </c>
      <c r="BO118" s="386">
        <v>0</v>
      </c>
      <c r="BP118" s="385">
        <v>0</v>
      </c>
      <c r="BQ118" s="385">
        <v>0</v>
      </c>
      <c r="BR118" s="385">
        <v>0</v>
      </c>
      <c r="BS118" s="385">
        <v>0</v>
      </c>
      <c r="BT118" s="385">
        <v>0</v>
      </c>
      <c r="BU118" s="385">
        <v>0</v>
      </c>
      <c r="BV118" s="385">
        <v>0</v>
      </c>
      <c r="BW118" s="385">
        <v>0</v>
      </c>
      <c r="BX118" s="385">
        <v>0</v>
      </c>
      <c r="BY118" s="385">
        <v>0</v>
      </c>
      <c r="BZ118" s="385">
        <v>0</v>
      </c>
      <c r="CA118" s="385">
        <v>0</v>
      </c>
      <c r="CB118" s="385">
        <v>0</v>
      </c>
      <c r="CC118"/>
      <c r="CD118" s="196" t="s">
        <v>37</v>
      </c>
      <c r="CE118">
        <v>4.1232428063997781E-2</v>
      </c>
      <c r="CF118">
        <v>7.6059578797481556E-2</v>
      </c>
      <c r="CG118">
        <v>5.2388834739316111E-2</v>
      </c>
      <c r="CH118">
        <v>0.57940457549851077</v>
      </c>
      <c r="CI118">
        <v>4.9342258089537468E-2</v>
      </c>
      <c r="CJ118">
        <v>8.5736642540705801E-2</v>
      </c>
      <c r="CK118">
        <v>0.2202703248638517</v>
      </c>
      <c r="CL118">
        <v>0.53737299109201553</v>
      </c>
      <c r="CM118">
        <v>6.2662704101339534E-2</v>
      </c>
      <c r="CN118">
        <v>4.139101006946045E-2</v>
      </c>
      <c r="CO118">
        <v>2.3194639375785472E-2</v>
      </c>
      <c r="CP118">
        <v>7.2545943588700354E-2</v>
      </c>
      <c r="CQ118">
        <v>1.9164512981487729E-2</v>
      </c>
      <c r="CR118">
        <v>1.640374419477068E-2</v>
      </c>
      <c r="CS118">
        <v>7.5136117338548787E-3</v>
      </c>
      <c r="CT118">
        <v>3.2626851931504808E-3</v>
      </c>
      <c r="CU118">
        <v>2.0110831396612142E-2</v>
      </c>
      <c r="CV118">
        <v>1.0887721203812199E-2</v>
      </c>
      <c r="CW118">
        <v>4.0202903361966948E-3</v>
      </c>
      <c r="CX118">
        <v>1.2189784633292599E-2</v>
      </c>
      <c r="CY118">
        <v>0</v>
      </c>
      <c r="DA118" s="538"/>
      <c r="DB118" s="363" t="s">
        <v>65</v>
      </c>
      <c r="DC118" s="387">
        <v>0</v>
      </c>
      <c r="DD118" s="387">
        <v>0</v>
      </c>
      <c r="DE118" s="387">
        <v>0</v>
      </c>
      <c r="DF118" s="387">
        <v>0</v>
      </c>
      <c r="DG118" s="387">
        <v>0</v>
      </c>
      <c r="DH118" s="387">
        <v>0</v>
      </c>
      <c r="DI118" s="387">
        <v>0</v>
      </c>
      <c r="DJ118" s="387">
        <v>0</v>
      </c>
      <c r="DK118" s="387">
        <v>0</v>
      </c>
      <c r="DL118" s="387">
        <v>0</v>
      </c>
      <c r="DM118" s="387">
        <v>0</v>
      </c>
      <c r="DN118" s="387">
        <v>0</v>
      </c>
      <c r="DO118" s="387">
        <v>0</v>
      </c>
      <c r="DP118" s="387">
        <v>0</v>
      </c>
      <c r="DQ118" s="387">
        <v>0</v>
      </c>
      <c r="DR118" s="387">
        <v>0</v>
      </c>
      <c r="DS118" s="387">
        <v>0</v>
      </c>
      <c r="DT118" s="387">
        <v>0</v>
      </c>
      <c r="DU118" s="387">
        <v>0</v>
      </c>
      <c r="DV118" s="387">
        <v>0</v>
      </c>
      <c r="DW118" s="387">
        <v>0</v>
      </c>
    </row>
    <row r="119" spans="1:127" ht="14.25" customHeight="1">
      <c r="A119" s="544"/>
      <c r="B119" s="196" t="s">
        <v>67</v>
      </c>
      <c r="C119" s="156">
        <v>0</v>
      </c>
      <c r="D119" s="156">
        <v>0</v>
      </c>
      <c r="E119" s="156">
        <v>0</v>
      </c>
      <c r="F119" s="156">
        <v>0</v>
      </c>
      <c r="G119" s="156">
        <v>0</v>
      </c>
      <c r="H119" s="156">
        <v>0</v>
      </c>
      <c r="I119" s="156">
        <v>0</v>
      </c>
      <c r="J119" s="156">
        <v>0</v>
      </c>
      <c r="K119" s="156">
        <v>0</v>
      </c>
      <c r="L119" s="156">
        <v>0</v>
      </c>
      <c r="M119" s="156">
        <v>0</v>
      </c>
      <c r="N119" s="156">
        <v>0.84390300097920623</v>
      </c>
      <c r="O119" s="156">
        <v>0</v>
      </c>
      <c r="P119" s="156">
        <v>0</v>
      </c>
      <c r="Q119" s="156">
        <v>0</v>
      </c>
      <c r="R119" s="156">
        <v>0</v>
      </c>
      <c r="S119" s="156">
        <v>0</v>
      </c>
      <c r="T119" s="156">
        <v>0</v>
      </c>
      <c r="U119" s="156">
        <v>0</v>
      </c>
      <c r="V119" s="156">
        <v>0</v>
      </c>
      <c r="W119" s="200">
        <v>0</v>
      </c>
      <c r="AA119" s="544"/>
      <c r="AB119" s="196" t="s">
        <v>67</v>
      </c>
      <c r="AC119" s="156">
        <v>0</v>
      </c>
      <c r="AD119" s="156">
        <v>0</v>
      </c>
      <c r="AE119" s="156">
        <v>0</v>
      </c>
      <c r="AF119" s="156">
        <v>0</v>
      </c>
      <c r="AG119" s="156">
        <v>0</v>
      </c>
      <c r="AH119" s="156">
        <v>0</v>
      </c>
      <c r="AI119" s="156">
        <v>0</v>
      </c>
      <c r="AJ119" s="156">
        <v>0</v>
      </c>
      <c r="AK119" s="156">
        <v>0</v>
      </c>
      <c r="AL119" s="156">
        <v>0</v>
      </c>
      <c r="AM119" s="156">
        <v>0</v>
      </c>
      <c r="AN119" s="156">
        <v>0</v>
      </c>
      <c r="AO119" s="156">
        <v>0</v>
      </c>
      <c r="AP119" s="156">
        <v>0</v>
      </c>
      <c r="AQ119" s="156">
        <v>0</v>
      </c>
      <c r="AR119" s="156">
        <v>0</v>
      </c>
      <c r="AS119" s="156">
        <v>0</v>
      </c>
      <c r="AT119" s="156">
        <v>0</v>
      </c>
      <c r="AU119" s="156">
        <v>0</v>
      </c>
      <c r="AV119" s="156">
        <v>0</v>
      </c>
      <c r="AW119" s="200">
        <v>0</v>
      </c>
      <c r="BF119" s="538"/>
      <c r="BG119" s="363" t="s">
        <v>67</v>
      </c>
      <c r="BH119" s="385">
        <v>0</v>
      </c>
      <c r="BI119" s="385">
        <v>0</v>
      </c>
      <c r="BJ119" s="385">
        <v>0</v>
      </c>
      <c r="BK119" s="385">
        <v>0</v>
      </c>
      <c r="BL119" s="385">
        <v>0</v>
      </c>
      <c r="BM119" s="386">
        <v>0</v>
      </c>
      <c r="BN119" s="386">
        <v>0</v>
      </c>
      <c r="BO119" s="386">
        <v>0</v>
      </c>
      <c r="BP119" s="385">
        <v>0</v>
      </c>
      <c r="BQ119" s="385">
        <v>0</v>
      </c>
      <c r="BR119" s="385">
        <v>0</v>
      </c>
      <c r="BS119" s="385">
        <v>0</v>
      </c>
      <c r="BT119" s="385">
        <v>0</v>
      </c>
      <c r="BU119" s="385">
        <v>0</v>
      </c>
      <c r="BV119" s="385">
        <v>0</v>
      </c>
      <c r="BW119" s="385">
        <v>0</v>
      </c>
      <c r="BX119" s="385">
        <v>0</v>
      </c>
      <c r="BY119" s="385">
        <v>0</v>
      </c>
      <c r="BZ119" s="385">
        <v>0</v>
      </c>
      <c r="CA119" s="385">
        <v>0</v>
      </c>
      <c r="CB119" s="385">
        <v>0</v>
      </c>
      <c r="CC119"/>
      <c r="CD119" s="196" t="s">
        <v>140</v>
      </c>
      <c r="CE119">
        <v>0.112792699869993</v>
      </c>
      <c r="CF119">
        <v>0.12599055084177049</v>
      </c>
      <c r="CG119">
        <v>0.26935505675720273</v>
      </c>
      <c r="CH119">
        <v>0.215533139276049</v>
      </c>
      <c r="CI119">
        <v>0.31963357821071059</v>
      </c>
      <c r="CJ119">
        <v>8.149234465217027E-2</v>
      </c>
      <c r="CK119">
        <v>0.14463202432091721</v>
      </c>
      <c r="CL119">
        <v>0.1169641875952228</v>
      </c>
      <c r="CM119">
        <v>0.10805376602618</v>
      </c>
      <c r="CN119">
        <v>0.16735718433852351</v>
      </c>
      <c r="CO119">
        <v>7.1211888736742265E-2</v>
      </c>
      <c r="CP119">
        <v>9.3900227827686644E-2</v>
      </c>
      <c r="CQ119">
        <v>7.7885515659533999E-2</v>
      </c>
      <c r="CR119">
        <v>8.8822981616170402E-2</v>
      </c>
      <c r="CS119">
        <v>3.2703135057618869E-2</v>
      </c>
      <c r="CT119">
        <v>1.6459528248081119E-2</v>
      </c>
      <c r="CU119">
        <v>8.7076305887497443E-2</v>
      </c>
      <c r="CV119">
        <v>2.5847547164077701E-2</v>
      </c>
      <c r="CW119">
        <v>1.605219640798082E-2</v>
      </c>
      <c r="CX119">
        <v>9.4068246247020815E-2</v>
      </c>
      <c r="CY119">
        <v>0</v>
      </c>
      <c r="DA119" s="538"/>
      <c r="DB119" s="363" t="s">
        <v>67</v>
      </c>
      <c r="DC119" s="387">
        <v>0</v>
      </c>
      <c r="DD119" s="387">
        <v>0</v>
      </c>
      <c r="DE119" s="387">
        <v>0</v>
      </c>
      <c r="DF119" s="387">
        <v>0</v>
      </c>
      <c r="DG119" s="387">
        <v>0</v>
      </c>
      <c r="DH119" s="387">
        <v>0</v>
      </c>
      <c r="DI119" s="387">
        <v>0</v>
      </c>
      <c r="DJ119" s="387">
        <v>0</v>
      </c>
      <c r="DK119" s="387">
        <v>0</v>
      </c>
      <c r="DL119" s="387">
        <v>0</v>
      </c>
      <c r="DM119" s="387">
        <v>0</v>
      </c>
      <c r="DN119" s="387">
        <v>0</v>
      </c>
      <c r="DO119" s="387">
        <v>0</v>
      </c>
      <c r="DP119" s="387">
        <v>0</v>
      </c>
      <c r="DQ119" s="387">
        <v>0</v>
      </c>
      <c r="DR119" s="387">
        <v>0</v>
      </c>
      <c r="DS119" s="387">
        <v>0</v>
      </c>
      <c r="DT119" s="387">
        <v>0</v>
      </c>
      <c r="DU119" s="387">
        <v>0</v>
      </c>
      <c r="DV119" s="387">
        <v>0</v>
      </c>
      <c r="DW119" s="387">
        <v>0</v>
      </c>
    </row>
    <row r="120" spans="1:127" ht="14.25" customHeight="1">
      <c r="A120" s="544"/>
      <c r="B120" s="196" t="s">
        <v>69</v>
      </c>
      <c r="C120" s="156">
        <v>0</v>
      </c>
      <c r="D120" s="156">
        <v>0</v>
      </c>
      <c r="E120" s="156">
        <v>0</v>
      </c>
      <c r="F120" s="156">
        <v>0</v>
      </c>
      <c r="G120" s="156">
        <v>0</v>
      </c>
      <c r="H120" s="156">
        <v>0</v>
      </c>
      <c r="I120" s="156">
        <v>0</v>
      </c>
      <c r="J120" s="156">
        <v>0</v>
      </c>
      <c r="K120" s="156">
        <v>0</v>
      </c>
      <c r="L120" s="156">
        <v>0</v>
      </c>
      <c r="M120" s="156">
        <v>0</v>
      </c>
      <c r="N120" s="156">
        <v>0</v>
      </c>
      <c r="O120" s="156">
        <v>0.1024912222036449</v>
      </c>
      <c r="P120" s="156">
        <v>0</v>
      </c>
      <c r="Q120" s="156">
        <v>0</v>
      </c>
      <c r="R120" s="156">
        <v>0</v>
      </c>
      <c r="S120" s="156">
        <v>0</v>
      </c>
      <c r="T120" s="156">
        <v>0</v>
      </c>
      <c r="U120" s="156">
        <v>0</v>
      </c>
      <c r="V120" s="156">
        <v>0</v>
      </c>
      <c r="W120" s="200">
        <v>0</v>
      </c>
      <c r="AA120" s="544"/>
      <c r="AB120" s="196" t="s">
        <v>69</v>
      </c>
      <c r="AC120" s="156">
        <v>0</v>
      </c>
      <c r="AD120" s="156">
        <v>0</v>
      </c>
      <c r="AE120" s="156">
        <v>0</v>
      </c>
      <c r="AF120" s="156">
        <v>0</v>
      </c>
      <c r="AG120" s="156">
        <v>0</v>
      </c>
      <c r="AH120" s="156">
        <v>0</v>
      </c>
      <c r="AI120" s="156">
        <v>0</v>
      </c>
      <c r="AJ120" s="156">
        <v>0</v>
      </c>
      <c r="AK120" s="156">
        <v>0</v>
      </c>
      <c r="AL120" s="156">
        <v>0</v>
      </c>
      <c r="AM120" s="156">
        <v>0</v>
      </c>
      <c r="AN120" s="156">
        <v>0</v>
      </c>
      <c r="AO120" s="156">
        <v>0</v>
      </c>
      <c r="AP120" s="156">
        <v>0</v>
      </c>
      <c r="AQ120" s="156">
        <v>0</v>
      </c>
      <c r="AR120" s="156">
        <v>0</v>
      </c>
      <c r="AS120" s="156">
        <v>0</v>
      </c>
      <c r="AT120" s="156">
        <v>0</v>
      </c>
      <c r="AU120" s="156">
        <v>0</v>
      </c>
      <c r="AV120" s="156">
        <v>0</v>
      </c>
      <c r="AW120" s="200">
        <v>0</v>
      </c>
      <c r="BF120" s="538"/>
      <c r="BG120" s="363" t="s">
        <v>69</v>
      </c>
      <c r="BH120" s="385">
        <v>0</v>
      </c>
      <c r="BI120" s="385">
        <v>0</v>
      </c>
      <c r="BJ120" s="385">
        <v>0</v>
      </c>
      <c r="BK120" s="385">
        <v>0</v>
      </c>
      <c r="BL120" s="385">
        <v>0</v>
      </c>
      <c r="BM120" s="386">
        <v>0</v>
      </c>
      <c r="BN120" s="386">
        <v>0</v>
      </c>
      <c r="BO120" s="386">
        <v>0</v>
      </c>
      <c r="BP120" s="385">
        <v>0</v>
      </c>
      <c r="BQ120" s="385">
        <v>0</v>
      </c>
      <c r="BR120" s="385">
        <v>0</v>
      </c>
      <c r="BS120" s="385">
        <v>0</v>
      </c>
      <c r="BT120" s="385">
        <v>0</v>
      </c>
      <c r="BU120" s="385">
        <v>0</v>
      </c>
      <c r="BV120" s="385">
        <v>0</v>
      </c>
      <c r="BW120" s="385">
        <v>0</v>
      </c>
      <c r="BX120" s="385">
        <v>0</v>
      </c>
      <c r="BY120" s="385">
        <v>0</v>
      </c>
      <c r="BZ120" s="385">
        <v>0</v>
      </c>
      <c r="CA120" s="385">
        <v>0</v>
      </c>
      <c r="CB120" s="385">
        <v>0</v>
      </c>
      <c r="CC120"/>
      <c r="CD120" s="196" t="s">
        <v>48</v>
      </c>
      <c r="CE120">
        <v>1.949842175313915E-2</v>
      </c>
      <c r="CF120">
        <v>1.9921783022192909E-2</v>
      </c>
      <c r="CG120">
        <v>1.9937168077887719E-2</v>
      </c>
      <c r="CH120">
        <v>6.788777750084328E-2</v>
      </c>
      <c r="CI120">
        <v>1.7696901496318002E-2</v>
      </c>
      <c r="CJ120">
        <v>1.5012979769556321E-2</v>
      </c>
      <c r="CK120">
        <v>3.8786699446676412E-2</v>
      </c>
      <c r="CL120">
        <v>3.1154166974916339E-2</v>
      </c>
      <c r="CM120">
        <v>2.0600257858804691E-2</v>
      </c>
      <c r="CN120">
        <v>1.2911843176691289E-2</v>
      </c>
      <c r="CO120">
        <v>7.2457582390181297E-3</v>
      </c>
      <c r="CP120">
        <v>3.3290735613743218E-2</v>
      </c>
      <c r="CQ120">
        <v>6.4799397946246869E-3</v>
      </c>
      <c r="CR120">
        <v>6.2952817297622383E-3</v>
      </c>
      <c r="CS120">
        <v>3.1500267449091832E-3</v>
      </c>
      <c r="CT120">
        <v>1.104863060296518E-3</v>
      </c>
      <c r="CU120">
        <v>8.4400915218262335E-3</v>
      </c>
      <c r="CV120">
        <v>3.551165897184311E-3</v>
      </c>
      <c r="CW120">
        <v>1.4167095565359379E-3</v>
      </c>
      <c r="CX120">
        <v>5.3511352511920454E-3</v>
      </c>
      <c r="CY120">
        <v>0</v>
      </c>
      <c r="DA120" s="538"/>
      <c r="DB120" s="363" t="s">
        <v>69</v>
      </c>
      <c r="DC120" s="387">
        <v>0</v>
      </c>
      <c r="DD120" s="387">
        <v>0</v>
      </c>
      <c r="DE120" s="387">
        <v>0</v>
      </c>
      <c r="DF120" s="387">
        <v>0</v>
      </c>
      <c r="DG120" s="387">
        <v>0</v>
      </c>
      <c r="DH120" s="387">
        <v>0</v>
      </c>
      <c r="DI120" s="387">
        <v>0</v>
      </c>
      <c r="DJ120" s="387">
        <v>0</v>
      </c>
      <c r="DK120" s="387">
        <v>0</v>
      </c>
      <c r="DL120" s="387">
        <v>0</v>
      </c>
      <c r="DM120" s="387">
        <v>0</v>
      </c>
      <c r="DN120" s="387">
        <v>0</v>
      </c>
      <c r="DO120" s="387">
        <v>0</v>
      </c>
      <c r="DP120" s="387">
        <v>0</v>
      </c>
      <c r="DQ120" s="387">
        <v>0</v>
      </c>
      <c r="DR120" s="387">
        <v>0</v>
      </c>
      <c r="DS120" s="387">
        <v>0</v>
      </c>
      <c r="DT120" s="387">
        <v>0</v>
      </c>
      <c r="DU120" s="387">
        <v>0</v>
      </c>
      <c r="DV120" s="387">
        <v>0</v>
      </c>
      <c r="DW120" s="387">
        <v>0</v>
      </c>
    </row>
    <row r="121" spans="1:127" ht="14.25" customHeight="1">
      <c r="A121" s="544"/>
      <c r="B121" s="196" t="s">
        <v>145</v>
      </c>
      <c r="C121" s="156">
        <v>0</v>
      </c>
      <c r="D121" s="156">
        <v>0</v>
      </c>
      <c r="E121" s="156">
        <v>0</v>
      </c>
      <c r="F121" s="156">
        <v>0</v>
      </c>
      <c r="G121" s="156">
        <v>0</v>
      </c>
      <c r="H121" s="156">
        <v>0</v>
      </c>
      <c r="I121" s="156">
        <v>0</v>
      </c>
      <c r="J121" s="156">
        <v>0</v>
      </c>
      <c r="K121" s="156">
        <v>0</v>
      </c>
      <c r="L121" s="156">
        <v>0</v>
      </c>
      <c r="M121" s="156">
        <v>0</v>
      </c>
      <c r="N121" s="156">
        <v>0</v>
      </c>
      <c r="O121" s="156">
        <v>0</v>
      </c>
      <c r="P121" s="156">
        <v>0.91030471280322556</v>
      </c>
      <c r="Q121" s="156">
        <v>0</v>
      </c>
      <c r="R121" s="156">
        <v>0</v>
      </c>
      <c r="S121" s="156">
        <v>0</v>
      </c>
      <c r="T121" s="156">
        <v>0</v>
      </c>
      <c r="U121" s="156">
        <v>0</v>
      </c>
      <c r="V121" s="156">
        <v>0</v>
      </c>
      <c r="W121" s="200">
        <v>0</v>
      </c>
      <c r="AA121" s="544"/>
      <c r="AB121" s="196" t="s">
        <v>145</v>
      </c>
      <c r="AC121" s="156">
        <v>0</v>
      </c>
      <c r="AD121" s="156">
        <v>0</v>
      </c>
      <c r="AE121" s="156">
        <v>0</v>
      </c>
      <c r="AF121" s="156">
        <v>0</v>
      </c>
      <c r="AG121" s="156">
        <v>0</v>
      </c>
      <c r="AH121" s="156">
        <v>0</v>
      </c>
      <c r="AI121" s="156">
        <v>0</v>
      </c>
      <c r="AJ121" s="156">
        <v>0</v>
      </c>
      <c r="AK121" s="156">
        <v>0</v>
      </c>
      <c r="AL121" s="156">
        <v>0</v>
      </c>
      <c r="AM121" s="156">
        <v>0</v>
      </c>
      <c r="AN121" s="156">
        <v>0</v>
      </c>
      <c r="AO121" s="156">
        <v>0</v>
      </c>
      <c r="AP121" s="156">
        <v>0</v>
      </c>
      <c r="AQ121" s="156">
        <v>0</v>
      </c>
      <c r="AR121" s="156">
        <v>0</v>
      </c>
      <c r="AS121" s="156">
        <v>0</v>
      </c>
      <c r="AT121" s="156">
        <v>0</v>
      </c>
      <c r="AU121" s="156">
        <v>0</v>
      </c>
      <c r="AV121" s="156">
        <v>0</v>
      </c>
      <c r="AW121" s="200">
        <v>0</v>
      </c>
      <c r="BF121" s="538"/>
      <c r="BG121" s="363" t="s">
        <v>145</v>
      </c>
      <c r="BH121" s="385">
        <v>0</v>
      </c>
      <c r="BI121" s="385">
        <v>0</v>
      </c>
      <c r="BJ121" s="385">
        <v>0</v>
      </c>
      <c r="BK121" s="385">
        <v>0</v>
      </c>
      <c r="BL121" s="385">
        <v>0</v>
      </c>
      <c r="BM121" s="386">
        <v>0</v>
      </c>
      <c r="BN121" s="386">
        <v>0</v>
      </c>
      <c r="BO121" s="386">
        <v>0</v>
      </c>
      <c r="BP121" s="385">
        <v>0</v>
      </c>
      <c r="BQ121" s="385">
        <v>0</v>
      </c>
      <c r="BR121" s="385">
        <v>0</v>
      </c>
      <c r="BS121" s="385">
        <v>0</v>
      </c>
      <c r="BT121" s="385">
        <v>0</v>
      </c>
      <c r="BU121" s="385">
        <v>0</v>
      </c>
      <c r="BV121" s="385">
        <v>0</v>
      </c>
      <c r="BW121" s="385">
        <v>0</v>
      </c>
      <c r="BX121" s="385">
        <v>0</v>
      </c>
      <c r="BY121" s="385">
        <v>0</v>
      </c>
      <c r="BZ121" s="385">
        <v>0</v>
      </c>
      <c r="CA121" s="385">
        <v>0</v>
      </c>
      <c r="CB121" s="385">
        <v>0</v>
      </c>
      <c r="CC121"/>
      <c r="CD121" s="196" t="s">
        <v>141</v>
      </c>
      <c r="CE121">
        <v>6.2950789825607497E-3</v>
      </c>
      <c r="CF121">
        <v>1.4690598989966761E-2</v>
      </c>
      <c r="CG121">
        <v>1.599476810190947E-2</v>
      </c>
      <c r="CH121">
        <v>2.099827400067647E-2</v>
      </c>
      <c r="CI121">
        <v>0.1001521428829816</v>
      </c>
      <c r="CJ121">
        <v>7.8876410152144954E-3</v>
      </c>
      <c r="CK121">
        <v>1.7375242961444649E-2</v>
      </c>
      <c r="CL121">
        <v>1.457062695976327E-2</v>
      </c>
      <c r="CM121">
        <v>1.4800149758949121E-2</v>
      </c>
      <c r="CN121">
        <v>1.325305405501693E-2</v>
      </c>
      <c r="CO121">
        <v>1.7604294515686469E-2</v>
      </c>
      <c r="CP121">
        <v>2.471222386781748E-2</v>
      </c>
      <c r="CQ121">
        <v>6.3375796374707796E-3</v>
      </c>
      <c r="CR121">
        <v>8.4038414145968434E-3</v>
      </c>
      <c r="CS121">
        <v>4.0867566275078109E-3</v>
      </c>
      <c r="CT121">
        <v>2.4626058472276761E-3</v>
      </c>
      <c r="CU121">
        <v>1.212416216978412E-2</v>
      </c>
      <c r="CV121">
        <v>2.902615555794874E-3</v>
      </c>
      <c r="CW121">
        <v>1.5830960388045941E-3</v>
      </c>
      <c r="CX121">
        <v>4.0129971609467142E-3</v>
      </c>
      <c r="CY121">
        <v>0</v>
      </c>
      <c r="DA121" s="538"/>
      <c r="DB121" s="363" t="s">
        <v>145</v>
      </c>
      <c r="DC121" s="387">
        <v>0</v>
      </c>
      <c r="DD121" s="387">
        <v>0</v>
      </c>
      <c r="DE121" s="387">
        <v>0</v>
      </c>
      <c r="DF121" s="387">
        <v>0</v>
      </c>
      <c r="DG121" s="387">
        <v>0</v>
      </c>
      <c r="DH121" s="387">
        <v>0</v>
      </c>
      <c r="DI121" s="387">
        <v>0</v>
      </c>
      <c r="DJ121" s="387">
        <v>0</v>
      </c>
      <c r="DK121" s="387">
        <v>0</v>
      </c>
      <c r="DL121" s="387">
        <v>0</v>
      </c>
      <c r="DM121" s="387">
        <v>0</v>
      </c>
      <c r="DN121" s="387">
        <v>0</v>
      </c>
      <c r="DO121" s="387">
        <v>0</v>
      </c>
      <c r="DP121" s="387">
        <v>0</v>
      </c>
      <c r="DQ121" s="387">
        <v>0</v>
      </c>
      <c r="DR121" s="387">
        <v>0</v>
      </c>
      <c r="DS121" s="387">
        <v>0</v>
      </c>
      <c r="DT121" s="387">
        <v>0</v>
      </c>
      <c r="DU121" s="387">
        <v>0</v>
      </c>
      <c r="DV121" s="387">
        <v>0</v>
      </c>
      <c r="DW121" s="387">
        <v>0</v>
      </c>
    </row>
    <row r="122" spans="1:127" ht="14.25" customHeight="1">
      <c r="A122" s="544"/>
      <c r="B122" s="196" t="s">
        <v>73</v>
      </c>
      <c r="C122" s="156">
        <v>0</v>
      </c>
      <c r="D122" s="156">
        <v>0</v>
      </c>
      <c r="E122" s="156">
        <v>0</v>
      </c>
      <c r="F122" s="156">
        <v>0</v>
      </c>
      <c r="G122" s="156">
        <v>0</v>
      </c>
      <c r="H122" s="156">
        <v>0</v>
      </c>
      <c r="I122" s="156">
        <v>0</v>
      </c>
      <c r="J122" s="156">
        <v>0</v>
      </c>
      <c r="K122" s="156">
        <v>0</v>
      </c>
      <c r="L122" s="156">
        <v>0</v>
      </c>
      <c r="M122" s="156">
        <v>0</v>
      </c>
      <c r="N122" s="156">
        <v>0</v>
      </c>
      <c r="O122" s="156">
        <v>0</v>
      </c>
      <c r="P122" s="156">
        <v>0</v>
      </c>
      <c r="Q122" s="156">
        <v>2.7776051699496679E-2</v>
      </c>
      <c r="R122" s="156">
        <v>0</v>
      </c>
      <c r="S122" s="156">
        <v>0</v>
      </c>
      <c r="T122" s="156">
        <v>0</v>
      </c>
      <c r="U122" s="156">
        <v>0</v>
      </c>
      <c r="V122" s="156">
        <v>0</v>
      </c>
      <c r="W122" s="200">
        <v>0</v>
      </c>
      <c r="AA122" s="544"/>
      <c r="AB122" s="196" t="s">
        <v>73</v>
      </c>
      <c r="AC122" s="156">
        <v>0</v>
      </c>
      <c r="AD122" s="156">
        <v>0</v>
      </c>
      <c r="AE122" s="156">
        <v>0</v>
      </c>
      <c r="AF122" s="156">
        <v>0</v>
      </c>
      <c r="AG122" s="156">
        <v>0</v>
      </c>
      <c r="AH122" s="156">
        <v>0</v>
      </c>
      <c r="AI122" s="156">
        <v>0</v>
      </c>
      <c r="AJ122" s="156">
        <v>0</v>
      </c>
      <c r="AK122" s="156">
        <v>0</v>
      </c>
      <c r="AL122" s="156">
        <v>0</v>
      </c>
      <c r="AM122" s="156">
        <v>0</v>
      </c>
      <c r="AN122" s="156">
        <v>0</v>
      </c>
      <c r="AO122" s="156">
        <v>0</v>
      </c>
      <c r="AP122" s="156">
        <v>0</v>
      </c>
      <c r="AQ122" s="156">
        <v>0</v>
      </c>
      <c r="AR122" s="156">
        <v>0</v>
      </c>
      <c r="AS122" s="156">
        <v>0</v>
      </c>
      <c r="AT122" s="156">
        <v>0</v>
      </c>
      <c r="AU122" s="156">
        <v>0</v>
      </c>
      <c r="AV122" s="156">
        <v>0</v>
      </c>
      <c r="AW122" s="200">
        <v>0</v>
      </c>
      <c r="BF122" s="538"/>
      <c r="BG122" s="363" t="s">
        <v>73</v>
      </c>
      <c r="BH122" s="385">
        <v>0</v>
      </c>
      <c r="BI122" s="385">
        <v>0</v>
      </c>
      <c r="BJ122" s="385">
        <v>0</v>
      </c>
      <c r="BK122" s="385">
        <v>0</v>
      </c>
      <c r="BL122" s="385">
        <v>0</v>
      </c>
      <c r="BM122" s="386">
        <v>0</v>
      </c>
      <c r="BN122" s="386">
        <v>0</v>
      </c>
      <c r="BO122" s="386">
        <v>0</v>
      </c>
      <c r="BP122" s="385">
        <v>0</v>
      </c>
      <c r="BQ122" s="385">
        <v>0</v>
      </c>
      <c r="BR122" s="385">
        <v>0</v>
      </c>
      <c r="BS122" s="385">
        <v>0</v>
      </c>
      <c r="BT122" s="385">
        <v>0</v>
      </c>
      <c r="BU122" s="385">
        <v>0</v>
      </c>
      <c r="BV122" s="385">
        <v>0</v>
      </c>
      <c r="BW122" s="385">
        <v>0</v>
      </c>
      <c r="BX122" s="385">
        <v>0</v>
      </c>
      <c r="BY122" s="385">
        <v>0</v>
      </c>
      <c r="BZ122" s="385">
        <v>0</v>
      </c>
      <c r="CA122" s="385">
        <v>0</v>
      </c>
      <c r="CB122" s="385">
        <v>0</v>
      </c>
      <c r="CC122"/>
      <c r="CD122" s="196" t="s">
        <v>142</v>
      </c>
      <c r="CE122">
        <v>1.22723568725105E-2</v>
      </c>
      <c r="CF122">
        <v>1.6525763094519658E-2</v>
      </c>
      <c r="CG122">
        <v>2.1539216456349639E-2</v>
      </c>
      <c r="CH122">
        <v>7.6549142703833561E-2</v>
      </c>
      <c r="CI122">
        <v>2.3788594631039071E-2</v>
      </c>
      <c r="CJ122">
        <v>7.3885848569458373E-2</v>
      </c>
      <c r="CK122">
        <v>3.2972397764288088E-3</v>
      </c>
      <c r="CL122">
        <v>3.4612107108005562E-3</v>
      </c>
      <c r="CM122">
        <v>1.8147164199688409E-2</v>
      </c>
      <c r="CN122">
        <v>1.3946043113675829E-2</v>
      </c>
      <c r="CO122">
        <v>8.709366083915461E-3</v>
      </c>
      <c r="CP122">
        <v>1.5816805165664111E-2</v>
      </c>
      <c r="CQ122">
        <v>8.2945618900144274E-3</v>
      </c>
      <c r="CR122">
        <v>7.8560649651007244E-3</v>
      </c>
      <c r="CS122">
        <v>3.5015458323825288E-3</v>
      </c>
      <c r="CT122">
        <v>1.4140806390581439E-3</v>
      </c>
      <c r="CU122">
        <v>8.0495978779642641E-3</v>
      </c>
      <c r="CV122">
        <v>4.1116983540884326E-3</v>
      </c>
      <c r="CW122">
        <v>1.9169570437129551E-3</v>
      </c>
      <c r="CX122">
        <v>5.6951282335360722E-3</v>
      </c>
      <c r="CY122">
        <v>0</v>
      </c>
      <c r="DA122" s="538"/>
      <c r="DB122" s="363" t="s">
        <v>73</v>
      </c>
      <c r="DC122" s="387">
        <v>0</v>
      </c>
      <c r="DD122" s="387">
        <v>0</v>
      </c>
      <c r="DE122" s="387">
        <v>0</v>
      </c>
      <c r="DF122" s="387">
        <v>0</v>
      </c>
      <c r="DG122" s="387">
        <v>0</v>
      </c>
      <c r="DH122" s="387">
        <v>0</v>
      </c>
      <c r="DI122" s="387">
        <v>0</v>
      </c>
      <c r="DJ122" s="387">
        <v>0</v>
      </c>
      <c r="DK122" s="387">
        <v>0</v>
      </c>
      <c r="DL122" s="387">
        <v>0</v>
      </c>
      <c r="DM122" s="387">
        <v>0</v>
      </c>
      <c r="DN122" s="387">
        <v>0</v>
      </c>
      <c r="DO122" s="387">
        <v>0</v>
      </c>
      <c r="DP122" s="387">
        <v>0</v>
      </c>
      <c r="DQ122" s="387">
        <v>0</v>
      </c>
      <c r="DR122" s="387">
        <v>0</v>
      </c>
      <c r="DS122" s="387">
        <v>0</v>
      </c>
      <c r="DT122" s="387">
        <v>0</v>
      </c>
      <c r="DU122" s="387">
        <v>0</v>
      </c>
      <c r="DV122" s="387">
        <v>0</v>
      </c>
      <c r="DW122" s="387">
        <v>0</v>
      </c>
    </row>
    <row r="123" spans="1:127" ht="14.25" customHeight="1">
      <c r="A123" s="544"/>
      <c r="B123" s="196" t="s">
        <v>75</v>
      </c>
      <c r="C123" s="156">
        <v>0</v>
      </c>
      <c r="D123" s="156">
        <v>0</v>
      </c>
      <c r="E123" s="156">
        <v>0</v>
      </c>
      <c r="F123" s="156">
        <v>0</v>
      </c>
      <c r="G123" s="156">
        <v>0</v>
      </c>
      <c r="H123" s="156">
        <v>0</v>
      </c>
      <c r="I123" s="156">
        <v>0</v>
      </c>
      <c r="J123" s="156">
        <v>0</v>
      </c>
      <c r="K123" s="156">
        <v>0</v>
      </c>
      <c r="L123" s="156">
        <v>0</v>
      </c>
      <c r="M123" s="156">
        <v>0</v>
      </c>
      <c r="N123" s="156">
        <v>0</v>
      </c>
      <c r="O123" s="156">
        <v>0</v>
      </c>
      <c r="P123" s="156">
        <v>0</v>
      </c>
      <c r="Q123" s="156">
        <v>0</v>
      </c>
      <c r="R123" s="156">
        <v>0.9954233409610983</v>
      </c>
      <c r="S123" s="156">
        <v>0</v>
      </c>
      <c r="T123" s="156">
        <v>0</v>
      </c>
      <c r="U123" s="156">
        <v>0</v>
      </c>
      <c r="V123" s="156">
        <v>0</v>
      </c>
      <c r="W123" s="200">
        <v>0</v>
      </c>
      <c r="AA123" s="544"/>
      <c r="AB123" s="196" t="s">
        <v>75</v>
      </c>
      <c r="AC123" s="156">
        <v>0</v>
      </c>
      <c r="AD123" s="156">
        <v>0</v>
      </c>
      <c r="AE123" s="156">
        <v>0</v>
      </c>
      <c r="AF123" s="156">
        <v>0</v>
      </c>
      <c r="AG123" s="156">
        <v>0</v>
      </c>
      <c r="AH123" s="156">
        <v>0</v>
      </c>
      <c r="AI123" s="156">
        <v>0</v>
      </c>
      <c r="AJ123" s="156">
        <v>0</v>
      </c>
      <c r="AK123" s="156">
        <v>0</v>
      </c>
      <c r="AL123" s="156">
        <v>0</v>
      </c>
      <c r="AM123" s="156">
        <v>0</v>
      </c>
      <c r="AN123" s="156">
        <v>0</v>
      </c>
      <c r="AO123" s="156">
        <v>0</v>
      </c>
      <c r="AP123" s="156">
        <v>0</v>
      </c>
      <c r="AQ123" s="156">
        <v>0</v>
      </c>
      <c r="AR123" s="156">
        <v>0</v>
      </c>
      <c r="AS123" s="156">
        <v>0</v>
      </c>
      <c r="AT123" s="156">
        <v>0</v>
      </c>
      <c r="AU123" s="156">
        <v>0</v>
      </c>
      <c r="AV123" s="156">
        <v>0</v>
      </c>
      <c r="AW123" s="200">
        <v>0</v>
      </c>
      <c r="BF123" s="538"/>
      <c r="BG123" s="363" t="s">
        <v>75</v>
      </c>
      <c r="BH123" s="385">
        <v>0</v>
      </c>
      <c r="BI123" s="385">
        <v>0</v>
      </c>
      <c r="BJ123" s="385">
        <v>0</v>
      </c>
      <c r="BK123" s="385">
        <v>0</v>
      </c>
      <c r="BL123" s="385">
        <v>0</v>
      </c>
      <c r="BM123" s="386">
        <v>0</v>
      </c>
      <c r="BN123" s="386">
        <v>0</v>
      </c>
      <c r="BO123" s="386">
        <v>0</v>
      </c>
      <c r="BP123" s="385">
        <v>0</v>
      </c>
      <c r="BQ123" s="385">
        <v>0</v>
      </c>
      <c r="BR123" s="385">
        <v>0</v>
      </c>
      <c r="BS123" s="385">
        <v>0</v>
      </c>
      <c r="BT123" s="385">
        <v>0</v>
      </c>
      <c r="BU123" s="385">
        <v>0</v>
      </c>
      <c r="BV123" s="385">
        <v>0</v>
      </c>
      <c r="BW123" s="385">
        <v>0</v>
      </c>
      <c r="BX123" s="385">
        <v>0</v>
      </c>
      <c r="BY123" s="385">
        <v>0</v>
      </c>
      <c r="BZ123" s="385">
        <v>0</v>
      </c>
      <c r="CA123" s="385">
        <v>0</v>
      </c>
      <c r="CB123" s="385">
        <v>0</v>
      </c>
      <c r="CC123"/>
      <c r="CD123" s="196" t="s">
        <v>143</v>
      </c>
      <c r="CE123">
        <v>3.8360328803438092E-3</v>
      </c>
      <c r="CF123">
        <v>5.683036781280776E-3</v>
      </c>
      <c r="CG123">
        <v>5.2482969157248401E-3</v>
      </c>
      <c r="CH123">
        <v>1.9485562579613879E-2</v>
      </c>
      <c r="CI123">
        <v>4.9468852579304459E-3</v>
      </c>
      <c r="CJ123">
        <v>8.8656759219490396E-3</v>
      </c>
      <c r="CK123">
        <v>3.6703758611635613E-2</v>
      </c>
      <c r="CL123">
        <v>9.0545174060774111E-3</v>
      </c>
      <c r="CM123">
        <v>4.1969709533306067E-3</v>
      </c>
      <c r="CN123">
        <v>2.9704304607091792E-3</v>
      </c>
      <c r="CO123">
        <v>1.4545989083108661E-3</v>
      </c>
      <c r="CP123">
        <v>3.367897107902472E-3</v>
      </c>
      <c r="CQ123">
        <v>2.0422955672900339E-3</v>
      </c>
      <c r="CR123">
        <v>1.9037131916838201E-3</v>
      </c>
      <c r="CS123">
        <v>7.9321161725228232E-4</v>
      </c>
      <c r="CT123">
        <v>3.4675753869584401E-4</v>
      </c>
      <c r="CU123">
        <v>1.8017204435118569E-3</v>
      </c>
      <c r="CV123">
        <v>9.4859104508739154E-4</v>
      </c>
      <c r="CW123">
        <v>4.4510150599199022E-4</v>
      </c>
      <c r="CX123">
        <v>1.554094787614167E-3</v>
      </c>
      <c r="CY123">
        <v>0</v>
      </c>
      <c r="DA123" s="538"/>
      <c r="DB123" s="363" t="s">
        <v>75</v>
      </c>
      <c r="DC123" s="387">
        <v>0</v>
      </c>
      <c r="DD123" s="387">
        <v>0</v>
      </c>
      <c r="DE123" s="387">
        <v>0</v>
      </c>
      <c r="DF123" s="387">
        <v>0</v>
      </c>
      <c r="DG123" s="387">
        <v>0</v>
      </c>
      <c r="DH123" s="387">
        <v>0</v>
      </c>
      <c r="DI123" s="387">
        <v>0</v>
      </c>
      <c r="DJ123" s="387">
        <v>0</v>
      </c>
      <c r="DK123" s="387">
        <v>0</v>
      </c>
      <c r="DL123" s="387">
        <v>0</v>
      </c>
      <c r="DM123" s="387">
        <v>0</v>
      </c>
      <c r="DN123" s="387">
        <v>0</v>
      </c>
      <c r="DO123" s="387">
        <v>0</v>
      </c>
      <c r="DP123" s="387">
        <v>0</v>
      </c>
      <c r="DQ123" s="387">
        <v>0</v>
      </c>
      <c r="DR123" s="387">
        <v>0</v>
      </c>
      <c r="DS123" s="387">
        <v>0</v>
      </c>
      <c r="DT123" s="387">
        <v>0</v>
      </c>
      <c r="DU123" s="387">
        <v>0</v>
      </c>
      <c r="DV123" s="387">
        <v>0</v>
      </c>
      <c r="DW123" s="387">
        <v>0</v>
      </c>
    </row>
    <row r="124" spans="1:127" ht="14.25" customHeight="1">
      <c r="A124" s="544"/>
      <c r="B124" s="196" t="s">
        <v>146</v>
      </c>
      <c r="C124" s="156">
        <v>0</v>
      </c>
      <c r="D124" s="156">
        <v>0</v>
      </c>
      <c r="E124" s="156">
        <v>0</v>
      </c>
      <c r="F124" s="156">
        <v>0</v>
      </c>
      <c r="G124" s="156">
        <v>0</v>
      </c>
      <c r="H124" s="156">
        <v>0</v>
      </c>
      <c r="I124" s="156">
        <v>0</v>
      </c>
      <c r="J124" s="156">
        <v>0</v>
      </c>
      <c r="K124" s="156">
        <v>0</v>
      </c>
      <c r="L124" s="156">
        <v>0</v>
      </c>
      <c r="M124" s="156">
        <v>0</v>
      </c>
      <c r="N124" s="156">
        <v>0</v>
      </c>
      <c r="O124" s="156">
        <v>0</v>
      </c>
      <c r="P124" s="156">
        <v>0</v>
      </c>
      <c r="Q124" s="156">
        <v>0</v>
      </c>
      <c r="R124" s="156">
        <v>0</v>
      </c>
      <c r="S124" s="156">
        <v>0.93389563190015767</v>
      </c>
      <c r="T124" s="156">
        <v>0</v>
      </c>
      <c r="U124" s="156">
        <v>0</v>
      </c>
      <c r="V124" s="156">
        <v>0</v>
      </c>
      <c r="W124" s="200">
        <v>0</v>
      </c>
      <c r="AA124" s="544"/>
      <c r="AB124" s="196" t="s">
        <v>146</v>
      </c>
      <c r="AC124" s="156">
        <v>0</v>
      </c>
      <c r="AD124" s="156">
        <v>0</v>
      </c>
      <c r="AE124" s="156">
        <v>0</v>
      </c>
      <c r="AF124" s="156">
        <v>0</v>
      </c>
      <c r="AG124" s="156">
        <v>0</v>
      </c>
      <c r="AH124" s="156">
        <v>0</v>
      </c>
      <c r="AI124" s="156">
        <v>0</v>
      </c>
      <c r="AJ124" s="156">
        <v>0</v>
      </c>
      <c r="AK124" s="156">
        <v>0</v>
      </c>
      <c r="AL124" s="156">
        <v>0</v>
      </c>
      <c r="AM124" s="156">
        <v>0</v>
      </c>
      <c r="AN124" s="156">
        <v>0</v>
      </c>
      <c r="AO124" s="156">
        <v>0</v>
      </c>
      <c r="AP124" s="156">
        <v>0</v>
      </c>
      <c r="AQ124" s="156">
        <v>0</v>
      </c>
      <c r="AR124" s="156">
        <v>0</v>
      </c>
      <c r="AS124" s="156">
        <v>0</v>
      </c>
      <c r="AT124" s="156">
        <v>0</v>
      </c>
      <c r="AU124" s="156">
        <v>0</v>
      </c>
      <c r="AV124" s="156">
        <v>0</v>
      </c>
      <c r="AW124" s="200">
        <v>0</v>
      </c>
      <c r="BF124" s="538"/>
      <c r="BG124" s="363" t="s">
        <v>146</v>
      </c>
      <c r="BH124" s="385">
        <v>0</v>
      </c>
      <c r="BI124" s="385">
        <v>0</v>
      </c>
      <c r="BJ124" s="385">
        <v>0</v>
      </c>
      <c r="BK124" s="385">
        <v>0</v>
      </c>
      <c r="BL124" s="385">
        <v>0</v>
      </c>
      <c r="BM124" s="386">
        <v>0</v>
      </c>
      <c r="BN124" s="386">
        <v>0</v>
      </c>
      <c r="BO124" s="386">
        <v>0</v>
      </c>
      <c r="BP124" s="385">
        <v>0</v>
      </c>
      <c r="BQ124" s="385">
        <v>0</v>
      </c>
      <c r="BR124" s="385">
        <v>0</v>
      </c>
      <c r="BS124" s="385">
        <v>0</v>
      </c>
      <c r="BT124" s="385">
        <v>0</v>
      </c>
      <c r="BU124" s="385">
        <v>0</v>
      </c>
      <c r="BV124" s="385">
        <v>0</v>
      </c>
      <c r="BW124" s="385">
        <v>0</v>
      </c>
      <c r="BX124" s="385">
        <v>0</v>
      </c>
      <c r="BY124" s="385">
        <v>0</v>
      </c>
      <c r="BZ124" s="385">
        <v>0</v>
      </c>
      <c r="CA124" s="385">
        <v>0</v>
      </c>
      <c r="CB124" s="385">
        <v>0</v>
      </c>
      <c r="CC124"/>
      <c r="CD124" s="196" t="s">
        <v>144</v>
      </c>
      <c r="CE124">
        <v>1.3037150930368969E-4</v>
      </c>
      <c r="CF124">
        <v>2.8714232829820128E-4</v>
      </c>
      <c r="CG124">
        <v>2.317274102434567E-4</v>
      </c>
      <c r="CH124">
        <v>1.731541429434948E-3</v>
      </c>
      <c r="CI124">
        <v>2.591985613069789E-4</v>
      </c>
      <c r="CJ124">
        <v>1.146876050690473E-4</v>
      </c>
      <c r="CK124">
        <v>1.4840137800257381E-4</v>
      </c>
      <c r="CL124">
        <v>3.6224076477486003E-2</v>
      </c>
      <c r="CM124">
        <v>2.5863683711419851E-4</v>
      </c>
      <c r="CN124">
        <v>1.7256296179842871E-4</v>
      </c>
      <c r="CO124">
        <v>6.8674465533222201E-5</v>
      </c>
      <c r="CP124">
        <v>1.500995789045004E-4</v>
      </c>
      <c r="CQ124">
        <v>7.983668849688636E-5</v>
      </c>
      <c r="CR124">
        <v>8.2888996474811923E-5</v>
      </c>
      <c r="CS124">
        <v>3.5571331728129451E-5</v>
      </c>
      <c r="CT124">
        <v>1.342604687441403E-5</v>
      </c>
      <c r="CU124">
        <v>8.5259187344370978E-5</v>
      </c>
      <c r="CV124">
        <v>4.1507255784137138E-5</v>
      </c>
      <c r="CW124">
        <v>2.0189235254183951E-5</v>
      </c>
      <c r="CX124">
        <v>5.3526936358479098E-5</v>
      </c>
      <c r="CY124">
        <v>0</v>
      </c>
      <c r="DA124" s="538"/>
      <c r="DB124" s="363" t="s">
        <v>146</v>
      </c>
      <c r="DC124" s="387">
        <v>0</v>
      </c>
      <c r="DD124" s="387">
        <v>0</v>
      </c>
      <c r="DE124" s="387">
        <v>0</v>
      </c>
      <c r="DF124" s="387">
        <v>0</v>
      </c>
      <c r="DG124" s="387">
        <v>0</v>
      </c>
      <c r="DH124" s="387">
        <v>0</v>
      </c>
      <c r="DI124" s="387">
        <v>0</v>
      </c>
      <c r="DJ124" s="387">
        <v>0</v>
      </c>
      <c r="DK124" s="387">
        <v>0</v>
      </c>
      <c r="DL124" s="387">
        <v>0</v>
      </c>
      <c r="DM124" s="387">
        <v>0</v>
      </c>
      <c r="DN124" s="387">
        <v>0</v>
      </c>
      <c r="DO124" s="387">
        <v>0</v>
      </c>
      <c r="DP124" s="387">
        <v>0</v>
      </c>
      <c r="DQ124" s="387">
        <v>0</v>
      </c>
      <c r="DR124" s="387">
        <v>0</v>
      </c>
      <c r="DS124" s="387">
        <v>0</v>
      </c>
      <c r="DT124" s="387">
        <v>0</v>
      </c>
      <c r="DU124" s="387">
        <v>0</v>
      </c>
      <c r="DV124" s="387">
        <v>0</v>
      </c>
      <c r="DW124" s="387">
        <v>0</v>
      </c>
    </row>
    <row r="125" spans="1:127" ht="14.25" customHeight="1">
      <c r="A125" s="544"/>
      <c r="B125" s="196" t="s">
        <v>83</v>
      </c>
      <c r="C125" s="156">
        <v>0</v>
      </c>
      <c r="D125" s="156">
        <v>0</v>
      </c>
      <c r="E125" s="156">
        <v>0</v>
      </c>
      <c r="F125" s="156">
        <v>0</v>
      </c>
      <c r="G125" s="156">
        <v>0</v>
      </c>
      <c r="H125" s="156">
        <v>0</v>
      </c>
      <c r="I125" s="156">
        <v>0</v>
      </c>
      <c r="J125" s="156">
        <v>0</v>
      </c>
      <c r="K125" s="156">
        <v>0</v>
      </c>
      <c r="L125" s="156">
        <v>0</v>
      </c>
      <c r="M125" s="156">
        <v>0</v>
      </c>
      <c r="N125" s="156">
        <v>0</v>
      </c>
      <c r="O125" s="156">
        <v>0</v>
      </c>
      <c r="P125" s="156">
        <v>0</v>
      </c>
      <c r="Q125" s="156">
        <v>0</v>
      </c>
      <c r="R125" s="156">
        <v>0</v>
      </c>
      <c r="S125" s="156">
        <v>0</v>
      </c>
      <c r="T125" s="156">
        <v>1</v>
      </c>
      <c r="U125" s="156">
        <v>0</v>
      </c>
      <c r="V125" s="156">
        <v>0</v>
      </c>
      <c r="W125" s="200">
        <v>0</v>
      </c>
      <c r="AA125" s="544"/>
      <c r="AB125" s="196" t="s">
        <v>83</v>
      </c>
      <c r="AC125" s="156">
        <v>0</v>
      </c>
      <c r="AD125" s="156">
        <v>0</v>
      </c>
      <c r="AE125" s="156">
        <v>0</v>
      </c>
      <c r="AF125" s="156">
        <v>0</v>
      </c>
      <c r="AG125" s="156">
        <v>0</v>
      </c>
      <c r="AH125" s="156">
        <v>0</v>
      </c>
      <c r="AI125" s="156">
        <v>0</v>
      </c>
      <c r="AJ125" s="156">
        <v>0</v>
      </c>
      <c r="AK125" s="156">
        <v>0</v>
      </c>
      <c r="AL125" s="156">
        <v>0</v>
      </c>
      <c r="AM125" s="156">
        <v>0</v>
      </c>
      <c r="AN125" s="156">
        <v>0</v>
      </c>
      <c r="AO125" s="156">
        <v>0</v>
      </c>
      <c r="AP125" s="156">
        <v>0</v>
      </c>
      <c r="AQ125" s="156">
        <v>0</v>
      </c>
      <c r="AR125" s="156">
        <v>0</v>
      </c>
      <c r="AS125" s="156">
        <v>0</v>
      </c>
      <c r="AT125" s="156">
        <v>0</v>
      </c>
      <c r="AU125" s="156">
        <v>0</v>
      </c>
      <c r="AV125" s="156">
        <v>0</v>
      </c>
      <c r="AW125" s="200">
        <v>0</v>
      </c>
      <c r="BF125" s="538"/>
      <c r="BG125" s="363" t="s">
        <v>83</v>
      </c>
      <c r="BH125" s="385">
        <v>0</v>
      </c>
      <c r="BI125" s="385">
        <v>0</v>
      </c>
      <c r="BJ125" s="385">
        <v>0</v>
      </c>
      <c r="BK125" s="385">
        <v>0</v>
      </c>
      <c r="BL125" s="385">
        <v>0</v>
      </c>
      <c r="BM125" s="386">
        <v>0</v>
      </c>
      <c r="BN125" s="386">
        <v>0</v>
      </c>
      <c r="BO125" s="386">
        <v>0</v>
      </c>
      <c r="BP125" s="385">
        <v>0</v>
      </c>
      <c r="BQ125" s="385">
        <v>0</v>
      </c>
      <c r="BR125" s="385">
        <v>0</v>
      </c>
      <c r="BS125" s="385">
        <v>0</v>
      </c>
      <c r="BT125" s="385">
        <v>0</v>
      </c>
      <c r="BU125" s="385">
        <v>0</v>
      </c>
      <c r="BV125" s="385">
        <v>0</v>
      </c>
      <c r="BW125" s="385">
        <v>0</v>
      </c>
      <c r="BX125" s="385">
        <v>0</v>
      </c>
      <c r="BY125" s="385">
        <v>0</v>
      </c>
      <c r="BZ125" s="385">
        <v>0</v>
      </c>
      <c r="CA125" s="385">
        <v>0</v>
      </c>
      <c r="CB125" s="385">
        <v>0</v>
      </c>
      <c r="CC125"/>
      <c r="CD125" s="196" t="s">
        <v>61</v>
      </c>
      <c r="CE125">
        <v>3.2339045450398671E-3</v>
      </c>
      <c r="CF125">
        <v>8.0704756010383967E-3</v>
      </c>
      <c r="CG125">
        <v>7.6195633574164794E-3</v>
      </c>
      <c r="CH125">
        <v>7.3552042889749132E-3</v>
      </c>
      <c r="CI125">
        <v>9.566366549004288E-3</v>
      </c>
      <c r="CJ125">
        <v>6.1970587007150009E-3</v>
      </c>
      <c r="CK125">
        <v>7.9711613590497752E-3</v>
      </c>
      <c r="CL125">
        <v>1.6084279522671871E-2</v>
      </c>
      <c r="CM125">
        <v>3.6710020455385788E-2</v>
      </c>
      <c r="CN125">
        <v>4.5792597393245916E-3</v>
      </c>
      <c r="CO125">
        <v>2.425671615307652E-3</v>
      </c>
      <c r="CP125">
        <v>3.6052151368675431E-3</v>
      </c>
      <c r="CQ125">
        <v>2.2242260516366279E-3</v>
      </c>
      <c r="CR125">
        <v>3.630115692930602E-3</v>
      </c>
      <c r="CS125">
        <v>1.127485517112254E-3</v>
      </c>
      <c r="CT125">
        <v>5.0107331041336232E-4</v>
      </c>
      <c r="CU125">
        <v>2.6191549121363099E-3</v>
      </c>
      <c r="CV125">
        <v>9.271558364200705E-4</v>
      </c>
      <c r="CW125">
        <v>4.9332672725309595E-4</v>
      </c>
      <c r="CX125">
        <v>1.8454362266378951E-3</v>
      </c>
      <c r="CY125">
        <v>0</v>
      </c>
      <c r="DA125" s="538"/>
      <c r="DB125" s="363" t="s">
        <v>83</v>
      </c>
      <c r="DC125" s="387">
        <v>0</v>
      </c>
      <c r="DD125" s="387">
        <v>0</v>
      </c>
      <c r="DE125" s="387">
        <v>0</v>
      </c>
      <c r="DF125" s="387">
        <v>0</v>
      </c>
      <c r="DG125" s="387">
        <v>0</v>
      </c>
      <c r="DH125" s="387">
        <v>0</v>
      </c>
      <c r="DI125" s="387">
        <v>0</v>
      </c>
      <c r="DJ125" s="387">
        <v>0</v>
      </c>
      <c r="DK125" s="387">
        <v>0</v>
      </c>
      <c r="DL125" s="387">
        <v>0</v>
      </c>
      <c r="DM125" s="387">
        <v>0</v>
      </c>
      <c r="DN125" s="387">
        <v>0</v>
      </c>
      <c r="DO125" s="387">
        <v>0</v>
      </c>
      <c r="DP125" s="387">
        <v>0</v>
      </c>
      <c r="DQ125" s="387">
        <v>0</v>
      </c>
      <c r="DR125" s="387">
        <v>0</v>
      </c>
      <c r="DS125" s="387">
        <v>0</v>
      </c>
      <c r="DT125" s="387">
        <v>0</v>
      </c>
      <c r="DU125" s="387">
        <v>0</v>
      </c>
      <c r="DV125" s="387">
        <v>0</v>
      </c>
      <c r="DW125" s="387">
        <v>0</v>
      </c>
    </row>
    <row r="126" spans="1:127" ht="14.25" customHeight="1">
      <c r="A126" s="544"/>
      <c r="B126" s="196" t="s">
        <v>85</v>
      </c>
      <c r="C126" s="156">
        <v>0</v>
      </c>
      <c r="D126" s="156">
        <v>0</v>
      </c>
      <c r="E126" s="156">
        <v>0</v>
      </c>
      <c r="F126" s="156">
        <v>0</v>
      </c>
      <c r="G126" s="156">
        <v>0</v>
      </c>
      <c r="H126" s="156">
        <v>0</v>
      </c>
      <c r="I126" s="156">
        <v>0</v>
      </c>
      <c r="J126" s="156">
        <v>0</v>
      </c>
      <c r="K126" s="156">
        <v>0</v>
      </c>
      <c r="L126" s="156">
        <v>0</v>
      </c>
      <c r="M126" s="156">
        <v>0</v>
      </c>
      <c r="N126" s="156">
        <v>0</v>
      </c>
      <c r="O126" s="156">
        <v>0</v>
      </c>
      <c r="P126" s="156">
        <v>0</v>
      </c>
      <c r="Q126" s="156">
        <v>0</v>
      </c>
      <c r="R126" s="156">
        <v>0</v>
      </c>
      <c r="S126" s="156">
        <v>0</v>
      </c>
      <c r="T126" s="156">
        <v>0</v>
      </c>
      <c r="U126" s="156">
        <v>1</v>
      </c>
      <c r="V126" s="156">
        <v>0</v>
      </c>
      <c r="W126" s="200">
        <v>0</v>
      </c>
      <c r="AA126" s="544"/>
      <c r="AB126" s="196" t="s">
        <v>85</v>
      </c>
      <c r="AC126" s="156">
        <v>0</v>
      </c>
      <c r="AD126" s="156">
        <v>0</v>
      </c>
      <c r="AE126" s="156">
        <v>0</v>
      </c>
      <c r="AF126" s="156">
        <v>0</v>
      </c>
      <c r="AG126" s="156">
        <v>0</v>
      </c>
      <c r="AH126" s="156">
        <v>0</v>
      </c>
      <c r="AI126" s="156">
        <v>0</v>
      </c>
      <c r="AJ126" s="156">
        <v>0</v>
      </c>
      <c r="AK126" s="156">
        <v>0</v>
      </c>
      <c r="AL126" s="156">
        <v>0</v>
      </c>
      <c r="AM126" s="156">
        <v>0</v>
      </c>
      <c r="AN126" s="156">
        <v>0</v>
      </c>
      <c r="AO126" s="156">
        <v>0</v>
      </c>
      <c r="AP126" s="156">
        <v>0</v>
      </c>
      <c r="AQ126" s="156">
        <v>0</v>
      </c>
      <c r="AR126" s="156">
        <v>0</v>
      </c>
      <c r="AS126" s="156">
        <v>0</v>
      </c>
      <c r="AT126" s="156">
        <v>0</v>
      </c>
      <c r="AU126" s="156">
        <v>0</v>
      </c>
      <c r="AV126" s="156">
        <v>0</v>
      </c>
      <c r="AW126" s="200">
        <v>0</v>
      </c>
      <c r="BF126" s="538"/>
      <c r="BG126" s="363" t="s">
        <v>85</v>
      </c>
      <c r="BH126" s="385">
        <v>0</v>
      </c>
      <c r="BI126" s="385">
        <v>0</v>
      </c>
      <c r="BJ126" s="385">
        <v>0</v>
      </c>
      <c r="BK126" s="385">
        <v>0</v>
      </c>
      <c r="BL126" s="385">
        <v>0</v>
      </c>
      <c r="BM126" s="386">
        <v>0</v>
      </c>
      <c r="BN126" s="386">
        <v>0</v>
      </c>
      <c r="BO126" s="386">
        <v>0</v>
      </c>
      <c r="BP126" s="385">
        <v>0</v>
      </c>
      <c r="BQ126" s="385">
        <v>0</v>
      </c>
      <c r="BR126" s="385">
        <v>0</v>
      </c>
      <c r="BS126" s="385">
        <v>0</v>
      </c>
      <c r="BT126" s="385">
        <v>0</v>
      </c>
      <c r="BU126" s="385">
        <v>0</v>
      </c>
      <c r="BV126" s="385">
        <v>0</v>
      </c>
      <c r="BW126" s="385">
        <v>0</v>
      </c>
      <c r="BX126" s="385">
        <v>0</v>
      </c>
      <c r="BY126" s="385">
        <v>0</v>
      </c>
      <c r="BZ126" s="385">
        <v>0</v>
      </c>
      <c r="CA126" s="385">
        <v>0</v>
      </c>
      <c r="CB126" s="385">
        <v>0</v>
      </c>
      <c r="CC126"/>
      <c r="CD126" s="196" t="s">
        <v>63</v>
      </c>
      <c r="CE126">
        <v>3.0763962800406199E-3</v>
      </c>
      <c r="CF126">
        <v>3.9787250781381303E-3</v>
      </c>
      <c r="CG126">
        <v>5.7492370720749319E-3</v>
      </c>
      <c r="CH126">
        <v>1.219050980510368E-2</v>
      </c>
      <c r="CI126">
        <v>7.0757801396147913E-3</v>
      </c>
      <c r="CJ126">
        <v>5.5466287132275574E-3</v>
      </c>
      <c r="CK126">
        <v>5.570574449022923E-3</v>
      </c>
      <c r="CL126">
        <v>2.4898361941925718E-3</v>
      </c>
      <c r="CM126">
        <v>4.7231148876318669E-3</v>
      </c>
      <c r="CN126">
        <v>5.4832168691900541E-3</v>
      </c>
      <c r="CO126">
        <v>2.3041412066438279E-3</v>
      </c>
      <c r="CP126">
        <v>3.8037154324170579E-3</v>
      </c>
      <c r="CQ126">
        <v>2.2194267865455189E-3</v>
      </c>
      <c r="CR126">
        <v>2.2947090711065931E-3</v>
      </c>
      <c r="CS126">
        <v>1.243223958741998E-3</v>
      </c>
      <c r="CT126">
        <v>4.8126177421119979E-4</v>
      </c>
      <c r="CU126">
        <v>2.4505738386497648E-3</v>
      </c>
      <c r="CV126">
        <v>9.7492166265154639E-4</v>
      </c>
      <c r="CW126">
        <v>5.0234217293833067E-4</v>
      </c>
      <c r="CX126">
        <v>1.8273372087363169E-3</v>
      </c>
      <c r="CY126">
        <v>0</v>
      </c>
      <c r="DA126" s="538"/>
      <c r="DB126" s="363" t="s">
        <v>85</v>
      </c>
      <c r="DC126" s="387">
        <v>0</v>
      </c>
      <c r="DD126" s="387">
        <v>0</v>
      </c>
      <c r="DE126" s="387">
        <v>0</v>
      </c>
      <c r="DF126" s="387">
        <v>0</v>
      </c>
      <c r="DG126" s="387">
        <v>0</v>
      </c>
      <c r="DH126" s="387">
        <v>0</v>
      </c>
      <c r="DI126" s="387">
        <v>0</v>
      </c>
      <c r="DJ126" s="387">
        <v>0</v>
      </c>
      <c r="DK126" s="387">
        <v>0</v>
      </c>
      <c r="DL126" s="387">
        <v>0</v>
      </c>
      <c r="DM126" s="387">
        <v>0</v>
      </c>
      <c r="DN126" s="387">
        <v>0</v>
      </c>
      <c r="DO126" s="387">
        <v>0</v>
      </c>
      <c r="DP126" s="387">
        <v>0</v>
      </c>
      <c r="DQ126" s="387">
        <v>0</v>
      </c>
      <c r="DR126" s="387">
        <v>0</v>
      </c>
      <c r="DS126" s="387">
        <v>0</v>
      </c>
      <c r="DT126" s="387">
        <v>0</v>
      </c>
      <c r="DU126" s="387">
        <v>0</v>
      </c>
      <c r="DV126" s="387">
        <v>0</v>
      </c>
      <c r="DW126" s="387">
        <v>0</v>
      </c>
    </row>
    <row r="127" spans="1:127" ht="14.25" customHeight="1">
      <c r="A127" s="544"/>
      <c r="B127" s="196" t="s">
        <v>88</v>
      </c>
      <c r="C127" s="156">
        <v>0</v>
      </c>
      <c r="D127" s="156">
        <v>0</v>
      </c>
      <c r="E127" s="156">
        <v>0</v>
      </c>
      <c r="F127" s="156">
        <v>0</v>
      </c>
      <c r="G127" s="156">
        <v>0</v>
      </c>
      <c r="H127" s="156">
        <v>0</v>
      </c>
      <c r="I127" s="156">
        <v>0</v>
      </c>
      <c r="J127" s="156">
        <v>0</v>
      </c>
      <c r="K127" s="156">
        <v>0</v>
      </c>
      <c r="L127" s="156">
        <v>0</v>
      </c>
      <c r="M127" s="156">
        <v>0</v>
      </c>
      <c r="N127" s="156">
        <v>0</v>
      </c>
      <c r="O127" s="156">
        <v>0</v>
      </c>
      <c r="P127" s="156">
        <v>0</v>
      </c>
      <c r="Q127" s="156">
        <v>0</v>
      </c>
      <c r="R127" s="156">
        <v>0</v>
      </c>
      <c r="S127" s="156">
        <v>0</v>
      </c>
      <c r="T127" s="156">
        <v>0</v>
      </c>
      <c r="U127" s="156">
        <v>0</v>
      </c>
      <c r="V127" s="156">
        <v>0.85559431846498879</v>
      </c>
      <c r="W127" s="200">
        <v>0</v>
      </c>
      <c r="AA127" s="544"/>
      <c r="AB127" s="196" t="s">
        <v>88</v>
      </c>
      <c r="AC127" s="156">
        <v>0</v>
      </c>
      <c r="AD127" s="156">
        <v>0</v>
      </c>
      <c r="AE127" s="156">
        <v>0</v>
      </c>
      <c r="AF127" s="156">
        <v>0</v>
      </c>
      <c r="AG127" s="156">
        <v>0</v>
      </c>
      <c r="AH127" s="156">
        <v>0</v>
      </c>
      <c r="AI127" s="156">
        <v>0</v>
      </c>
      <c r="AJ127" s="156">
        <v>0</v>
      </c>
      <c r="AK127" s="156">
        <v>0</v>
      </c>
      <c r="AL127" s="156">
        <v>0</v>
      </c>
      <c r="AM127" s="156">
        <v>0</v>
      </c>
      <c r="AN127" s="156">
        <v>0</v>
      </c>
      <c r="AO127" s="156">
        <v>0</v>
      </c>
      <c r="AP127" s="156">
        <v>0</v>
      </c>
      <c r="AQ127" s="156">
        <v>0</v>
      </c>
      <c r="AR127" s="156">
        <v>0</v>
      </c>
      <c r="AS127" s="156">
        <v>0</v>
      </c>
      <c r="AT127" s="156">
        <v>0</v>
      </c>
      <c r="AU127" s="156">
        <v>0</v>
      </c>
      <c r="AV127" s="156">
        <v>0</v>
      </c>
      <c r="AW127" s="200">
        <v>0</v>
      </c>
      <c r="BF127" s="538"/>
      <c r="BG127" s="363" t="s">
        <v>88</v>
      </c>
      <c r="BH127" s="385">
        <v>0</v>
      </c>
      <c r="BI127" s="385">
        <v>0</v>
      </c>
      <c r="BJ127" s="385">
        <v>0</v>
      </c>
      <c r="BK127" s="385">
        <v>0</v>
      </c>
      <c r="BL127" s="385">
        <v>0</v>
      </c>
      <c r="BM127" s="386">
        <v>0</v>
      </c>
      <c r="BN127" s="386">
        <v>0</v>
      </c>
      <c r="BO127" s="386">
        <v>0</v>
      </c>
      <c r="BP127" s="385">
        <v>0</v>
      </c>
      <c r="BQ127" s="385">
        <v>0</v>
      </c>
      <c r="BR127" s="385">
        <v>0</v>
      </c>
      <c r="BS127" s="385">
        <v>0</v>
      </c>
      <c r="BT127" s="385">
        <v>0</v>
      </c>
      <c r="BU127" s="385">
        <v>0</v>
      </c>
      <c r="BV127" s="385">
        <v>0</v>
      </c>
      <c r="BW127" s="385">
        <v>0</v>
      </c>
      <c r="BX127" s="385">
        <v>0</v>
      </c>
      <c r="BY127" s="385">
        <v>0</v>
      </c>
      <c r="BZ127" s="385">
        <v>0</v>
      </c>
      <c r="CA127" s="385">
        <v>0</v>
      </c>
      <c r="CB127" s="385">
        <v>0</v>
      </c>
      <c r="CC127"/>
      <c r="CD127" s="196" t="s">
        <v>65</v>
      </c>
      <c r="CE127">
        <v>2.618480664315577E-2</v>
      </c>
      <c r="CF127">
        <v>2.9400030109429029E-2</v>
      </c>
      <c r="CG127">
        <v>4.6874447945987843E-2</v>
      </c>
      <c r="CH127">
        <v>0.1015504114509727</v>
      </c>
      <c r="CI127">
        <v>5.6269595144011968E-2</v>
      </c>
      <c r="CJ127">
        <v>2.7232214321617709E-2</v>
      </c>
      <c r="CK127">
        <v>5.101726941082458E-2</v>
      </c>
      <c r="CL127">
        <v>3.6818914663212271E-2</v>
      </c>
      <c r="CM127">
        <v>2.851568709911308E-2</v>
      </c>
      <c r="CN127">
        <v>2.8762539661706679E-2</v>
      </c>
      <c r="CO127">
        <v>1.6771761394636209E-2</v>
      </c>
      <c r="CP127">
        <v>2.6786383275467271E-2</v>
      </c>
      <c r="CQ127">
        <v>1.7796816580304471E-2</v>
      </c>
      <c r="CR127">
        <v>1.6321560968005879E-2</v>
      </c>
      <c r="CS127">
        <v>7.4364759399296919E-3</v>
      </c>
      <c r="CT127">
        <v>3.081687046793635E-3</v>
      </c>
      <c r="CU127">
        <v>1.7221284605217241E-2</v>
      </c>
      <c r="CV127">
        <v>5.7984091690253831E-3</v>
      </c>
      <c r="CW127">
        <v>3.2025975485131769E-3</v>
      </c>
      <c r="CX127">
        <v>1.5916739407837791E-2</v>
      </c>
      <c r="CY127">
        <v>0</v>
      </c>
      <c r="DA127" s="538"/>
      <c r="DB127" s="363" t="s">
        <v>88</v>
      </c>
      <c r="DC127" s="387">
        <v>0</v>
      </c>
      <c r="DD127" s="387">
        <v>0</v>
      </c>
      <c r="DE127" s="387">
        <v>0</v>
      </c>
      <c r="DF127" s="387">
        <v>0</v>
      </c>
      <c r="DG127" s="387">
        <v>0</v>
      </c>
      <c r="DH127" s="387">
        <v>0</v>
      </c>
      <c r="DI127" s="387">
        <v>0</v>
      </c>
      <c r="DJ127" s="387">
        <v>0</v>
      </c>
      <c r="DK127" s="387">
        <v>0</v>
      </c>
      <c r="DL127" s="387">
        <v>0</v>
      </c>
      <c r="DM127" s="387">
        <v>0</v>
      </c>
      <c r="DN127" s="387">
        <v>0</v>
      </c>
      <c r="DO127" s="387">
        <v>0</v>
      </c>
      <c r="DP127" s="387">
        <v>0</v>
      </c>
      <c r="DQ127" s="387">
        <v>0</v>
      </c>
      <c r="DR127" s="387">
        <v>0</v>
      </c>
      <c r="DS127" s="387">
        <v>0</v>
      </c>
      <c r="DT127" s="387">
        <v>0</v>
      </c>
      <c r="DU127" s="387">
        <v>0</v>
      </c>
      <c r="DV127" s="387">
        <v>0</v>
      </c>
      <c r="DW127" s="387">
        <v>0</v>
      </c>
    </row>
    <row r="128" spans="1:127" ht="14.25" customHeight="1">
      <c r="A128" s="545"/>
      <c r="B128" s="196" t="s">
        <v>147</v>
      </c>
      <c r="C128" s="156">
        <v>0</v>
      </c>
      <c r="D128" s="156">
        <v>0</v>
      </c>
      <c r="E128" s="156">
        <v>0</v>
      </c>
      <c r="F128" s="156">
        <v>0</v>
      </c>
      <c r="G128" s="156">
        <v>0</v>
      </c>
      <c r="H128" s="156">
        <v>0</v>
      </c>
      <c r="I128" s="156">
        <v>0</v>
      </c>
      <c r="J128" s="156">
        <v>0</v>
      </c>
      <c r="K128" s="156">
        <v>0</v>
      </c>
      <c r="L128" s="156">
        <v>0</v>
      </c>
      <c r="M128" s="156">
        <v>0</v>
      </c>
      <c r="N128" s="156">
        <v>0</v>
      </c>
      <c r="O128" s="156">
        <v>0</v>
      </c>
      <c r="P128" s="156">
        <v>0</v>
      </c>
      <c r="Q128" s="156">
        <v>0</v>
      </c>
      <c r="R128" s="156">
        <v>0</v>
      </c>
      <c r="S128" s="156">
        <v>0</v>
      </c>
      <c r="T128" s="156">
        <v>0</v>
      </c>
      <c r="U128" s="156">
        <v>0</v>
      </c>
      <c r="V128" s="156">
        <v>0</v>
      </c>
      <c r="W128" s="200">
        <v>0</v>
      </c>
      <c r="AA128" s="545"/>
      <c r="AB128" s="196" t="s">
        <v>147</v>
      </c>
      <c r="AC128" s="156">
        <v>0</v>
      </c>
      <c r="AD128" s="156">
        <v>0</v>
      </c>
      <c r="AE128" s="156">
        <v>0</v>
      </c>
      <c r="AF128" s="156">
        <v>0</v>
      </c>
      <c r="AG128" s="156">
        <v>0</v>
      </c>
      <c r="AH128" s="156">
        <v>0</v>
      </c>
      <c r="AI128" s="156">
        <v>0</v>
      </c>
      <c r="AJ128" s="156">
        <v>0</v>
      </c>
      <c r="AK128" s="156">
        <v>0</v>
      </c>
      <c r="AL128" s="156">
        <v>0</v>
      </c>
      <c r="AM128" s="156">
        <v>0</v>
      </c>
      <c r="AN128" s="156">
        <v>0</v>
      </c>
      <c r="AO128" s="156">
        <v>0</v>
      </c>
      <c r="AP128" s="156">
        <v>0</v>
      </c>
      <c r="AQ128" s="156">
        <v>0</v>
      </c>
      <c r="AR128" s="156">
        <v>0</v>
      </c>
      <c r="AS128" s="156">
        <v>0</v>
      </c>
      <c r="AT128" s="156">
        <v>0</v>
      </c>
      <c r="AU128" s="156">
        <v>0</v>
      </c>
      <c r="AV128" s="156">
        <v>0</v>
      </c>
      <c r="AW128" s="200">
        <v>0</v>
      </c>
      <c r="BF128" s="538"/>
      <c r="BG128" s="363" t="s">
        <v>147</v>
      </c>
      <c r="BH128" s="385">
        <v>0</v>
      </c>
      <c r="BI128" s="385">
        <v>0</v>
      </c>
      <c r="BJ128" s="385">
        <v>0</v>
      </c>
      <c r="BK128" s="385">
        <v>0</v>
      </c>
      <c r="BL128" s="385">
        <v>0</v>
      </c>
      <c r="BM128" s="386">
        <v>0</v>
      </c>
      <c r="BN128" s="386">
        <v>0</v>
      </c>
      <c r="BO128" s="386">
        <v>0</v>
      </c>
      <c r="BP128" s="385">
        <v>0</v>
      </c>
      <c r="BQ128" s="385">
        <v>0</v>
      </c>
      <c r="BR128" s="385">
        <v>0</v>
      </c>
      <c r="BS128" s="385">
        <v>0</v>
      </c>
      <c r="BT128" s="385">
        <v>0</v>
      </c>
      <c r="BU128" s="385">
        <v>0</v>
      </c>
      <c r="BV128" s="385">
        <v>0</v>
      </c>
      <c r="BW128" s="385">
        <v>0</v>
      </c>
      <c r="BX128" s="385">
        <v>0</v>
      </c>
      <c r="BY128" s="385">
        <v>0</v>
      </c>
      <c r="BZ128" s="385">
        <v>0</v>
      </c>
      <c r="CA128" s="385">
        <v>0</v>
      </c>
      <c r="CB128" s="385">
        <v>0</v>
      </c>
      <c r="CC128"/>
      <c r="CD128" s="196" t="s">
        <v>67</v>
      </c>
      <c r="CE128">
        <v>1.335870838810989E-2</v>
      </c>
      <c r="CF128">
        <v>2.041893710173022E-2</v>
      </c>
      <c r="CG128">
        <v>2.2954657643820001E-2</v>
      </c>
      <c r="CH128">
        <v>8.1365307111874133E-2</v>
      </c>
      <c r="CI128">
        <v>2.511447320337902E-2</v>
      </c>
      <c r="CJ128">
        <v>2.930330242913274E-2</v>
      </c>
      <c r="CK128">
        <v>4.8818110415540072E-2</v>
      </c>
      <c r="CL128">
        <v>3.7593228317867683E-2</v>
      </c>
      <c r="CM128">
        <v>1.7984215884053311E-2</v>
      </c>
      <c r="CN128">
        <v>1.5149606239966879E-2</v>
      </c>
      <c r="CO128">
        <v>1.0412649959820551E-2</v>
      </c>
      <c r="CP128">
        <v>2.5234694107468848E-2</v>
      </c>
      <c r="CQ128">
        <v>9.4584003816254921E-3</v>
      </c>
      <c r="CR128">
        <v>9.4352971162667658E-3</v>
      </c>
      <c r="CS128">
        <v>7.0838155440099814E-3</v>
      </c>
      <c r="CT128">
        <v>1.7112056911375031E-3</v>
      </c>
      <c r="CU128">
        <v>1.3007619694873591E-2</v>
      </c>
      <c r="CV128">
        <v>6.0770529642871756E-3</v>
      </c>
      <c r="CW128">
        <v>2.232246331862392E-3</v>
      </c>
      <c r="CX128">
        <v>6.7731790915774373E-3</v>
      </c>
      <c r="CY128">
        <v>0</v>
      </c>
      <c r="DA128" s="538"/>
      <c r="DB128" s="363" t="s">
        <v>147</v>
      </c>
      <c r="DC128" s="387">
        <v>0</v>
      </c>
      <c r="DD128" s="387">
        <v>0</v>
      </c>
      <c r="DE128" s="387">
        <v>0</v>
      </c>
      <c r="DF128" s="387">
        <v>0</v>
      </c>
      <c r="DG128" s="387">
        <v>0</v>
      </c>
      <c r="DH128" s="387">
        <v>0</v>
      </c>
      <c r="DI128" s="387">
        <v>0</v>
      </c>
      <c r="DJ128" s="387">
        <v>0</v>
      </c>
      <c r="DK128" s="387">
        <v>0</v>
      </c>
      <c r="DL128" s="387">
        <v>0</v>
      </c>
      <c r="DM128" s="387">
        <v>0</v>
      </c>
      <c r="DN128" s="387">
        <v>0</v>
      </c>
      <c r="DO128" s="387">
        <v>0</v>
      </c>
      <c r="DP128" s="387">
        <v>0</v>
      </c>
      <c r="DQ128" s="387">
        <v>0</v>
      </c>
      <c r="DR128" s="387">
        <v>0</v>
      </c>
      <c r="DS128" s="387">
        <v>0</v>
      </c>
      <c r="DT128" s="387">
        <v>0</v>
      </c>
      <c r="DU128" s="387">
        <v>0</v>
      </c>
      <c r="DV128" s="387">
        <v>0</v>
      </c>
      <c r="DW128" s="387">
        <v>0</v>
      </c>
    </row>
    <row r="129" spans="1:127" ht="14.25" customHeight="1">
      <c r="A129" s="543" t="s">
        <v>588</v>
      </c>
      <c r="B129" s="196" t="s">
        <v>139</v>
      </c>
      <c r="C129" s="156">
        <v>0.39197828986061273</v>
      </c>
      <c r="D129" s="156">
        <v>0</v>
      </c>
      <c r="E129" s="156">
        <v>0</v>
      </c>
      <c r="F129" s="156">
        <v>0</v>
      </c>
      <c r="G129" s="156">
        <v>0</v>
      </c>
      <c r="H129" s="156">
        <v>0</v>
      </c>
      <c r="I129" s="156">
        <v>0</v>
      </c>
      <c r="J129" s="156">
        <v>0</v>
      </c>
      <c r="K129" s="156">
        <v>0</v>
      </c>
      <c r="L129" s="156">
        <v>0</v>
      </c>
      <c r="M129" s="156">
        <v>0</v>
      </c>
      <c r="N129" s="156">
        <v>0</v>
      </c>
      <c r="O129" s="156">
        <v>0</v>
      </c>
      <c r="P129" s="156">
        <v>0</v>
      </c>
      <c r="Q129" s="156">
        <v>0</v>
      </c>
      <c r="R129" s="156">
        <v>0</v>
      </c>
      <c r="S129" s="156">
        <v>0</v>
      </c>
      <c r="T129" s="156">
        <v>0</v>
      </c>
      <c r="U129" s="156">
        <v>0</v>
      </c>
      <c r="V129" s="156">
        <v>0</v>
      </c>
      <c r="W129" s="200">
        <v>0</v>
      </c>
      <c r="AA129" s="543" t="s">
        <v>588</v>
      </c>
      <c r="AB129" s="196" t="s">
        <v>139</v>
      </c>
      <c r="AC129" s="156">
        <v>0</v>
      </c>
      <c r="AD129" s="156">
        <v>0</v>
      </c>
      <c r="AE129" s="156">
        <v>0</v>
      </c>
      <c r="AF129" s="156">
        <v>0</v>
      </c>
      <c r="AG129" s="156">
        <v>0</v>
      </c>
      <c r="AH129" s="156">
        <v>0</v>
      </c>
      <c r="AI129" s="156">
        <v>0</v>
      </c>
      <c r="AJ129" s="156">
        <v>0</v>
      </c>
      <c r="AK129" s="156">
        <v>0</v>
      </c>
      <c r="AL129" s="156">
        <v>0</v>
      </c>
      <c r="AM129" s="156">
        <v>0</v>
      </c>
      <c r="AN129" s="156">
        <v>0</v>
      </c>
      <c r="AO129" s="156">
        <v>0</v>
      </c>
      <c r="AP129" s="156">
        <v>0</v>
      </c>
      <c r="AQ129" s="156">
        <v>0</v>
      </c>
      <c r="AR129" s="156">
        <v>0</v>
      </c>
      <c r="AS129" s="156">
        <v>0</v>
      </c>
      <c r="AT129" s="156">
        <v>0</v>
      </c>
      <c r="AU129" s="156">
        <v>0</v>
      </c>
      <c r="AV129" s="156">
        <v>0</v>
      </c>
      <c r="AW129" s="200">
        <v>0</v>
      </c>
      <c r="BF129" s="538" t="s">
        <v>1387</v>
      </c>
      <c r="BG129" s="363" t="s">
        <v>139</v>
      </c>
      <c r="BH129" s="385">
        <v>0</v>
      </c>
      <c r="BI129" s="385">
        <v>0</v>
      </c>
      <c r="BJ129" s="385">
        <v>0</v>
      </c>
      <c r="BK129" s="385">
        <v>0</v>
      </c>
      <c r="BL129" s="385">
        <v>0</v>
      </c>
      <c r="BM129" s="386">
        <v>0</v>
      </c>
      <c r="BN129" s="386">
        <v>0</v>
      </c>
      <c r="BO129" s="386">
        <v>0</v>
      </c>
      <c r="BP129" s="385">
        <v>0</v>
      </c>
      <c r="BQ129" s="385">
        <v>0</v>
      </c>
      <c r="BR129" s="385">
        <v>0</v>
      </c>
      <c r="BS129" s="385">
        <v>0</v>
      </c>
      <c r="BT129" s="385">
        <v>0</v>
      </c>
      <c r="BU129" s="385">
        <v>0</v>
      </c>
      <c r="BV129" s="385">
        <v>0</v>
      </c>
      <c r="BW129" s="385">
        <v>0</v>
      </c>
      <c r="BX129" s="385">
        <v>0</v>
      </c>
      <c r="BY129" s="385">
        <v>0</v>
      </c>
      <c r="BZ129" s="385">
        <v>0</v>
      </c>
      <c r="CA129" s="385">
        <v>0</v>
      </c>
      <c r="CB129" s="385">
        <v>0</v>
      </c>
      <c r="CC129"/>
      <c r="CD129" s="196" t="s">
        <v>69</v>
      </c>
      <c r="CE129">
        <v>1.8716588926659401E-3</v>
      </c>
      <c r="CF129">
        <v>2.6394000517498441E-3</v>
      </c>
      <c r="CG129">
        <v>3.6635466993678641E-3</v>
      </c>
      <c r="CH129">
        <v>6.1733589339073303E-3</v>
      </c>
      <c r="CI129">
        <v>4.4633661967219138E-3</v>
      </c>
      <c r="CJ129">
        <v>2.1034714997384841E-3</v>
      </c>
      <c r="CK129">
        <v>5.9479455300444368E-3</v>
      </c>
      <c r="CL129">
        <v>1.9715957684393721E-3</v>
      </c>
      <c r="CM129">
        <v>2.7793327979679589E-3</v>
      </c>
      <c r="CN129">
        <v>3.7257370071868351E-3</v>
      </c>
      <c r="CO129">
        <v>2.3554464044747789E-3</v>
      </c>
      <c r="CP129">
        <v>2.85413216902254E-3</v>
      </c>
      <c r="CQ129">
        <v>2.1333565810785198E-3</v>
      </c>
      <c r="CR129">
        <v>2.496053494212652E-3</v>
      </c>
      <c r="CS129">
        <v>1.422182949144828E-3</v>
      </c>
      <c r="CT129">
        <v>5.1098314660492775E-4</v>
      </c>
      <c r="CU129">
        <v>2.6769565331819989E-3</v>
      </c>
      <c r="CV129">
        <v>9.9231198644249828E-4</v>
      </c>
      <c r="CW129">
        <v>6.5004802208669258E-4</v>
      </c>
      <c r="CX129">
        <v>2.3320740252369319E-3</v>
      </c>
      <c r="CY129">
        <v>0</v>
      </c>
      <c r="DA129" s="538" t="s">
        <v>1387</v>
      </c>
      <c r="DB129" s="363" t="s">
        <v>139</v>
      </c>
      <c r="DC129" s="387">
        <v>0</v>
      </c>
      <c r="DD129" s="387">
        <v>0</v>
      </c>
      <c r="DE129" s="387">
        <v>0</v>
      </c>
      <c r="DF129" s="387">
        <v>0</v>
      </c>
      <c r="DG129" s="387">
        <v>0</v>
      </c>
      <c r="DH129" s="387">
        <v>0</v>
      </c>
      <c r="DI129" s="387">
        <v>0</v>
      </c>
      <c r="DJ129" s="387">
        <v>0</v>
      </c>
      <c r="DK129" s="387">
        <v>0</v>
      </c>
      <c r="DL129" s="387">
        <v>0</v>
      </c>
      <c r="DM129" s="387">
        <v>0</v>
      </c>
      <c r="DN129" s="387">
        <v>0</v>
      </c>
      <c r="DO129" s="387">
        <v>0</v>
      </c>
      <c r="DP129" s="387">
        <v>0</v>
      </c>
      <c r="DQ129" s="387">
        <v>0</v>
      </c>
      <c r="DR129" s="387">
        <v>0</v>
      </c>
      <c r="DS129" s="387">
        <v>0</v>
      </c>
      <c r="DT129" s="387">
        <v>0</v>
      </c>
      <c r="DU129" s="387">
        <v>0</v>
      </c>
      <c r="DV129" s="387">
        <v>0</v>
      </c>
      <c r="DW129" s="387">
        <v>0</v>
      </c>
    </row>
    <row r="130" spans="1:127" ht="14.25" customHeight="1">
      <c r="A130" s="544"/>
      <c r="B130" s="196" t="s">
        <v>37</v>
      </c>
      <c r="C130" s="156">
        <v>0</v>
      </c>
      <c r="D130" s="156">
        <v>0.31329780110122951</v>
      </c>
      <c r="E130" s="156">
        <v>0</v>
      </c>
      <c r="F130" s="156">
        <v>0</v>
      </c>
      <c r="G130" s="156">
        <v>0</v>
      </c>
      <c r="H130" s="156">
        <v>0</v>
      </c>
      <c r="I130" s="156">
        <v>0</v>
      </c>
      <c r="J130" s="156">
        <v>0</v>
      </c>
      <c r="K130" s="156">
        <v>0</v>
      </c>
      <c r="L130" s="156">
        <v>0</v>
      </c>
      <c r="M130" s="156">
        <v>0</v>
      </c>
      <c r="N130" s="156">
        <v>0</v>
      </c>
      <c r="O130" s="156">
        <v>0</v>
      </c>
      <c r="P130" s="156">
        <v>0</v>
      </c>
      <c r="Q130" s="156">
        <v>0</v>
      </c>
      <c r="R130" s="156">
        <v>0</v>
      </c>
      <c r="S130" s="156">
        <v>0</v>
      </c>
      <c r="T130" s="156">
        <v>0</v>
      </c>
      <c r="U130" s="156">
        <v>0</v>
      </c>
      <c r="V130" s="156">
        <v>0</v>
      </c>
      <c r="W130" s="200">
        <v>0</v>
      </c>
      <c r="AA130" s="544"/>
      <c r="AB130" s="196" t="s">
        <v>37</v>
      </c>
      <c r="AC130" s="156">
        <v>0</v>
      </c>
      <c r="AD130" s="156">
        <v>0</v>
      </c>
      <c r="AE130" s="156">
        <v>0</v>
      </c>
      <c r="AF130" s="156">
        <v>0</v>
      </c>
      <c r="AG130" s="156">
        <v>0</v>
      </c>
      <c r="AH130" s="156">
        <v>0</v>
      </c>
      <c r="AI130" s="156">
        <v>0</v>
      </c>
      <c r="AJ130" s="156">
        <v>0</v>
      </c>
      <c r="AK130" s="156">
        <v>0</v>
      </c>
      <c r="AL130" s="156">
        <v>0</v>
      </c>
      <c r="AM130" s="156">
        <v>0</v>
      </c>
      <c r="AN130" s="156">
        <v>0</v>
      </c>
      <c r="AO130" s="156">
        <v>0</v>
      </c>
      <c r="AP130" s="156">
        <v>0</v>
      </c>
      <c r="AQ130" s="156">
        <v>0</v>
      </c>
      <c r="AR130" s="156">
        <v>0</v>
      </c>
      <c r="AS130" s="156">
        <v>0</v>
      </c>
      <c r="AT130" s="156">
        <v>0</v>
      </c>
      <c r="AU130" s="156">
        <v>0</v>
      </c>
      <c r="AV130" s="156">
        <v>0</v>
      </c>
      <c r="AW130" s="200">
        <v>0</v>
      </c>
      <c r="BF130" s="538"/>
      <c r="BG130" s="363" t="s">
        <v>37</v>
      </c>
      <c r="BH130" s="385">
        <v>0</v>
      </c>
      <c r="BI130" s="385">
        <v>0</v>
      </c>
      <c r="BJ130" s="385">
        <v>0</v>
      </c>
      <c r="BK130" s="385">
        <v>0</v>
      </c>
      <c r="BL130" s="385">
        <v>0</v>
      </c>
      <c r="BM130" s="386">
        <v>0</v>
      </c>
      <c r="BN130" s="386">
        <v>0</v>
      </c>
      <c r="BO130" s="386">
        <v>0</v>
      </c>
      <c r="BP130" s="385">
        <v>0</v>
      </c>
      <c r="BQ130" s="385">
        <v>0</v>
      </c>
      <c r="BR130" s="385">
        <v>0</v>
      </c>
      <c r="BS130" s="385">
        <v>0</v>
      </c>
      <c r="BT130" s="385">
        <v>0</v>
      </c>
      <c r="BU130" s="385">
        <v>0</v>
      </c>
      <c r="BV130" s="385">
        <v>0</v>
      </c>
      <c r="BW130" s="385">
        <v>0</v>
      </c>
      <c r="BX130" s="385">
        <v>0</v>
      </c>
      <c r="BY130" s="385">
        <v>0</v>
      </c>
      <c r="BZ130" s="385">
        <v>0</v>
      </c>
      <c r="CA130" s="385">
        <v>0</v>
      </c>
      <c r="CB130" s="385">
        <v>0</v>
      </c>
      <c r="CC130"/>
      <c r="CD130" s="196" t="s">
        <v>145</v>
      </c>
      <c r="CE130">
        <v>7.7672609889158977E-3</v>
      </c>
      <c r="CF130">
        <v>1.063151597132922E-2</v>
      </c>
      <c r="CG130">
        <v>1.5225583488199201E-2</v>
      </c>
      <c r="CH130">
        <v>2.1399421753194672E-2</v>
      </c>
      <c r="CI130">
        <v>1.863357019081717E-2</v>
      </c>
      <c r="CJ130">
        <v>8.3655053815260734E-3</v>
      </c>
      <c r="CK130">
        <v>2.1010508947642479E-2</v>
      </c>
      <c r="CL130">
        <v>9.3619882050324024E-3</v>
      </c>
      <c r="CM130">
        <v>1.432375908481744E-2</v>
      </c>
      <c r="CN130">
        <v>1.171185486253115E-2</v>
      </c>
      <c r="CO130">
        <v>1.001164402659436E-2</v>
      </c>
      <c r="CP130">
        <v>1.023810359153618E-2</v>
      </c>
      <c r="CQ130">
        <v>8.1116019705471734E-3</v>
      </c>
      <c r="CR130">
        <v>1.3128662273691329E-2</v>
      </c>
      <c r="CS130">
        <v>1.005348624831116E-2</v>
      </c>
      <c r="CT130">
        <v>2.0580669157038499E-3</v>
      </c>
      <c r="CU130">
        <v>1.0447653201892559E-2</v>
      </c>
      <c r="CV130">
        <v>4.3944421858381913E-3</v>
      </c>
      <c r="CW130">
        <v>2.4389260805128109E-3</v>
      </c>
      <c r="CX130">
        <v>7.087087492992826E-3</v>
      </c>
      <c r="CY130">
        <v>0</v>
      </c>
      <c r="DA130" s="538"/>
      <c r="DB130" s="363" t="s">
        <v>37</v>
      </c>
      <c r="DC130" s="387">
        <v>0</v>
      </c>
      <c r="DD130" s="387">
        <v>0</v>
      </c>
      <c r="DE130" s="387">
        <v>0</v>
      </c>
      <c r="DF130" s="387">
        <v>0</v>
      </c>
      <c r="DG130" s="387">
        <v>0</v>
      </c>
      <c r="DH130" s="387">
        <v>0</v>
      </c>
      <c r="DI130" s="387">
        <v>0</v>
      </c>
      <c r="DJ130" s="387">
        <v>0</v>
      </c>
      <c r="DK130" s="387">
        <v>0</v>
      </c>
      <c r="DL130" s="387">
        <v>0</v>
      </c>
      <c r="DM130" s="387">
        <v>0</v>
      </c>
      <c r="DN130" s="387">
        <v>0</v>
      </c>
      <c r="DO130" s="387">
        <v>0</v>
      </c>
      <c r="DP130" s="387">
        <v>0</v>
      </c>
      <c r="DQ130" s="387">
        <v>0</v>
      </c>
      <c r="DR130" s="387">
        <v>0</v>
      </c>
      <c r="DS130" s="387">
        <v>0</v>
      </c>
      <c r="DT130" s="387">
        <v>0</v>
      </c>
      <c r="DU130" s="387">
        <v>0</v>
      </c>
      <c r="DV130" s="387">
        <v>0</v>
      </c>
      <c r="DW130" s="387">
        <v>0</v>
      </c>
    </row>
    <row r="131" spans="1:127" ht="14.25" customHeight="1">
      <c r="A131" s="544"/>
      <c r="B131" s="196" t="s">
        <v>140</v>
      </c>
      <c r="C131" s="156">
        <v>0</v>
      </c>
      <c r="D131" s="156">
        <v>0</v>
      </c>
      <c r="E131" s="156">
        <v>0.25724529704034649</v>
      </c>
      <c r="F131" s="156">
        <v>0</v>
      </c>
      <c r="G131" s="156">
        <v>0</v>
      </c>
      <c r="H131" s="156">
        <v>0</v>
      </c>
      <c r="I131" s="156">
        <v>0</v>
      </c>
      <c r="J131" s="156">
        <v>0</v>
      </c>
      <c r="K131" s="156">
        <v>0</v>
      </c>
      <c r="L131" s="156">
        <v>0</v>
      </c>
      <c r="M131" s="156">
        <v>0</v>
      </c>
      <c r="N131" s="156">
        <v>0</v>
      </c>
      <c r="O131" s="156">
        <v>0</v>
      </c>
      <c r="P131" s="156">
        <v>0</v>
      </c>
      <c r="Q131" s="156">
        <v>0</v>
      </c>
      <c r="R131" s="156">
        <v>0</v>
      </c>
      <c r="S131" s="156">
        <v>0</v>
      </c>
      <c r="T131" s="156">
        <v>0</v>
      </c>
      <c r="U131" s="156">
        <v>0</v>
      </c>
      <c r="V131" s="156">
        <v>0</v>
      </c>
      <c r="W131" s="200">
        <v>0</v>
      </c>
      <c r="AA131" s="544"/>
      <c r="AB131" s="196" t="s">
        <v>140</v>
      </c>
      <c r="AC131" s="156">
        <v>0</v>
      </c>
      <c r="AD131" s="156">
        <v>0</v>
      </c>
      <c r="AE131" s="156">
        <v>0</v>
      </c>
      <c r="AF131" s="156">
        <v>0</v>
      </c>
      <c r="AG131" s="156">
        <v>0</v>
      </c>
      <c r="AH131" s="156">
        <v>0</v>
      </c>
      <c r="AI131" s="156">
        <v>0</v>
      </c>
      <c r="AJ131" s="156">
        <v>0</v>
      </c>
      <c r="AK131" s="156">
        <v>0</v>
      </c>
      <c r="AL131" s="156">
        <v>0</v>
      </c>
      <c r="AM131" s="156">
        <v>0</v>
      </c>
      <c r="AN131" s="156">
        <v>0</v>
      </c>
      <c r="AO131" s="156">
        <v>0</v>
      </c>
      <c r="AP131" s="156">
        <v>0</v>
      </c>
      <c r="AQ131" s="156">
        <v>0</v>
      </c>
      <c r="AR131" s="156">
        <v>0</v>
      </c>
      <c r="AS131" s="156">
        <v>0</v>
      </c>
      <c r="AT131" s="156">
        <v>0</v>
      </c>
      <c r="AU131" s="156">
        <v>0</v>
      </c>
      <c r="AV131" s="156">
        <v>0</v>
      </c>
      <c r="AW131" s="200">
        <v>0</v>
      </c>
      <c r="BF131" s="538"/>
      <c r="BG131" s="363" t="s">
        <v>140</v>
      </c>
      <c r="BH131" s="385">
        <v>0</v>
      </c>
      <c r="BI131" s="385">
        <v>0</v>
      </c>
      <c r="BJ131" s="385">
        <v>0</v>
      </c>
      <c r="BK131" s="385">
        <v>0</v>
      </c>
      <c r="BL131" s="385">
        <v>0</v>
      </c>
      <c r="BM131" s="386">
        <v>0</v>
      </c>
      <c r="BN131" s="386">
        <v>0</v>
      </c>
      <c r="BO131" s="386">
        <v>0</v>
      </c>
      <c r="BP131" s="385">
        <v>0</v>
      </c>
      <c r="BQ131" s="385">
        <v>0</v>
      </c>
      <c r="BR131" s="385">
        <v>0</v>
      </c>
      <c r="BS131" s="385">
        <v>0</v>
      </c>
      <c r="BT131" s="385">
        <v>0</v>
      </c>
      <c r="BU131" s="385">
        <v>0</v>
      </c>
      <c r="BV131" s="385">
        <v>0</v>
      </c>
      <c r="BW131" s="385">
        <v>0</v>
      </c>
      <c r="BX131" s="385">
        <v>0</v>
      </c>
      <c r="BY131" s="385">
        <v>0</v>
      </c>
      <c r="BZ131" s="385">
        <v>0</v>
      </c>
      <c r="CA131" s="385">
        <v>0</v>
      </c>
      <c r="CB131" s="385">
        <v>0</v>
      </c>
      <c r="CC131"/>
      <c r="CD131" s="196" t="s">
        <v>73</v>
      </c>
      <c r="CE131">
        <v>1.122372518828786E-2</v>
      </c>
      <c r="CF131">
        <v>1.196666318338774E-2</v>
      </c>
      <c r="CG131">
        <v>1.74571293816514E-2</v>
      </c>
      <c r="CH131">
        <v>2.9121747943187681E-2</v>
      </c>
      <c r="CI131">
        <v>1.9118003562054231E-2</v>
      </c>
      <c r="CJ131">
        <v>9.3711307843626322E-3</v>
      </c>
      <c r="CK131">
        <v>2.049643049108741E-2</v>
      </c>
      <c r="CL131">
        <v>1.1259833573240469E-2</v>
      </c>
      <c r="CM131">
        <v>1.3882952272551031E-2</v>
      </c>
      <c r="CN131">
        <v>1.4025416511971931E-2</v>
      </c>
      <c r="CO131">
        <v>1.1021966156534609E-2</v>
      </c>
      <c r="CP131">
        <v>1.284787626393773E-2</v>
      </c>
      <c r="CQ131">
        <v>9.3378928085464039E-3</v>
      </c>
      <c r="CR131">
        <v>9.5249405685058734E-3</v>
      </c>
      <c r="CS131">
        <v>3.0796049724755512E-2</v>
      </c>
      <c r="CT131">
        <v>4.4246414990363209E-3</v>
      </c>
      <c r="CU131">
        <v>9.417939435834603E-3</v>
      </c>
      <c r="CV131">
        <v>4.7169025001512809E-3</v>
      </c>
      <c r="CW131">
        <v>2.1280287268388349E-3</v>
      </c>
      <c r="CX131">
        <v>6.9129782510987028E-3</v>
      </c>
      <c r="CY131">
        <v>0</v>
      </c>
      <c r="DA131" s="538"/>
      <c r="DB131" s="363" t="s">
        <v>140</v>
      </c>
      <c r="DC131" s="387">
        <v>0</v>
      </c>
      <c r="DD131" s="387">
        <v>0</v>
      </c>
      <c r="DE131" s="387">
        <v>0</v>
      </c>
      <c r="DF131" s="387">
        <v>0</v>
      </c>
      <c r="DG131" s="387">
        <v>0</v>
      </c>
      <c r="DH131" s="387">
        <v>0</v>
      </c>
      <c r="DI131" s="387">
        <v>0</v>
      </c>
      <c r="DJ131" s="387">
        <v>0</v>
      </c>
      <c r="DK131" s="387">
        <v>0</v>
      </c>
      <c r="DL131" s="387">
        <v>0</v>
      </c>
      <c r="DM131" s="387">
        <v>0</v>
      </c>
      <c r="DN131" s="387">
        <v>0</v>
      </c>
      <c r="DO131" s="387">
        <v>0</v>
      </c>
      <c r="DP131" s="387">
        <v>0</v>
      </c>
      <c r="DQ131" s="387">
        <v>0</v>
      </c>
      <c r="DR131" s="387">
        <v>0</v>
      </c>
      <c r="DS131" s="387">
        <v>0</v>
      </c>
      <c r="DT131" s="387">
        <v>0</v>
      </c>
      <c r="DU131" s="387">
        <v>0</v>
      </c>
      <c r="DV131" s="387">
        <v>0</v>
      </c>
      <c r="DW131" s="387">
        <v>0</v>
      </c>
    </row>
    <row r="132" spans="1:127" ht="14.25" customHeight="1">
      <c r="A132" s="544"/>
      <c r="B132" s="196" t="s">
        <v>48</v>
      </c>
      <c r="C132" s="156">
        <v>0</v>
      </c>
      <c r="D132" s="156">
        <v>0</v>
      </c>
      <c r="E132" s="156">
        <v>0</v>
      </c>
      <c r="F132" s="156">
        <v>9.01071398682666E-2</v>
      </c>
      <c r="G132" s="156">
        <v>0</v>
      </c>
      <c r="H132" s="156">
        <v>0</v>
      </c>
      <c r="I132" s="156">
        <v>0</v>
      </c>
      <c r="J132" s="156">
        <v>0</v>
      </c>
      <c r="K132" s="156">
        <v>0</v>
      </c>
      <c r="L132" s="156">
        <v>0</v>
      </c>
      <c r="M132" s="156">
        <v>0</v>
      </c>
      <c r="N132" s="156">
        <v>0</v>
      </c>
      <c r="O132" s="156">
        <v>0</v>
      </c>
      <c r="P132" s="156">
        <v>0</v>
      </c>
      <c r="Q132" s="156">
        <v>0</v>
      </c>
      <c r="R132" s="156">
        <v>0</v>
      </c>
      <c r="S132" s="156">
        <v>0</v>
      </c>
      <c r="T132" s="156">
        <v>0</v>
      </c>
      <c r="U132" s="156">
        <v>0</v>
      </c>
      <c r="V132" s="156">
        <v>0</v>
      </c>
      <c r="W132" s="200">
        <v>0</v>
      </c>
      <c r="AA132" s="544"/>
      <c r="AB132" s="196" t="s">
        <v>48</v>
      </c>
      <c r="AC132" s="156">
        <v>0</v>
      </c>
      <c r="AD132" s="156">
        <v>0</v>
      </c>
      <c r="AE132" s="156">
        <v>0</v>
      </c>
      <c r="AF132" s="156">
        <v>0</v>
      </c>
      <c r="AG132" s="156">
        <v>0</v>
      </c>
      <c r="AH132" s="156">
        <v>0</v>
      </c>
      <c r="AI132" s="156">
        <v>0</v>
      </c>
      <c r="AJ132" s="156">
        <v>0</v>
      </c>
      <c r="AK132" s="156">
        <v>0</v>
      </c>
      <c r="AL132" s="156">
        <v>0</v>
      </c>
      <c r="AM132" s="156">
        <v>0</v>
      </c>
      <c r="AN132" s="156">
        <v>0</v>
      </c>
      <c r="AO132" s="156">
        <v>0</v>
      </c>
      <c r="AP132" s="156">
        <v>0</v>
      </c>
      <c r="AQ132" s="156">
        <v>0</v>
      </c>
      <c r="AR132" s="156">
        <v>0</v>
      </c>
      <c r="AS132" s="156">
        <v>0</v>
      </c>
      <c r="AT132" s="156">
        <v>0</v>
      </c>
      <c r="AU132" s="156">
        <v>0</v>
      </c>
      <c r="AV132" s="156">
        <v>0</v>
      </c>
      <c r="AW132" s="200">
        <v>0</v>
      </c>
      <c r="BF132" s="538"/>
      <c r="BG132" s="363" t="s">
        <v>48</v>
      </c>
      <c r="BH132" s="385">
        <v>0</v>
      </c>
      <c r="BI132" s="385">
        <v>0</v>
      </c>
      <c r="BJ132" s="385">
        <v>0</v>
      </c>
      <c r="BK132" s="385">
        <v>0</v>
      </c>
      <c r="BL132" s="385">
        <v>0</v>
      </c>
      <c r="BM132" s="386">
        <v>0</v>
      </c>
      <c r="BN132" s="386">
        <v>0</v>
      </c>
      <c r="BO132" s="386">
        <v>0</v>
      </c>
      <c r="BP132" s="385">
        <v>0</v>
      </c>
      <c r="BQ132" s="385">
        <v>0</v>
      </c>
      <c r="BR132" s="385">
        <v>0</v>
      </c>
      <c r="BS132" s="385">
        <v>0</v>
      </c>
      <c r="BT132" s="385">
        <v>0</v>
      </c>
      <c r="BU132" s="385">
        <v>0</v>
      </c>
      <c r="BV132" s="385">
        <v>0</v>
      </c>
      <c r="BW132" s="385">
        <v>0</v>
      </c>
      <c r="BX132" s="385">
        <v>0</v>
      </c>
      <c r="BY132" s="385">
        <v>0</v>
      </c>
      <c r="BZ132" s="385">
        <v>0</v>
      </c>
      <c r="CA132" s="385">
        <v>0</v>
      </c>
      <c r="CB132" s="385">
        <v>0</v>
      </c>
      <c r="CC132"/>
      <c r="CD132" s="196" t="s">
        <v>75</v>
      </c>
      <c r="CE132">
        <v>3.1157334374377291E-3</v>
      </c>
      <c r="CF132">
        <v>3.823496319653522E-3</v>
      </c>
      <c r="CG132">
        <v>6.1050649028889748E-3</v>
      </c>
      <c r="CH132">
        <v>8.6652051293081896E-3</v>
      </c>
      <c r="CI132">
        <v>7.6479566898034713E-3</v>
      </c>
      <c r="CJ132">
        <v>2.7046569340888702E-3</v>
      </c>
      <c r="CK132">
        <v>6.4412644535720579E-3</v>
      </c>
      <c r="CL132">
        <v>3.2016234418616161E-3</v>
      </c>
      <c r="CM132">
        <v>4.547053249834356E-3</v>
      </c>
      <c r="CN132">
        <v>4.1035844408494537E-3</v>
      </c>
      <c r="CO132">
        <v>3.1061871378659091E-3</v>
      </c>
      <c r="CP132">
        <v>3.80085732119151E-3</v>
      </c>
      <c r="CQ132">
        <v>2.9309995604872891E-3</v>
      </c>
      <c r="CR132">
        <v>2.8902149308420071E-3</v>
      </c>
      <c r="CS132">
        <v>2.2024198837589542E-3</v>
      </c>
      <c r="CT132">
        <v>6.1117523468529923E-4</v>
      </c>
      <c r="CU132">
        <v>2.8760392248623318E-3</v>
      </c>
      <c r="CV132">
        <v>1.051301554053149E-3</v>
      </c>
      <c r="CW132">
        <v>6.4969702443651246E-4</v>
      </c>
      <c r="CX132">
        <v>2.233719591135839E-3</v>
      </c>
      <c r="CY132">
        <v>0</v>
      </c>
      <c r="DA132" s="538"/>
      <c r="DB132" s="363" t="s">
        <v>48</v>
      </c>
      <c r="DC132" s="387">
        <v>0</v>
      </c>
      <c r="DD132" s="387">
        <v>0</v>
      </c>
      <c r="DE132" s="387">
        <v>0</v>
      </c>
      <c r="DF132" s="387">
        <v>0</v>
      </c>
      <c r="DG132" s="387">
        <v>0</v>
      </c>
      <c r="DH132" s="387">
        <v>0</v>
      </c>
      <c r="DI132" s="387">
        <v>0</v>
      </c>
      <c r="DJ132" s="387">
        <v>0</v>
      </c>
      <c r="DK132" s="387">
        <v>0</v>
      </c>
      <c r="DL132" s="387">
        <v>0</v>
      </c>
      <c r="DM132" s="387">
        <v>0</v>
      </c>
      <c r="DN132" s="387">
        <v>0</v>
      </c>
      <c r="DO132" s="387">
        <v>0</v>
      </c>
      <c r="DP132" s="387">
        <v>0</v>
      </c>
      <c r="DQ132" s="387">
        <v>0</v>
      </c>
      <c r="DR132" s="387">
        <v>0</v>
      </c>
      <c r="DS132" s="387">
        <v>0</v>
      </c>
      <c r="DT132" s="387">
        <v>0</v>
      </c>
      <c r="DU132" s="387">
        <v>0</v>
      </c>
      <c r="DV132" s="387">
        <v>0</v>
      </c>
      <c r="DW132" s="387">
        <v>0</v>
      </c>
    </row>
    <row r="133" spans="1:127" ht="14.25" customHeight="1">
      <c r="A133" s="544"/>
      <c r="B133" s="196" t="s">
        <v>141</v>
      </c>
      <c r="C133" s="156">
        <v>0</v>
      </c>
      <c r="D133" s="156">
        <v>0</v>
      </c>
      <c r="E133" s="156">
        <v>0</v>
      </c>
      <c r="F133" s="156">
        <v>0</v>
      </c>
      <c r="G133" s="156">
        <v>0.76958178848297853</v>
      </c>
      <c r="H133" s="156">
        <v>0</v>
      </c>
      <c r="I133" s="156">
        <v>0</v>
      </c>
      <c r="J133" s="156">
        <v>0</v>
      </c>
      <c r="K133" s="156">
        <v>0</v>
      </c>
      <c r="L133" s="156">
        <v>0</v>
      </c>
      <c r="M133" s="156">
        <v>0</v>
      </c>
      <c r="N133" s="156">
        <v>0</v>
      </c>
      <c r="O133" s="156">
        <v>0</v>
      </c>
      <c r="P133" s="156">
        <v>0</v>
      </c>
      <c r="Q133" s="156">
        <v>0</v>
      </c>
      <c r="R133" s="156">
        <v>0</v>
      </c>
      <c r="S133" s="156">
        <v>0</v>
      </c>
      <c r="T133" s="156">
        <v>0</v>
      </c>
      <c r="U133" s="156">
        <v>0</v>
      </c>
      <c r="V133" s="156">
        <v>0</v>
      </c>
      <c r="W133" s="200">
        <v>0</v>
      </c>
      <c r="AA133" s="544"/>
      <c r="AB133" s="196" t="s">
        <v>141</v>
      </c>
      <c r="AC133" s="156">
        <v>0</v>
      </c>
      <c r="AD133" s="156">
        <v>0</v>
      </c>
      <c r="AE133" s="156">
        <v>0</v>
      </c>
      <c r="AF133" s="156">
        <v>0</v>
      </c>
      <c r="AG133" s="156">
        <v>0</v>
      </c>
      <c r="AH133" s="156">
        <v>0</v>
      </c>
      <c r="AI133" s="156">
        <v>0</v>
      </c>
      <c r="AJ133" s="156">
        <v>0</v>
      </c>
      <c r="AK133" s="156">
        <v>0</v>
      </c>
      <c r="AL133" s="156">
        <v>0</v>
      </c>
      <c r="AM133" s="156">
        <v>0</v>
      </c>
      <c r="AN133" s="156">
        <v>0</v>
      </c>
      <c r="AO133" s="156">
        <v>0</v>
      </c>
      <c r="AP133" s="156">
        <v>0</v>
      </c>
      <c r="AQ133" s="156">
        <v>0</v>
      </c>
      <c r="AR133" s="156">
        <v>0</v>
      </c>
      <c r="AS133" s="156">
        <v>0</v>
      </c>
      <c r="AT133" s="156">
        <v>0</v>
      </c>
      <c r="AU133" s="156">
        <v>0</v>
      </c>
      <c r="AV133" s="156">
        <v>0</v>
      </c>
      <c r="AW133" s="200">
        <v>0</v>
      </c>
      <c r="BF133" s="538"/>
      <c r="BG133" s="363" t="s">
        <v>141</v>
      </c>
      <c r="BH133" s="385">
        <v>0</v>
      </c>
      <c r="BI133" s="385">
        <v>0</v>
      </c>
      <c r="BJ133" s="385">
        <v>0</v>
      </c>
      <c r="BK133" s="385">
        <v>0</v>
      </c>
      <c r="BL133" s="385">
        <v>0</v>
      </c>
      <c r="BM133" s="386">
        <v>0</v>
      </c>
      <c r="BN133" s="386">
        <v>0</v>
      </c>
      <c r="BO133" s="386">
        <v>0</v>
      </c>
      <c r="BP133" s="385">
        <v>0</v>
      </c>
      <c r="BQ133" s="385">
        <v>0</v>
      </c>
      <c r="BR133" s="385">
        <v>0</v>
      </c>
      <c r="BS133" s="385">
        <v>0</v>
      </c>
      <c r="BT133" s="385">
        <v>0</v>
      </c>
      <c r="BU133" s="385">
        <v>0</v>
      </c>
      <c r="BV133" s="385">
        <v>0</v>
      </c>
      <c r="BW133" s="385">
        <v>0</v>
      </c>
      <c r="BX133" s="385">
        <v>0</v>
      </c>
      <c r="BY133" s="385">
        <v>0</v>
      </c>
      <c r="BZ133" s="385">
        <v>0</v>
      </c>
      <c r="CA133" s="385">
        <v>0</v>
      </c>
      <c r="CB133" s="385">
        <v>0</v>
      </c>
      <c r="CC133"/>
      <c r="CD133" s="196" t="s">
        <v>146</v>
      </c>
      <c r="CE133">
        <v>2.5893923719595459E-2</v>
      </c>
      <c r="CF133">
        <v>4.0248632847157698E-2</v>
      </c>
      <c r="CG133">
        <v>5.0814444748108423E-2</v>
      </c>
      <c r="CH133">
        <v>6.9840318410879357E-2</v>
      </c>
      <c r="CI133">
        <v>6.1249076883467493E-2</v>
      </c>
      <c r="CJ133">
        <v>2.4399560646709159E-2</v>
      </c>
      <c r="CK133">
        <v>5.4924435334680707E-2</v>
      </c>
      <c r="CL133">
        <v>3.1719779807983933E-2</v>
      </c>
      <c r="CM133">
        <v>4.2825897228571323E-2</v>
      </c>
      <c r="CN133">
        <v>3.7798931917390172E-2</v>
      </c>
      <c r="CO133">
        <v>2.9289123747643409E-2</v>
      </c>
      <c r="CP133">
        <v>4.2905865620022542E-2</v>
      </c>
      <c r="CQ133">
        <v>2.5610559950830711E-2</v>
      </c>
      <c r="CR133">
        <v>3.1366028237081449E-2</v>
      </c>
      <c r="CS133">
        <v>1.8245794676871981E-2</v>
      </c>
      <c r="CT133">
        <v>6.0315701272309653E-3</v>
      </c>
      <c r="CU133">
        <v>3.34293386653002E-2</v>
      </c>
      <c r="CV133">
        <v>1.1338423585036251E-2</v>
      </c>
      <c r="CW133">
        <v>7.4681008639176354E-3</v>
      </c>
      <c r="CX133">
        <v>2.322689237094885E-2</v>
      </c>
      <c r="CY133">
        <v>0</v>
      </c>
      <c r="DA133" s="538"/>
      <c r="DB133" s="363" t="s">
        <v>141</v>
      </c>
      <c r="DC133" s="387">
        <v>0</v>
      </c>
      <c r="DD133" s="387">
        <v>0</v>
      </c>
      <c r="DE133" s="387">
        <v>0</v>
      </c>
      <c r="DF133" s="387">
        <v>0</v>
      </c>
      <c r="DG133" s="387">
        <v>0</v>
      </c>
      <c r="DH133" s="387">
        <v>0</v>
      </c>
      <c r="DI133" s="387">
        <v>0</v>
      </c>
      <c r="DJ133" s="387">
        <v>0</v>
      </c>
      <c r="DK133" s="387">
        <v>0</v>
      </c>
      <c r="DL133" s="387">
        <v>0</v>
      </c>
      <c r="DM133" s="387">
        <v>0</v>
      </c>
      <c r="DN133" s="387">
        <v>0</v>
      </c>
      <c r="DO133" s="387">
        <v>0</v>
      </c>
      <c r="DP133" s="387">
        <v>0</v>
      </c>
      <c r="DQ133" s="387">
        <v>0</v>
      </c>
      <c r="DR133" s="387">
        <v>0</v>
      </c>
      <c r="DS133" s="387">
        <v>0</v>
      </c>
      <c r="DT133" s="387">
        <v>0</v>
      </c>
      <c r="DU133" s="387">
        <v>0</v>
      </c>
      <c r="DV133" s="387">
        <v>0</v>
      </c>
      <c r="DW133" s="387">
        <v>0</v>
      </c>
    </row>
    <row r="134" spans="1:127" ht="14.25" customHeight="1">
      <c r="A134" s="544"/>
      <c r="B134" s="196" t="s">
        <v>142</v>
      </c>
      <c r="C134" s="156">
        <v>0</v>
      </c>
      <c r="D134" s="156">
        <v>0.26796305067597609</v>
      </c>
      <c r="E134" s="156">
        <v>0.1621186334687339</v>
      </c>
      <c r="F134" s="156">
        <v>0.74801823522046296</v>
      </c>
      <c r="G134" s="156">
        <v>0.1169582723584376</v>
      </c>
      <c r="H134" s="156">
        <v>0.63793750850198117</v>
      </c>
      <c r="I134" s="156">
        <v>0.23304771387420911</v>
      </c>
      <c r="J134" s="156">
        <v>0</v>
      </c>
      <c r="K134" s="156">
        <v>0</v>
      </c>
      <c r="L134" s="156">
        <v>0</v>
      </c>
      <c r="M134" s="156">
        <v>5.8469044562405479E-3</v>
      </c>
      <c r="N134" s="156">
        <v>2.0168118146423759E-4</v>
      </c>
      <c r="O134" s="156">
        <v>2.7475745227297271E-3</v>
      </c>
      <c r="P134" s="156">
        <v>5.8952001002353831E-3</v>
      </c>
      <c r="Q134" s="156">
        <v>2.814753725935339E-2</v>
      </c>
      <c r="R134" s="156">
        <v>4.5552715864435121E-2</v>
      </c>
      <c r="S134" s="156">
        <v>4.4873716990278629E-3</v>
      </c>
      <c r="T134" s="156">
        <v>4.1957172811271613E-2</v>
      </c>
      <c r="U134" s="156">
        <v>9.7106878062998576E-3</v>
      </c>
      <c r="V134" s="156">
        <v>4.7638411150808368E-3</v>
      </c>
      <c r="W134" s="200">
        <v>0</v>
      </c>
      <c r="AA134" s="544"/>
      <c r="AB134" s="196" t="s">
        <v>142</v>
      </c>
      <c r="AC134" s="156">
        <v>0</v>
      </c>
      <c r="AD134" s="156">
        <v>0</v>
      </c>
      <c r="AE134" s="156">
        <v>0</v>
      </c>
      <c r="AF134" s="156">
        <v>0</v>
      </c>
      <c r="AG134" s="156">
        <v>0</v>
      </c>
      <c r="AH134" s="156">
        <v>0</v>
      </c>
      <c r="AI134" s="156">
        <v>0</v>
      </c>
      <c r="AJ134" s="156">
        <v>0</v>
      </c>
      <c r="AK134" s="156">
        <v>0</v>
      </c>
      <c r="AL134" s="156">
        <v>0</v>
      </c>
      <c r="AM134" s="156">
        <v>0</v>
      </c>
      <c r="AN134" s="156">
        <v>0</v>
      </c>
      <c r="AO134" s="156">
        <v>0</v>
      </c>
      <c r="AP134" s="156">
        <v>0</v>
      </c>
      <c r="AQ134" s="156">
        <v>0</v>
      </c>
      <c r="AR134" s="156">
        <v>0</v>
      </c>
      <c r="AS134" s="156">
        <v>0</v>
      </c>
      <c r="AT134" s="156">
        <v>0</v>
      </c>
      <c r="AU134" s="156">
        <v>0</v>
      </c>
      <c r="AV134" s="156">
        <v>0</v>
      </c>
      <c r="AW134" s="200">
        <v>0</v>
      </c>
      <c r="BF134" s="538"/>
      <c r="BG134" s="363" t="s">
        <v>142</v>
      </c>
      <c r="BH134" s="385">
        <v>0</v>
      </c>
      <c r="BI134" s="385">
        <v>0</v>
      </c>
      <c r="BJ134" s="385">
        <v>0</v>
      </c>
      <c r="BK134" s="385">
        <v>0</v>
      </c>
      <c r="BL134" s="385">
        <v>0</v>
      </c>
      <c r="BM134" s="386">
        <v>0</v>
      </c>
      <c r="BN134" s="386">
        <v>0</v>
      </c>
      <c r="BO134" s="386">
        <v>0</v>
      </c>
      <c r="BP134" s="385">
        <v>0</v>
      </c>
      <c r="BQ134" s="385">
        <v>0</v>
      </c>
      <c r="BR134" s="385">
        <v>0</v>
      </c>
      <c r="BS134" s="385">
        <v>0</v>
      </c>
      <c r="BT134" s="385">
        <v>0</v>
      </c>
      <c r="BU134" s="385">
        <v>0</v>
      </c>
      <c r="BV134" s="385">
        <v>0</v>
      </c>
      <c r="BW134" s="385">
        <v>0</v>
      </c>
      <c r="BX134" s="385">
        <v>0</v>
      </c>
      <c r="BY134" s="385">
        <v>0</v>
      </c>
      <c r="BZ134" s="385">
        <v>0</v>
      </c>
      <c r="CA134" s="385">
        <v>0</v>
      </c>
      <c r="CB134" s="385">
        <v>0</v>
      </c>
      <c r="CC134"/>
      <c r="CD134" s="196" t="s">
        <v>83</v>
      </c>
      <c r="CE134">
        <v>1.780197850783164E-3</v>
      </c>
      <c r="CF134">
        <v>2.9166379570674701E-3</v>
      </c>
      <c r="CG134">
        <v>3.3404844896946831E-3</v>
      </c>
      <c r="CH134">
        <v>7.2465448151218257E-3</v>
      </c>
      <c r="CI134">
        <v>3.9623561959660778E-3</v>
      </c>
      <c r="CJ134">
        <v>2.384677500942589E-3</v>
      </c>
      <c r="CK134">
        <v>5.6102552372424312E-3</v>
      </c>
      <c r="CL134">
        <v>2.56853985037067E-3</v>
      </c>
      <c r="CM134">
        <v>6.9084926257159196E-3</v>
      </c>
      <c r="CN134">
        <v>2.1781079756531319E-3</v>
      </c>
      <c r="CO134">
        <v>1.428895534479268E-3</v>
      </c>
      <c r="CP134">
        <v>2.3050035487617291E-3</v>
      </c>
      <c r="CQ134">
        <v>1.2945749216988381E-3</v>
      </c>
      <c r="CR134">
        <v>1.5889435642620041E-3</v>
      </c>
      <c r="CS134">
        <v>9.9011534636464483E-4</v>
      </c>
      <c r="CT134">
        <v>2.8043266564267699E-4</v>
      </c>
      <c r="CU134">
        <v>1.543392348616819E-3</v>
      </c>
      <c r="CV134">
        <v>5.7826585820085251E-4</v>
      </c>
      <c r="CW134">
        <v>3.1873023840472232E-4</v>
      </c>
      <c r="CX134">
        <v>1.205152643618765E-3</v>
      </c>
      <c r="CY134">
        <v>0</v>
      </c>
      <c r="DA134" s="538"/>
      <c r="DB134" s="363" t="s">
        <v>142</v>
      </c>
      <c r="DC134" s="387">
        <v>0</v>
      </c>
      <c r="DD134" s="387">
        <v>0</v>
      </c>
      <c r="DE134" s="387">
        <v>0</v>
      </c>
      <c r="DF134" s="387">
        <v>0</v>
      </c>
      <c r="DG134" s="387">
        <v>0</v>
      </c>
      <c r="DH134" s="387">
        <v>0</v>
      </c>
      <c r="DI134" s="387">
        <v>0</v>
      </c>
      <c r="DJ134" s="387">
        <v>0</v>
      </c>
      <c r="DK134" s="387">
        <v>0</v>
      </c>
      <c r="DL134" s="387">
        <v>0</v>
      </c>
      <c r="DM134" s="387">
        <v>0</v>
      </c>
      <c r="DN134" s="387">
        <v>0</v>
      </c>
      <c r="DO134" s="387">
        <v>0</v>
      </c>
      <c r="DP134" s="387">
        <v>0</v>
      </c>
      <c r="DQ134" s="387">
        <v>0</v>
      </c>
      <c r="DR134" s="387">
        <v>0</v>
      </c>
      <c r="DS134" s="387">
        <v>0</v>
      </c>
      <c r="DT134" s="387">
        <v>0</v>
      </c>
      <c r="DU134" s="387">
        <v>0</v>
      </c>
      <c r="DV134" s="387">
        <v>0</v>
      </c>
      <c r="DW134" s="387">
        <v>0</v>
      </c>
    </row>
    <row r="135" spans="1:127" ht="14.25" customHeight="1">
      <c r="A135" s="544"/>
      <c r="B135" s="196" t="s">
        <v>143</v>
      </c>
      <c r="C135" s="156">
        <v>0</v>
      </c>
      <c r="D135" s="156">
        <v>0</v>
      </c>
      <c r="E135" s="156">
        <v>0</v>
      </c>
      <c r="F135" s="156">
        <v>0</v>
      </c>
      <c r="G135" s="156">
        <v>0</v>
      </c>
      <c r="H135" s="156">
        <v>0</v>
      </c>
      <c r="I135" s="156">
        <v>0</v>
      </c>
      <c r="J135" s="156">
        <v>0</v>
      </c>
      <c r="K135" s="156">
        <v>0</v>
      </c>
      <c r="L135" s="156">
        <v>0</v>
      </c>
      <c r="M135" s="156">
        <v>0</v>
      </c>
      <c r="N135" s="156">
        <v>0</v>
      </c>
      <c r="O135" s="156">
        <v>0</v>
      </c>
      <c r="P135" s="156">
        <v>0</v>
      </c>
      <c r="Q135" s="156">
        <v>0</v>
      </c>
      <c r="R135" s="156">
        <v>0</v>
      </c>
      <c r="S135" s="156">
        <v>0</v>
      </c>
      <c r="T135" s="156">
        <v>0</v>
      </c>
      <c r="U135" s="156">
        <v>0</v>
      </c>
      <c r="V135" s="156">
        <v>0</v>
      </c>
      <c r="W135" s="200">
        <v>0</v>
      </c>
      <c r="AA135" s="544"/>
      <c r="AB135" s="196" t="s">
        <v>143</v>
      </c>
      <c r="AC135" s="156">
        <v>0</v>
      </c>
      <c r="AD135" s="156">
        <v>0</v>
      </c>
      <c r="AE135" s="156">
        <v>0</v>
      </c>
      <c r="AF135" s="156">
        <v>0</v>
      </c>
      <c r="AG135" s="156">
        <v>0</v>
      </c>
      <c r="AH135" s="156">
        <v>0</v>
      </c>
      <c r="AI135" s="156">
        <v>0</v>
      </c>
      <c r="AJ135" s="156">
        <v>0</v>
      </c>
      <c r="AK135" s="156">
        <v>0</v>
      </c>
      <c r="AL135" s="156">
        <v>0</v>
      </c>
      <c r="AM135" s="156">
        <v>0</v>
      </c>
      <c r="AN135" s="156">
        <v>0</v>
      </c>
      <c r="AO135" s="156">
        <v>0</v>
      </c>
      <c r="AP135" s="156">
        <v>0</v>
      </c>
      <c r="AQ135" s="156">
        <v>0</v>
      </c>
      <c r="AR135" s="156">
        <v>0</v>
      </c>
      <c r="AS135" s="156">
        <v>0</v>
      </c>
      <c r="AT135" s="156">
        <v>0</v>
      </c>
      <c r="AU135" s="156">
        <v>0</v>
      </c>
      <c r="AV135" s="156">
        <v>0</v>
      </c>
      <c r="AW135" s="200">
        <v>0</v>
      </c>
      <c r="BF135" s="538"/>
      <c r="BG135" s="363" t="s">
        <v>143</v>
      </c>
      <c r="BH135" s="385">
        <v>0</v>
      </c>
      <c r="BI135" s="385">
        <v>0</v>
      </c>
      <c r="BJ135" s="385">
        <v>0</v>
      </c>
      <c r="BK135" s="385">
        <v>0</v>
      </c>
      <c r="BL135" s="385">
        <v>0</v>
      </c>
      <c r="BM135" s="386">
        <v>0</v>
      </c>
      <c r="BN135" s="386">
        <v>0</v>
      </c>
      <c r="BO135" s="386">
        <v>0</v>
      </c>
      <c r="BP135" s="385">
        <v>0</v>
      </c>
      <c r="BQ135" s="385">
        <v>0</v>
      </c>
      <c r="BR135" s="385">
        <v>0</v>
      </c>
      <c r="BS135" s="385">
        <v>0</v>
      </c>
      <c r="BT135" s="385">
        <v>0</v>
      </c>
      <c r="BU135" s="385">
        <v>0</v>
      </c>
      <c r="BV135" s="385">
        <v>0</v>
      </c>
      <c r="BW135" s="385">
        <v>0</v>
      </c>
      <c r="BX135" s="385">
        <v>0</v>
      </c>
      <c r="BY135" s="385">
        <v>0</v>
      </c>
      <c r="BZ135" s="385">
        <v>0</v>
      </c>
      <c r="CA135" s="385">
        <v>0</v>
      </c>
      <c r="CB135" s="385">
        <v>0</v>
      </c>
      <c r="CC135"/>
      <c r="CD135" s="196" t="s">
        <v>85</v>
      </c>
      <c r="CE135">
        <v>5.5165588943983858E-4</v>
      </c>
      <c r="CF135">
        <v>7.1372634793922293E-4</v>
      </c>
      <c r="CG135">
        <v>1.0328364145590181E-3</v>
      </c>
      <c r="CH135">
        <v>1.436781339539283E-3</v>
      </c>
      <c r="CI135">
        <v>1.3669647936008879E-3</v>
      </c>
      <c r="CJ135">
        <v>4.5900400603611171E-4</v>
      </c>
      <c r="CK135">
        <v>1.2657658209626671E-3</v>
      </c>
      <c r="CL135">
        <v>5.1286112642565595E-4</v>
      </c>
      <c r="CM135">
        <v>7.8434961494994724E-4</v>
      </c>
      <c r="CN135">
        <v>6.9360504700130858E-4</v>
      </c>
      <c r="CO135">
        <v>4.9954304144284988E-4</v>
      </c>
      <c r="CP135">
        <v>6.7076663869631951E-4</v>
      </c>
      <c r="CQ135">
        <v>4.4391638191188573E-4</v>
      </c>
      <c r="CR135">
        <v>5.5818510303587605E-4</v>
      </c>
      <c r="CS135">
        <v>3.7309364828627922E-4</v>
      </c>
      <c r="CT135">
        <v>1.068382106864011E-4</v>
      </c>
      <c r="CU135">
        <v>5.8073259275912166E-4</v>
      </c>
      <c r="CV135">
        <v>2.5101048045538568E-4</v>
      </c>
      <c r="CW135">
        <v>1.5935723904541741E-4</v>
      </c>
      <c r="CX135">
        <v>5.1519102964369507E-4</v>
      </c>
      <c r="CY135">
        <v>0</v>
      </c>
      <c r="DA135" s="538"/>
      <c r="DB135" s="363" t="s">
        <v>143</v>
      </c>
      <c r="DC135" s="387">
        <v>0</v>
      </c>
      <c r="DD135" s="387">
        <v>0</v>
      </c>
      <c r="DE135" s="387">
        <v>0</v>
      </c>
      <c r="DF135" s="387">
        <v>0</v>
      </c>
      <c r="DG135" s="387">
        <v>0</v>
      </c>
      <c r="DH135" s="387">
        <v>0</v>
      </c>
      <c r="DI135" s="387">
        <v>0</v>
      </c>
      <c r="DJ135" s="387">
        <v>0</v>
      </c>
      <c r="DK135" s="387">
        <v>0</v>
      </c>
      <c r="DL135" s="387">
        <v>0</v>
      </c>
      <c r="DM135" s="387">
        <v>0</v>
      </c>
      <c r="DN135" s="387">
        <v>0</v>
      </c>
      <c r="DO135" s="387">
        <v>0</v>
      </c>
      <c r="DP135" s="387">
        <v>0</v>
      </c>
      <c r="DQ135" s="387">
        <v>0</v>
      </c>
      <c r="DR135" s="387">
        <v>0</v>
      </c>
      <c r="DS135" s="387">
        <v>0</v>
      </c>
      <c r="DT135" s="387">
        <v>0</v>
      </c>
      <c r="DU135" s="387">
        <v>0</v>
      </c>
      <c r="DV135" s="387">
        <v>0</v>
      </c>
      <c r="DW135" s="387">
        <v>0</v>
      </c>
    </row>
    <row r="136" spans="1:127" ht="14.25" customHeight="1">
      <c r="A136" s="544"/>
      <c r="B136" s="196" t="s">
        <v>144</v>
      </c>
      <c r="C136" s="156">
        <v>0</v>
      </c>
      <c r="D136" s="156">
        <v>0</v>
      </c>
      <c r="E136" s="156">
        <v>0</v>
      </c>
      <c r="F136" s="156">
        <v>0</v>
      </c>
      <c r="G136" s="156">
        <v>0</v>
      </c>
      <c r="H136" s="156">
        <v>0</v>
      </c>
      <c r="I136" s="156">
        <v>0</v>
      </c>
      <c r="J136" s="156">
        <v>1</v>
      </c>
      <c r="K136" s="156">
        <v>0</v>
      </c>
      <c r="L136" s="156">
        <v>0</v>
      </c>
      <c r="M136" s="156">
        <v>0</v>
      </c>
      <c r="N136" s="156">
        <v>0</v>
      </c>
      <c r="O136" s="156">
        <v>0</v>
      </c>
      <c r="P136" s="156">
        <v>0</v>
      </c>
      <c r="Q136" s="156">
        <v>0</v>
      </c>
      <c r="R136" s="156">
        <v>0</v>
      </c>
      <c r="S136" s="156">
        <v>0</v>
      </c>
      <c r="T136" s="156">
        <v>0</v>
      </c>
      <c r="U136" s="156">
        <v>0</v>
      </c>
      <c r="V136" s="156">
        <v>0</v>
      </c>
      <c r="W136" s="200">
        <v>0</v>
      </c>
      <c r="AA136" s="544"/>
      <c r="AB136" s="196" t="s">
        <v>144</v>
      </c>
      <c r="AC136" s="156">
        <v>0</v>
      </c>
      <c r="AD136" s="156">
        <v>0</v>
      </c>
      <c r="AE136" s="156">
        <v>0</v>
      </c>
      <c r="AF136" s="156">
        <v>0</v>
      </c>
      <c r="AG136" s="156">
        <v>0</v>
      </c>
      <c r="AH136" s="156">
        <v>0</v>
      </c>
      <c r="AI136" s="156">
        <v>0</v>
      </c>
      <c r="AJ136" s="156">
        <v>0</v>
      </c>
      <c r="AK136" s="156">
        <v>0</v>
      </c>
      <c r="AL136" s="156">
        <v>0</v>
      </c>
      <c r="AM136" s="156">
        <v>0</v>
      </c>
      <c r="AN136" s="156">
        <v>0</v>
      </c>
      <c r="AO136" s="156">
        <v>0</v>
      </c>
      <c r="AP136" s="156">
        <v>0</v>
      </c>
      <c r="AQ136" s="156">
        <v>0</v>
      </c>
      <c r="AR136" s="156">
        <v>0</v>
      </c>
      <c r="AS136" s="156">
        <v>0</v>
      </c>
      <c r="AT136" s="156">
        <v>0</v>
      </c>
      <c r="AU136" s="156">
        <v>0</v>
      </c>
      <c r="AV136" s="156">
        <v>0</v>
      </c>
      <c r="AW136" s="200">
        <v>0</v>
      </c>
      <c r="BF136" s="538"/>
      <c r="BG136" s="363" t="s">
        <v>144</v>
      </c>
      <c r="BH136" s="385">
        <v>0</v>
      </c>
      <c r="BI136" s="385">
        <v>0</v>
      </c>
      <c r="BJ136" s="385">
        <v>0</v>
      </c>
      <c r="BK136" s="385">
        <v>0</v>
      </c>
      <c r="BL136" s="385">
        <v>0</v>
      </c>
      <c r="BM136" s="386">
        <v>0</v>
      </c>
      <c r="BN136" s="386">
        <v>0</v>
      </c>
      <c r="BO136" s="386">
        <v>0</v>
      </c>
      <c r="BP136" s="385">
        <v>0</v>
      </c>
      <c r="BQ136" s="385">
        <v>0</v>
      </c>
      <c r="BR136" s="385">
        <v>0</v>
      </c>
      <c r="BS136" s="385">
        <v>0</v>
      </c>
      <c r="BT136" s="385">
        <v>0</v>
      </c>
      <c r="BU136" s="385">
        <v>0</v>
      </c>
      <c r="BV136" s="385">
        <v>0</v>
      </c>
      <c r="BW136" s="385">
        <v>0</v>
      </c>
      <c r="BX136" s="385">
        <v>0</v>
      </c>
      <c r="BY136" s="385">
        <v>0</v>
      </c>
      <c r="BZ136" s="385">
        <v>0</v>
      </c>
      <c r="CA136" s="385">
        <v>0</v>
      </c>
      <c r="CB136" s="385">
        <v>0</v>
      </c>
      <c r="CC136"/>
      <c r="CD136" s="196" t="s">
        <v>88</v>
      </c>
      <c r="CE136">
        <v>3.2476836893017468E-4</v>
      </c>
      <c r="CF136">
        <v>3.322867597909997E-4</v>
      </c>
      <c r="CG136">
        <v>5.430769917643566E-4</v>
      </c>
      <c r="CH136">
        <v>7.2481213645684628E-4</v>
      </c>
      <c r="CI136">
        <v>5.9935903087326189E-4</v>
      </c>
      <c r="CJ136">
        <v>2.758554796693692E-4</v>
      </c>
      <c r="CK136">
        <v>5.2019236792927694E-4</v>
      </c>
      <c r="CL136">
        <v>6.2111408513680774E-4</v>
      </c>
      <c r="CM136">
        <v>3.9384874265688637E-4</v>
      </c>
      <c r="CN136">
        <v>3.5798409613697012E-4</v>
      </c>
      <c r="CO136">
        <v>2.3414323528745439E-4</v>
      </c>
      <c r="CP136">
        <v>3.1891729165581159E-4</v>
      </c>
      <c r="CQ136">
        <v>2.482537971197961E-4</v>
      </c>
      <c r="CR136">
        <v>2.7756348845099172E-4</v>
      </c>
      <c r="CS136">
        <v>1.6507144720631211E-4</v>
      </c>
      <c r="CT136">
        <v>5.2866850483681749E-5</v>
      </c>
      <c r="CU136">
        <v>2.7350011890033601E-4</v>
      </c>
      <c r="CV136">
        <v>1.323599072455876E-4</v>
      </c>
      <c r="CW136">
        <v>7.6074366216616091E-5</v>
      </c>
      <c r="CX136">
        <v>6.9043389431171481E-4</v>
      </c>
      <c r="CY136">
        <v>0</v>
      </c>
      <c r="DA136" s="538"/>
      <c r="DB136" s="363" t="s">
        <v>144</v>
      </c>
      <c r="DC136" s="387">
        <v>0</v>
      </c>
      <c r="DD136" s="387">
        <v>0</v>
      </c>
      <c r="DE136" s="387">
        <v>0</v>
      </c>
      <c r="DF136" s="387">
        <v>0</v>
      </c>
      <c r="DG136" s="387">
        <v>0</v>
      </c>
      <c r="DH136" s="387">
        <v>0</v>
      </c>
      <c r="DI136" s="387">
        <v>0</v>
      </c>
      <c r="DJ136" s="387">
        <v>0</v>
      </c>
      <c r="DK136" s="387">
        <v>0</v>
      </c>
      <c r="DL136" s="387">
        <v>0</v>
      </c>
      <c r="DM136" s="387">
        <v>0</v>
      </c>
      <c r="DN136" s="387">
        <v>0</v>
      </c>
      <c r="DO136" s="387">
        <v>0</v>
      </c>
      <c r="DP136" s="387">
        <v>0</v>
      </c>
      <c r="DQ136" s="387">
        <v>0</v>
      </c>
      <c r="DR136" s="387">
        <v>0</v>
      </c>
      <c r="DS136" s="387">
        <v>0</v>
      </c>
      <c r="DT136" s="387">
        <v>0</v>
      </c>
      <c r="DU136" s="387">
        <v>0</v>
      </c>
      <c r="DV136" s="387">
        <v>0</v>
      </c>
      <c r="DW136" s="387">
        <v>0</v>
      </c>
    </row>
    <row r="137" spans="1:127" ht="14.25" customHeight="1">
      <c r="A137" s="544"/>
      <c r="B137" s="196" t="s">
        <v>61</v>
      </c>
      <c r="C137" s="156">
        <v>0</v>
      </c>
      <c r="D137" s="156">
        <v>0</v>
      </c>
      <c r="E137" s="156">
        <v>0</v>
      </c>
      <c r="F137" s="156">
        <v>0</v>
      </c>
      <c r="G137" s="156">
        <v>0</v>
      </c>
      <c r="H137" s="156">
        <v>0</v>
      </c>
      <c r="I137" s="156">
        <v>0</v>
      </c>
      <c r="J137" s="156">
        <v>0</v>
      </c>
      <c r="K137" s="156">
        <v>5.7557590822688064E-3</v>
      </c>
      <c r="L137" s="156">
        <v>0</v>
      </c>
      <c r="M137" s="156">
        <v>0</v>
      </c>
      <c r="N137" s="156">
        <v>0</v>
      </c>
      <c r="O137" s="156">
        <v>0</v>
      </c>
      <c r="P137" s="156">
        <v>0</v>
      </c>
      <c r="Q137" s="156">
        <v>0</v>
      </c>
      <c r="R137" s="156">
        <v>0</v>
      </c>
      <c r="S137" s="156">
        <v>0</v>
      </c>
      <c r="T137" s="156">
        <v>0</v>
      </c>
      <c r="U137" s="156">
        <v>0</v>
      </c>
      <c r="V137" s="156">
        <v>0</v>
      </c>
      <c r="W137" s="200">
        <v>0</v>
      </c>
      <c r="AA137" s="544"/>
      <c r="AB137" s="196" t="s">
        <v>61</v>
      </c>
      <c r="AC137" s="156">
        <v>0</v>
      </c>
      <c r="AD137" s="156">
        <v>0</v>
      </c>
      <c r="AE137" s="156">
        <v>0</v>
      </c>
      <c r="AF137" s="156">
        <v>0</v>
      </c>
      <c r="AG137" s="156">
        <v>0</v>
      </c>
      <c r="AH137" s="156">
        <v>0</v>
      </c>
      <c r="AI137" s="156">
        <v>0</v>
      </c>
      <c r="AJ137" s="156">
        <v>0</v>
      </c>
      <c r="AK137" s="156">
        <v>0</v>
      </c>
      <c r="AL137" s="156">
        <v>0</v>
      </c>
      <c r="AM137" s="156">
        <v>0</v>
      </c>
      <c r="AN137" s="156">
        <v>0</v>
      </c>
      <c r="AO137" s="156">
        <v>0</v>
      </c>
      <c r="AP137" s="156">
        <v>0</v>
      </c>
      <c r="AQ137" s="156">
        <v>0</v>
      </c>
      <c r="AR137" s="156">
        <v>0</v>
      </c>
      <c r="AS137" s="156">
        <v>0</v>
      </c>
      <c r="AT137" s="156">
        <v>0</v>
      </c>
      <c r="AU137" s="156">
        <v>0</v>
      </c>
      <c r="AV137" s="156">
        <v>0</v>
      </c>
      <c r="AW137" s="200">
        <v>0</v>
      </c>
      <c r="BF137" s="538"/>
      <c r="BG137" s="363" t="s">
        <v>61</v>
      </c>
      <c r="BH137" s="385">
        <v>0</v>
      </c>
      <c r="BI137" s="385">
        <v>0</v>
      </c>
      <c r="BJ137" s="385">
        <v>0</v>
      </c>
      <c r="BK137" s="385">
        <v>0</v>
      </c>
      <c r="BL137" s="385">
        <v>0</v>
      </c>
      <c r="BM137" s="386">
        <v>0</v>
      </c>
      <c r="BN137" s="386">
        <v>0</v>
      </c>
      <c r="BO137" s="386">
        <v>0</v>
      </c>
      <c r="BP137" s="385">
        <v>0</v>
      </c>
      <c r="BQ137" s="385">
        <v>0</v>
      </c>
      <c r="BR137" s="385">
        <v>0</v>
      </c>
      <c r="BS137" s="385">
        <v>0</v>
      </c>
      <c r="BT137" s="385">
        <v>0</v>
      </c>
      <c r="BU137" s="385">
        <v>0</v>
      </c>
      <c r="BV137" s="385">
        <v>0</v>
      </c>
      <c r="BW137" s="385">
        <v>0</v>
      </c>
      <c r="BX137" s="385">
        <v>0</v>
      </c>
      <c r="BY137" s="385">
        <v>0</v>
      </c>
      <c r="BZ137" s="385">
        <v>0</v>
      </c>
      <c r="CA137" s="385">
        <v>0</v>
      </c>
      <c r="CB137" s="385">
        <v>0</v>
      </c>
      <c r="CC137"/>
      <c r="CD137" s="196" t="s">
        <v>147</v>
      </c>
      <c r="CE137">
        <v>2.756239039824603E-5</v>
      </c>
      <c r="CF137">
        <v>3.7816971915234388E-5</v>
      </c>
      <c r="CG137">
        <v>6.1244106866848607E-5</v>
      </c>
      <c r="CH137">
        <v>1.026789853773765E-4</v>
      </c>
      <c r="CI137">
        <v>8.9598987411531735E-5</v>
      </c>
      <c r="CJ137">
        <v>3.2473767228884772E-5</v>
      </c>
      <c r="CK137">
        <v>3.3432063254803347E-5</v>
      </c>
      <c r="CL137">
        <v>7.3249837043478153E-4</v>
      </c>
      <c r="CM137">
        <v>3.8508986823804737E-5</v>
      </c>
      <c r="CN137">
        <v>4.4537049384155582E-5</v>
      </c>
      <c r="CO137">
        <v>2.3683631480790581E-5</v>
      </c>
      <c r="CP137">
        <v>3.8370780752100287E-5</v>
      </c>
      <c r="CQ137">
        <v>1.873933974218056E-5</v>
      </c>
      <c r="CR137">
        <v>2.6155138097342809E-5</v>
      </c>
      <c r="CS137">
        <v>1.32858138586E-5</v>
      </c>
      <c r="CT137">
        <v>4.9388227549292309E-6</v>
      </c>
      <c r="CU137">
        <v>2.755426902824634E-5</v>
      </c>
      <c r="CV137">
        <v>8.8013854253244222E-6</v>
      </c>
      <c r="CW137">
        <v>5.1162822395431972E-6</v>
      </c>
      <c r="CX137">
        <v>2.58278018934471E-5</v>
      </c>
      <c r="CY137">
        <v>0</v>
      </c>
      <c r="DA137" s="538"/>
      <c r="DB137" s="363" t="s">
        <v>61</v>
      </c>
      <c r="DC137" s="387">
        <v>0</v>
      </c>
      <c r="DD137" s="387">
        <v>0</v>
      </c>
      <c r="DE137" s="387">
        <v>0</v>
      </c>
      <c r="DF137" s="387">
        <v>0</v>
      </c>
      <c r="DG137" s="387">
        <v>0</v>
      </c>
      <c r="DH137" s="387">
        <v>0</v>
      </c>
      <c r="DI137" s="387">
        <v>0</v>
      </c>
      <c r="DJ137" s="387">
        <v>0</v>
      </c>
      <c r="DK137" s="387">
        <v>0</v>
      </c>
      <c r="DL137" s="387">
        <v>0</v>
      </c>
      <c r="DM137" s="387">
        <v>0</v>
      </c>
      <c r="DN137" s="387">
        <v>0</v>
      </c>
      <c r="DO137" s="387">
        <v>0</v>
      </c>
      <c r="DP137" s="387">
        <v>0</v>
      </c>
      <c r="DQ137" s="387">
        <v>0</v>
      </c>
      <c r="DR137" s="387">
        <v>0</v>
      </c>
      <c r="DS137" s="387">
        <v>0</v>
      </c>
      <c r="DT137" s="387">
        <v>0</v>
      </c>
      <c r="DU137" s="387">
        <v>0</v>
      </c>
      <c r="DV137" s="387">
        <v>0</v>
      </c>
      <c r="DW137" s="387">
        <v>0</v>
      </c>
    </row>
    <row r="138" spans="1:127" ht="14.25" customHeight="1">
      <c r="A138" s="544"/>
      <c r="B138" s="196" t="s">
        <v>63</v>
      </c>
      <c r="C138" s="156">
        <v>0</v>
      </c>
      <c r="D138" s="156">
        <v>0</v>
      </c>
      <c r="E138" s="156">
        <v>0</v>
      </c>
      <c r="F138" s="156">
        <v>0</v>
      </c>
      <c r="G138" s="156">
        <v>0</v>
      </c>
      <c r="H138" s="156">
        <v>0</v>
      </c>
      <c r="I138" s="156">
        <v>0</v>
      </c>
      <c r="J138" s="156">
        <v>0</v>
      </c>
      <c r="K138" s="156">
        <v>0</v>
      </c>
      <c r="L138" s="156">
        <v>0.6890315052508752</v>
      </c>
      <c r="M138" s="156">
        <v>0</v>
      </c>
      <c r="N138" s="156">
        <v>0</v>
      </c>
      <c r="O138" s="156">
        <v>0</v>
      </c>
      <c r="P138" s="156">
        <v>0</v>
      </c>
      <c r="Q138" s="156">
        <v>0</v>
      </c>
      <c r="R138" s="156">
        <v>0</v>
      </c>
      <c r="S138" s="156">
        <v>0</v>
      </c>
      <c r="T138" s="156">
        <v>0</v>
      </c>
      <c r="U138" s="156">
        <v>0</v>
      </c>
      <c r="V138" s="156">
        <v>0</v>
      </c>
      <c r="W138" s="200">
        <v>0</v>
      </c>
      <c r="AA138" s="544"/>
      <c r="AB138" s="196" t="s">
        <v>63</v>
      </c>
      <c r="AC138" s="156">
        <v>0</v>
      </c>
      <c r="AD138" s="156">
        <v>0</v>
      </c>
      <c r="AE138" s="156">
        <v>0</v>
      </c>
      <c r="AF138" s="156">
        <v>0</v>
      </c>
      <c r="AG138" s="156">
        <v>0</v>
      </c>
      <c r="AH138" s="156">
        <v>0</v>
      </c>
      <c r="AI138" s="156">
        <v>0</v>
      </c>
      <c r="AJ138" s="156">
        <v>0</v>
      </c>
      <c r="AK138" s="156">
        <v>0</v>
      </c>
      <c r="AL138" s="156">
        <v>0</v>
      </c>
      <c r="AM138" s="156">
        <v>0</v>
      </c>
      <c r="AN138" s="156">
        <v>0</v>
      </c>
      <c r="AO138" s="156">
        <v>0</v>
      </c>
      <c r="AP138" s="156">
        <v>0</v>
      </c>
      <c r="AQ138" s="156">
        <v>0</v>
      </c>
      <c r="AR138" s="156">
        <v>0</v>
      </c>
      <c r="AS138" s="156">
        <v>0</v>
      </c>
      <c r="AT138" s="156">
        <v>0</v>
      </c>
      <c r="AU138" s="156">
        <v>0</v>
      </c>
      <c r="AV138" s="156">
        <v>0</v>
      </c>
      <c r="AW138" s="200">
        <v>0</v>
      </c>
      <c r="BF138" s="538"/>
      <c r="BG138" s="363" t="s">
        <v>63</v>
      </c>
      <c r="BH138" s="385">
        <v>0</v>
      </c>
      <c r="BI138" s="385">
        <v>0</v>
      </c>
      <c r="BJ138" s="385">
        <v>0</v>
      </c>
      <c r="BK138" s="385">
        <v>0</v>
      </c>
      <c r="BL138" s="385">
        <v>0</v>
      </c>
      <c r="BM138" s="386">
        <v>0</v>
      </c>
      <c r="BN138" s="386">
        <v>0</v>
      </c>
      <c r="BO138" s="386">
        <v>0</v>
      </c>
      <c r="BP138" s="385">
        <v>0</v>
      </c>
      <c r="BQ138" s="385">
        <v>0</v>
      </c>
      <c r="BR138" s="385">
        <v>0</v>
      </c>
      <c r="BS138" s="385">
        <v>0</v>
      </c>
      <c r="BT138" s="385">
        <v>0</v>
      </c>
      <c r="BU138" s="385">
        <v>0</v>
      </c>
      <c r="BV138" s="385">
        <v>0</v>
      </c>
      <c r="BW138" s="385">
        <v>0</v>
      </c>
      <c r="BX138" s="385">
        <v>0</v>
      </c>
      <c r="BY138" s="385">
        <v>0</v>
      </c>
      <c r="BZ138" s="385">
        <v>0</v>
      </c>
      <c r="CA138" s="385">
        <v>0</v>
      </c>
      <c r="CB138" s="385">
        <v>0</v>
      </c>
      <c r="CC138"/>
      <c r="CD138"/>
      <c r="CE138"/>
      <c r="CF138"/>
      <c r="CG138"/>
      <c r="CH138"/>
      <c r="CI138"/>
      <c r="CJ138"/>
      <c r="CK138"/>
      <c r="CL138"/>
      <c r="CM138"/>
      <c r="CN138"/>
      <c r="CO138"/>
      <c r="CP138"/>
      <c r="CQ138"/>
      <c r="CR138"/>
      <c r="CS138"/>
      <c r="CT138"/>
      <c r="CU138"/>
      <c r="CV138"/>
      <c r="CW138"/>
      <c r="CX138"/>
      <c r="CY138"/>
      <c r="DA138" s="538"/>
      <c r="DB138" s="363" t="s">
        <v>63</v>
      </c>
      <c r="DC138" s="387">
        <v>0</v>
      </c>
      <c r="DD138" s="387">
        <v>0</v>
      </c>
      <c r="DE138" s="387">
        <v>0</v>
      </c>
      <c r="DF138" s="387">
        <v>0</v>
      </c>
      <c r="DG138" s="387">
        <v>0</v>
      </c>
      <c r="DH138" s="387">
        <v>0</v>
      </c>
      <c r="DI138" s="387">
        <v>0</v>
      </c>
      <c r="DJ138" s="387">
        <v>0</v>
      </c>
      <c r="DK138" s="387">
        <v>0</v>
      </c>
      <c r="DL138" s="387">
        <v>0</v>
      </c>
      <c r="DM138" s="387">
        <v>0</v>
      </c>
      <c r="DN138" s="387">
        <v>0</v>
      </c>
      <c r="DO138" s="387">
        <v>0</v>
      </c>
      <c r="DP138" s="387">
        <v>0</v>
      </c>
      <c r="DQ138" s="387">
        <v>0</v>
      </c>
      <c r="DR138" s="387">
        <v>0</v>
      </c>
      <c r="DS138" s="387">
        <v>0</v>
      </c>
      <c r="DT138" s="387">
        <v>0</v>
      </c>
      <c r="DU138" s="387">
        <v>0</v>
      </c>
      <c r="DV138" s="387">
        <v>0</v>
      </c>
      <c r="DW138" s="387">
        <v>0</v>
      </c>
    </row>
    <row r="139" spans="1:127" ht="14.25" customHeight="1">
      <c r="A139" s="544"/>
      <c r="B139" s="196" t="s">
        <v>65</v>
      </c>
      <c r="C139" s="156">
        <v>0</v>
      </c>
      <c r="D139" s="156">
        <v>0</v>
      </c>
      <c r="E139" s="156">
        <v>0</v>
      </c>
      <c r="F139" s="156">
        <v>0</v>
      </c>
      <c r="G139" s="156">
        <v>0</v>
      </c>
      <c r="H139" s="156">
        <v>0</v>
      </c>
      <c r="I139" s="156">
        <v>0</v>
      </c>
      <c r="J139" s="156">
        <v>0</v>
      </c>
      <c r="K139" s="156">
        <v>0</v>
      </c>
      <c r="L139" s="156">
        <v>0</v>
      </c>
      <c r="M139" s="156">
        <v>0.82620058804312313</v>
      </c>
      <c r="N139" s="156">
        <v>0</v>
      </c>
      <c r="O139" s="156">
        <v>0</v>
      </c>
      <c r="P139" s="156">
        <v>0</v>
      </c>
      <c r="Q139" s="156">
        <v>0</v>
      </c>
      <c r="R139" s="156">
        <v>0</v>
      </c>
      <c r="S139" s="156">
        <v>0</v>
      </c>
      <c r="T139" s="156">
        <v>0</v>
      </c>
      <c r="U139" s="156">
        <v>0</v>
      </c>
      <c r="V139" s="156">
        <v>0</v>
      </c>
      <c r="W139" s="200">
        <v>0</v>
      </c>
      <c r="AA139" s="544"/>
      <c r="AB139" s="196" t="s">
        <v>65</v>
      </c>
      <c r="AC139" s="156">
        <v>0</v>
      </c>
      <c r="AD139" s="156">
        <v>0</v>
      </c>
      <c r="AE139" s="156">
        <v>0</v>
      </c>
      <c r="AF139" s="156">
        <v>0</v>
      </c>
      <c r="AG139" s="156">
        <v>0</v>
      </c>
      <c r="AH139" s="156">
        <v>0</v>
      </c>
      <c r="AI139" s="156">
        <v>0</v>
      </c>
      <c r="AJ139" s="156">
        <v>0</v>
      </c>
      <c r="AK139" s="156">
        <v>0</v>
      </c>
      <c r="AL139" s="156">
        <v>0</v>
      </c>
      <c r="AM139" s="156">
        <v>0</v>
      </c>
      <c r="AN139" s="156">
        <v>0</v>
      </c>
      <c r="AO139" s="156">
        <v>0</v>
      </c>
      <c r="AP139" s="156">
        <v>0</v>
      </c>
      <c r="AQ139" s="156">
        <v>0</v>
      </c>
      <c r="AR139" s="156">
        <v>0</v>
      </c>
      <c r="AS139" s="156">
        <v>0</v>
      </c>
      <c r="AT139" s="156">
        <v>0</v>
      </c>
      <c r="AU139" s="156">
        <v>0</v>
      </c>
      <c r="AV139" s="156">
        <v>0</v>
      </c>
      <c r="AW139" s="200">
        <v>0</v>
      </c>
      <c r="BF139" s="538"/>
      <c r="BG139" s="363" t="s">
        <v>65</v>
      </c>
      <c r="BH139" s="385">
        <v>0</v>
      </c>
      <c r="BI139" s="385">
        <v>0</v>
      </c>
      <c r="BJ139" s="385">
        <v>0</v>
      </c>
      <c r="BK139" s="385">
        <v>0</v>
      </c>
      <c r="BL139" s="385">
        <v>0</v>
      </c>
      <c r="BM139" s="386">
        <v>0</v>
      </c>
      <c r="BN139" s="386">
        <v>0</v>
      </c>
      <c r="BO139" s="386">
        <v>0</v>
      </c>
      <c r="BP139" s="385">
        <v>0</v>
      </c>
      <c r="BQ139" s="385">
        <v>0</v>
      </c>
      <c r="BR139" s="385">
        <v>0</v>
      </c>
      <c r="BS139" s="385">
        <v>0</v>
      </c>
      <c r="BT139" s="385">
        <v>0</v>
      </c>
      <c r="BU139" s="385">
        <v>0</v>
      </c>
      <c r="BV139" s="385">
        <v>0</v>
      </c>
      <c r="BW139" s="385">
        <v>0</v>
      </c>
      <c r="BX139" s="385">
        <v>0</v>
      </c>
      <c r="BY139" s="385">
        <v>0</v>
      </c>
      <c r="BZ139" s="385">
        <v>0</v>
      </c>
      <c r="CA139" s="385">
        <v>0</v>
      </c>
      <c r="CB139" s="385">
        <v>0</v>
      </c>
      <c r="CC139"/>
      <c r="CD139"/>
      <c r="CE139" s="541" t="s">
        <v>1457</v>
      </c>
      <c r="CF139" s="541"/>
      <c r="CG139" s="541"/>
      <c r="CH139" s="541"/>
      <c r="CI139" s="541"/>
      <c r="CJ139" s="541"/>
      <c r="CK139" s="541"/>
      <c r="CL139" s="541"/>
      <c r="CM139" s="541"/>
      <c r="CN139" s="541"/>
      <c r="CO139" s="541"/>
      <c r="CP139" s="541"/>
      <c r="CQ139" s="541"/>
      <c r="CR139" s="541"/>
      <c r="CS139" s="541"/>
      <c r="CT139" s="541"/>
      <c r="CU139" s="541"/>
      <c r="CV139" s="541"/>
      <c r="CW139" s="541"/>
      <c r="CX139" s="541"/>
      <c r="CY139" s="541"/>
      <c r="DA139" s="538"/>
      <c r="DB139" s="363" t="s">
        <v>65</v>
      </c>
      <c r="DC139" s="387">
        <v>0</v>
      </c>
      <c r="DD139" s="387">
        <v>0</v>
      </c>
      <c r="DE139" s="387">
        <v>0</v>
      </c>
      <c r="DF139" s="387">
        <v>0</v>
      </c>
      <c r="DG139" s="387">
        <v>0</v>
      </c>
      <c r="DH139" s="387">
        <v>0</v>
      </c>
      <c r="DI139" s="387">
        <v>0</v>
      </c>
      <c r="DJ139" s="387">
        <v>0</v>
      </c>
      <c r="DK139" s="387">
        <v>0</v>
      </c>
      <c r="DL139" s="387">
        <v>0</v>
      </c>
      <c r="DM139" s="387">
        <v>0</v>
      </c>
      <c r="DN139" s="387">
        <v>0</v>
      </c>
      <c r="DO139" s="387">
        <v>0</v>
      </c>
      <c r="DP139" s="387">
        <v>0</v>
      </c>
      <c r="DQ139" s="387">
        <v>0</v>
      </c>
      <c r="DR139" s="387">
        <v>0</v>
      </c>
      <c r="DS139" s="387">
        <v>0</v>
      </c>
      <c r="DT139" s="387">
        <v>0</v>
      </c>
      <c r="DU139" s="387">
        <v>0</v>
      </c>
      <c r="DV139" s="387">
        <v>0</v>
      </c>
      <c r="DW139" s="387">
        <v>0</v>
      </c>
    </row>
    <row r="140" spans="1:127" ht="14.25" customHeight="1">
      <c r="A140" s="544"/>
      <c r="B140" s="196" t="s">
        <v>67</v>
      </c>
      <c r="C140" s="156">
        <v>0</v>
      </c>
      <c r="D140" s="156">
        <v>0</v>
      </c>
      <c r="E140" s="156">
        <v>0</v>
      </c>
      <c r="F140" s="156">
        <v>0</v>
      </c>
      <c r="G140" s="156">
        <v>0</v>
      </c>
      <c r="H140" s="156">
        <v>0</v>
      </c>
      <c r="I140" s="156">
        <v>0</v>
      </c>
      <c r="J140" s="156">
        <v>0</v>
      </c>
      <c r="K140" s="156">
        <v>0</v>
      </c>
      <c r="L140" s="156">
        <v>0</v>
      </c>
      <c r="M140" s="156">
        <v>0</v>
      </c>
      <c r="N140" s="156">
        <v>0.15609699902079369</v>
      </c>
      <c r="O140" s="156">
        <v>0</v>
      </c>
      <c r="P140" s="156">
        <v>0</v>
      </c>
      <c r="Q140" s="156">
        <v>0</v>
      </c>
      <c r="R140" s="156">
        <v>0</v>
      </c>
      <c r="S140" s="156">
        <v>0</v>
      </c>
      <c r="T140" s="156">
        <v>0</v>
      </c>
      <c r="U140" s="156">
        <v>0</v>
      </c>
      <c r="V140" s="156">
        <v>0</v>
      </c>
      <c r="W140" s="200">
        <v>0</v>
      </c>
      <c r="AA140" s="544"/>
      <c r="AB140" s="196" t="s">
        <v>67</v>
      </c>
      <c r="AC140" s="156">
        <v>0</v>
      </c>
      <c r="AD140" s="156">
        <v>0</v>
      </c>
      <c r="AE140" s="156">
        <v>0</v>
      </c>
      <c r="AF140" s="156">
        <v>0</v>
      </c>
      <c r="AG140" s="156">
        <v>0</v>
      </c>
      <c r="AH140" s="156">
        <v>0</v>
      </c>
      <c r="AI140" s="156">
        <v>0</v>
      </c>
      <c r="AJ140" s="156">
        <v>0</v>
      </c>
      <c r="AK140" s="156">
        <v>0</v>
      </c>
      <c r="AL140" s="156">
        <v>0</v>
      </c>
      <c r="AM140" s="156">
        <v>0</v>
      </c>
      <c r="AN140" s="156">
        <v>0</v>
      </c>
      <c r="AO140" s="156">
        <v>0</v>
      </c>
      <c r="AP140" s="156">
        <v>0</v>
      </c>
      <c r="AQ140" s="156">
        <v>0</v>
      </c>
      <c r="AR140" s="156">
        <v>0</v>
      </c>
      <c r="AS140" s="156">
        <v>0</v>
      </c>
      <c r="AT140" s="156">
        <v>0</v>
      </c>
      <c r="AU140" s="156">
        <v>0</v>
      </c>
      <c r="AV140" s="156">
        <v>0</v>
      </c>
      <c r="AW140" s="200">
        <v>0</v>
      </c>
      <c r="BF140" s="538"/>
      <c r="BG140" s="363" t="s">
        <v>67</v>
      </c>
      <c r="BH140" s="385">
        <v>0</v>
      </c>
      <c r="BI140" s="385">
        <v>0</v>
      </c>
      <c r="BJ140" s="385">
        <v>0</v>
      </c>
      <c r="BK140" s="385">
        <v>0</v>
      </c>
      <c r="BL140" s="385">
        <v>0</v>
      </c>
      <c r="BM140" s="386">
        <v>0</v>
      </c>
      <c r="BN140" s="386">
        <v>0</v>
      </c>
      <c r="BO140" s="386">
        <v>0</v>
      </c>
      <c r="BP140" s="385">
        <v>0</v>
      </c>
      <c r="BQ140" s="385">
        <v>0</v>
      </c>
      <c r="BR140" s="385">
        <v>0</v>
      </c>
      <c r="BS140" s="385">
        <v>0</v>
      </c>
      <c r="BT140" s="385">
        <v>0</v>
      </c>
      <c r="BU140" s="385">
        <v>0</v>
      </c>
      <c r="BV140" s="385">
        <v>0</v>
      </c>
      <c r="BW140" s="385">
        <v>0</v>
      </c>
      <c r="BX140" s="385">
        <v>0</v>
      </c>
      <c r="BY140" s="385">
        <v>0</v>
      </c>
      <c r="BZ140" s="385">
        <v>0</v>
      </c>
      <c r="CA140" s="385">
        <v>0</v>
      </c>
      <c r="CB140" s="385">
        <v>0</v>
      </c>
      <c r="CC140"/>
      <c r="CD140"/>
      <c r="CE140" s="196" t="s">
        <v>139</v>
      </c>
      <c r="CF140" s="196" t="s">
        <v>37</v>
      </c>
      <c r="CG140" s="196" t="s">
        <v>140</v>
      </c>
      <c r="CH140" s="196" t="s">
        <v>48</v>
      </c>
      <c r="CI140" s="196" t="s">
        <v>141</v>
      </c>
      <c r="CJ140" s="196" t="s">
        <v>142</v>
      </c>
      <c r="CK140" s="196" t="s">
        <v>143</v>
      </c>
      <c r="CL140" s="196" t="s">
        <v>144</v>
      </c>
      <c r="CM140" s="196" t="s">
        <v>61</v>
      </c>
      <c r="CN140" s="196" t="s">
        <v>63</v>
      </c>
      <c r="CO140" s="196" t="s">
        <v>65</v>
      </c>
      <c r="CP140" s="196" t="s">
        <v>67</v>
      </c>
      <c r="CQ140" s="196" t="s">
        <v>69</v>
      </c>
      <c r="CR140" s="196" t="s">
        <v>145</v>
      </c>
      <c r="CS140" s="196" t="s">
        <v>73</v>
      </c>
      <c r="CT140" s="196" t="s">
        <v>75</v>
      </c>
      <c r="CU140" s="196" t="s">
        <v>146</v>
      </c>
      <c r="CV140" s="196" t="s">
        <v>83</v>
      </c>
      <c r="CW140" s="196" t="s">
        <v>85</v>
      </c>
      <c r="CX140" s="196" t="s">
        <v>88</v>
      </c>
      <c r="CY140" s="196" t="s">
        <v>147</v>
      </c>
      <c r="DA140" s="538"/>
      <c r="DB140" s="363" t="s">
        <v>67</v>
      </c>
      <c r="DC140" s="387">
        <v>0</v>
      </c>
      <c r="DD140" s="387">
        <v>0</v>
      </c>
      <c r="DE140" s="387">
        <v>0</v>
      </c>
      <c r="DF140" s="387">
        <v>0</v>
      </c>
      <c r="DG140" s="387">
        <v>0</v>
      </c>
      <c r="DH140" s="387">
        <v>0</v>
      </c>
      <c r="DI140" s="387">
        <v>0</v>
      </c>
      <c r="DJ140" s="387">
        <v>0</v>
      </c>
      <c r="DK140" s="387">
        <v>0</v>
      </c>
      <c r="DL140" s="387">
        <v>0</v>
      </c>
      <c r="DM140" s="387">
        <v>0</v>
      </c>
      <c r="DN140" s="387">
        <v>0</v>
      </c>
      <c r="DO140" s="387">
        <v>0</v>
      </c>
      <c r="DP140" s="387">
        <v>0</v>
      </c>
      <c r="DQ140" s="387">
        <v>0</v>
      </c>
      <c r="DR140" s="387">
        <v>0</v>
      </c>
      <c r="DS140" s="387">
        <v>0</v>
      </c>
      <c r="DT140" s="387">
        <v>0</v>
      </c>
      <c r="DU140" s="387">
        <v>0</v>
      </c>
      <c r="DV140" s="387">
        <v>0</v>
      </c>
      <c r="DW140" s="387">
        <v>0</v>
      </c>
    </row>
    <row r="141" spans="1:127" ht="14.25" customHeight="1">
      <c r="A141" s="544"/>
      <c r="B141" s="196" t="s">
        <v>69</v>
      </c>
      <c r="C141" s="156">
        <v>0</v>
      </c>
      <c r="D141" s="156">
        <v>0</v>
      </c>
      <c r="E141" s="156">
        <v>0</v>
      </c>
      <c r="F141" s="156">
        <v>0</v>
      </c>
      <c r="G141" s="156">
        <v>0</v>
      </c>
      <c r="H141" s="156">
        <v>0</v>
      </c>
      <c r="I141" s="156">
        <v>0</v>
      </c>
      <c r="J141" s="156">
        <v>0</v>
      </c>
      <c r="K141" s="156">
        <v>0</v>
      </c>
      <c r="L141" s="156">
        <v>0</v>
      </c>
      <c r="M141" s="156">
        <v>0</v>
      </c>
      <c r="N141" s="156">
        <v>0</v>
      </c>
      <c r="O141" s="156">
        <v>0.89750877779635518</v>
      </c>
      <c r="P141" s="156">
        <v>0</v>
      </c>
      <c r="Q141" s="156">
        <v>0</v>
      </c>
      <c r="R141" s="156">
        <v>0</v>
      </c>
      <c r="S141" s="156">
        <v>0</v>
      </c>
      <c r="T141" s="156">
        <v>0</v>
      </c>
      <c r="U141" s="156">
        <v>0</v>
      </c>
      <c r="V141" s="156">
        <v>0</v>
      </c>
      <c r="W141" s="200">
        <v>0</v>
      </c>
      <c r="AA141" s="544"/>
      <c r="AB141" s="196" t="s">
        <v>69</v>
      </c>
      <c r="AC141" s="156">
        <v>0</v>
      </c>
      <c r="AD141" s="156">
        <v>0</v>
      </c>
      <c r="AE141" s="156">
        <v>0</v>
      </c>
      <c r="AF141" s="156">
        <v>0</v>
      </c>
      <c r="AG141" s="156">
        <v>0</v>
      </c>
      <c r="AH141" s="156">
        <v>0</v>
      </c>
      <c r="AI141" s="156">
        <v>0</v>
      </c>
      <c r="AJ141" s="156">
        <v>0</v>
      </c>
      <c r="AK141" s="156">
        <v>0</v>
      </c>
      <c r="AL141" s="156">
        <v>0</v>
      </c>
      <c r="AM141" s="156">
        <v>0</v>
      </c>
      <c r="AN141" s="156">
        <v>0</v>
      </c>
      <c r="AO141" s="156">
        <v>0</v>
      </c>
      <c r="AP141" s="156">
        <v>0</v>
      </c>
      <c r="AQ141" s="156">
        <v>0</v>
      </c>
      <c r="AR141" s="156">
        <v>0</v>
      </c>
      <c r="AS141" s="156">
        <v>0</v>
      </c>
      <c r="AT141" s="156">
        <v>0</v>
      </c>
      <c r="AU141" s="156">
        <v>0</v>
      </c>
      <c r="AV141" s="156">
        <v>0</v>
      </c>
      <c r="AW141" s="200">
        <v>0</v>
      </c>
      <c r="BF141" s="538"/>
      <c r="BG141" s="363" t="s">
        <v>69</v>
      </c>
      <c r="BH141" s="385">
        <v>0</v>
      </c>
      <c r="BI141" s="385">
        <v>0</v>
      </c>
      <c r="BJ141" s="385">
        <v>0</v>
      </c>
      <c r="BK141" s="385">
        <v>0</v>
      </c>
      <c r="BL141" s="385">
        <v>0</v>
      </c>
      <c r="BM141" s="386">
        <v>0</v>
      </c>
      <c r="BN141" s="386">
        <v>0</v>
      </c>
      <c r="BO141" s="386">
        <v>0</v>
      </c>
      <c r="BP141" s="385">
        <v>0</v>
      </c>
      <c r="BQ141" s="385">
        <v>0</v>
      </c>
      <c r="BR141" s="385">
        <v>0</v>
      </c>
      <c r="BS141" s="385">
        <v>0</v>
      </c>
      <c r="BT141" s="385">
        <v>0</v>
      </c>
      <c r="BU141" s="385">
        <v>0</v>
      </c>
      <c r="BV141" s="385">
        <v>0</v>
      </c>
      <c r="BW141" s="385">
        <v>0</v>
      </c>
      <c r="BX141" s="385">
        <v>0</v>
      </c>
      <c r="BY141" s="385">
        <v>0</v>
      </c>
      <c r="BZ141" s="385">
        <v>0</v>
      </c>
      <c r="CA141" s="385">
        <v>0</v>
      </c>
      <c r="CB141" s="385">
        <v>0</v>
      </c>
      <c r="CC141"/>
      <c r="CD141" s="196" t="s">
        <v>139</v>
      </c>
      <c r="CE141">
        <v>1.7153301275627975E-2</v>
      </c>
      <c r="CF141">
        <v>-8.7755490918313139E-3</v>
      </c>
      <c r="CG141">
        <v>2.1820897086612945E-2</v>
      </c>
      <c r="CH141">
        <v>2.1976586799772102E-2</v>
      </c>
      <c r="CI141">
        <v>1.7539638830337045E-2</v>
      </c>
      <c r="CJ141">
        <v>7.1641002759099681E-3</v>
      </c>
      <c r="CK141">
        <v>7.1641002759099681E-3</v>
      </c>
      <c r="CL141">
        <v>7.1641002759099681E-3</v>
      </c>
      <c r="CM141">
        <v>-6.1083040581931813E-3</v>
      </c>
      <c r="CN141">
        <v>7.6097153499299353E-4</v>
      </c>
      <c r="CO141">
        <v>1.7639639624082992E-2</v>
      </c>
      <c r="CP141">
        <v>2.1889919761874044E-2</v>
      </c>
      <c r="CQ141">
        <v>2.7864645322988046E-2</v>
      </c>
      <c r="CR141">
        <v>-1.244344062425462E-4</v>
      </c>
      <c r="CS141">
        <v>-3.1886199392102688E-3</v>
      </c>
      <c r="CT141">
        <v>2.1772887999284896E-2</v>
      </c>
      <c r="CU141">
        <v>6.8014248463499349E-3</v>
      </c>
      <c r="CV141">
        <v>-2.2079646524159835E-2</v>
      </c>
      <c r="CW141">
        <v>4.5866167214438924E-3</v>
      </c>
      <c r="CX141">
        <v>2.5423384983231045E-2</v>
      </c>
      <c r="CY141">
        <v>-1.6753441330139007E-2</v>
      </c>
      <c r="DA141" s="538"/>
      <c r="DB141" s="363" t="s">
        <v>69</v>
      </c>
      <c r="DC141" s="387">
        <v>0</v>
      </c>
      <c r="DD141" s="387">
        <v>0</v>
      </c>
      <c r="DE141" s="387">
        <v>0</v>
      </c>
      <c r="DF141" s="387">
        <v>0</v>
      </c>
      <c r="DG141" s="387">
        <v>0</v>
      </c>
      <c r="DH141" s="387">
        <v>0</v>
      </c>
      <c r="DI141" s="387">
        <v>0</v>
      </c>
      <c r="DJ141" s="387">
        <v>0</v>
      </c>
      <c r="DK141" s="387">
        <v>0</v>
      </c>
      <c r="DL141" s="387">
        <v>0</v>
      </c>
      <c r="DM141" s="387">
        <v>0</v>
      </c>
      <c r="DN141" s="387">
        <v>0</v>
      </c>
      <c r="DO141" s="387">
        <v>0</v>
      </c>
      <c r="DP141" s="387">
        <v>0</v>
      </c>
      <c r="DQ141" s="387">
        <v>0</v>
      </c>
      <c r="DR141" s="387">
        <v>0</v>
      </c>
      <c r="DS141" s="387">
        <v>0</v>
      </c>
      <c r="DT141" s="387">
        <v>0</v>
      </c>
      <c r="DU141" s="387">
        <v>0</v>
      </c>
      <c r="DV141" s="387">
        <v>0</v>
      </c>
      <c r="DW141" s="387">
        <v>0</v>
      </c>
    </row>
    <row r="142" spans="1:127" ht="14.25" customHeight="1">
      <c r="A142" s="544"/>
      <c r="B142" s="196" t="s">
        <v>145</v>
      </c>
      <c r="C142" s="156">
        <v>0</v>
      </c>
      <c r="D142" s="156">
        <v>0</v>
      </c>
      <c r="E142" s="156">
        <v>0</v>
      </c>
      <c r="F142" s="156">
        <v>0</v>
      </c>
      <c r="G142" s="156">
        <v>0</v>
      </c>
      <c r="H142" s="156">
        <v>0</v>
      </c>
      <c r="I142" s="156">
        <v>0</v>
      </c>
      <c r="J142" s="156">
        <v>0</v>
      </c>
      <c r="K142" s="156">
        <v>0</v>
      </c>
      <c r="L142" s="156">
        <v>0</v>
      </c>
      <c r="M142" s="156">
        <v>0</v>
      </c>
      <c r="N142" s="156">
        <v>0</v>
      </c>
      <c r="O142" s="156">
        <v>0</v>
      </c>
      <c r="P142" s="156">
        <v>8.9695287196774401E-2</v>
      </c>
      <c r="Q142" s="156">
        <v>0</v>
      </c>
      <c r="R142" s="156">
        <v>0</v>
      </c>
      <c r="S142" s="156">
        <v>0</v>
      </c>
      <c r="T142" s="156">
        <v>0</v>
      </c>
      <c r="U142" s="156">
        <v>0</v>
      </c>
      <c r="V142" s="156">
        <v>0</v>
      </c>
      <c r="W142" s="200">
        <v>0</v>
      </c>
      <c r="AA142" s="544"/>
      <c r="AB142" s="196" t="s">
        <v>145</v>
      </c>
      <c r="AC142" s="156">
        <v>0</v>
      </c>
      <c r="AD142" s="156">
        <v>0</v>
      </c>
      <c r="AE142" s="156">
        <v>0</v>
      </c>
      <c r="AF142" s="156">
        <v>0</v>
      </c>
      <c r="AG142" s="156">
        <v>0</v>
      </c>
      <c r="AH142" s="156">
        <v>0</v>
      </c>
      <c r="AI142" s="156">
        <v>0</v>
      </c>
      <c r="AJ142" s="156">
        <v>0</v>
      </c>
      <c r="AK142" s="156">
        <v>0</v>
      </c>
      <c r="AL142" s="156">
        <v>0</v>
      </c>
      <c r="AM142" s="156">
        <v>0</v>
      </c>
      <c r="AN142" s="156">
        <v>0</v>
      </c>
      <c r="AO142" s="156">
        <v>0</v>
      </c>
      <c r="AP142" s="156">
        <v>0</v>
      </c>
      <c r="AQ142" s="156">
        <v>0</v>
      </c>
      <c r="AR142" s="156">
        <v>0</v>
      </c>
      <c r="AS142" s="156">
        <v>0</v>
      </c>
      <c r="AT142" s="156">
        <v>0</v>
      </c>
      <c r="AU142" s="156">
        <v>0</v>
      </c>
      <c r="AV142" s="156">
        <v>0</v>
      </c>
      <c r="AW142" s="200">
        <v>0</v>
      </c>
      <c r="BF142" s="538"/>
      <c r="BG142" s="363" t="s">
        <v>145</v>
      </c>
      <c r="BH142" s="385">
        <v>0</v>
      </c>
      <c r="BI142" s="385">
        <v>0</v>
      </c>
      <c r="BJ142" s="385">
        <v>0</v>
      </c>
      <c r="BK142" s="385">
        <v>0</v>
      </c>
      <c r="BL142" s="385">
        <v>0</v>
      </c>
      <c r="BM142" s="386">
        <v>0</v>
      </c>
      <c r="BN142" s="386">
        <v>0</v>
      </c>
      <c r="BO142" s="386">
        <v>0</v>
      </c>
      <c r="BP142" s="385">
        <v>0</v>
      </c>
      <c r="BQ142" s="385">
        <v>0</v>
      </c>
      <c r="BR142" s="385">
        <v>0</v>
      </c>
      <c r="BS142" s="385">
        <v>0</v>
      </c>
      <c r="BT142" s="385">
        <v>0</v>
      </c>
      <c r="BU142" s="385">
        <v>0</v>
      </c>
      <c r="BV142" s="385">
        <v>0</v>
      </c>
      <c r="BW142" s="385">
        <v>0</v>
      </c>
      <c r="BX142" s="385">
        <v>0</v>
      </c>
      <c r="BY142" s="385">
        <v>0</v>
      </c>
      <c r="BZ142" s="385">
        <v>0</v>
      </c>
      <c r="CA142" s="385">
        <v>0</v>
      </c>
      <c r="CB142" s="385">
        <v>0</v>
      </c>
      <c r="CC142"/>
      <c r="CD142" s="196" t="s">
        <v>37</v>
      </c>
      <c r="CE142">
        <v>-3.2183777442140737E-4</v>
      </c>
      <c r="CF142">
        <v>-3.8177818493109195E-2</v>
      </c>
      <c r="CG142">
        <v>1.2966781029815966E-2</v>
      </c>
      <c r="CH142">
        <v>-1.5154213412506556E-2</v>
      </c>
      <c r="CI142">
        <v>1.537330911334811E-2</v>
      </c>
      <c r="CJ142">
        <v>-4.8736164178477481E-2</v>
      </c>
      <c r="CK142">
        <v>-4.8736164178477592E-2</v>
      </c>
      <c r="CL142">
        <v>-4.8736164178477481E-2</v>
      </c>
      <c r="CM142">
        <v>-8.39536928188378E-3</v>
      </c>
      <c r="CN142">
        <v>-1.5802795509875955E-2</v>
      </c>
      <c r="CO142">
        <v>-3.2200259276416454E-2</v>
      </c>
      <c r="CP142">
        <v>1.5232513273907067E-2</v>
      </c>
      <c r="CQ142">
        <v>-1.6622777538708222E-2</v>
      </c>
      <c r="CR142">
        <v>-2.5048160677759168E-2</v>
      </c>
      <c r="CS142">
        <v>-2.9613202712015951E-2</v>
      </c>
      <c r="CT142">
        <v>-8.6419777756113758E-3</v>
      </c>
      <c r="CU142">
        <v>-6.9965404914090756E-3</v>
      </c>
      <c r="CV142">
        <v>-4.0391102637263754E-2</v>
      </c>
      <c r="CW142">
        <v>-7.0737315512372501E-2</v>
      </c>
      <c r="CX142">
        <v>-1.6210365092454992E-2</v>
      </c>
      <c r="CY142">
        <v>-1.6753441330139007E-2</v>
      </c>
      <c r="DA142" s="538"/>
      <c r="DB142" s="363" t="s">
        <v>145</v>
      </c>
      <c r="DC142" s="387">
        <v>0</v>
      </c>
      <c r="DD142" s="387">
        <v>0</v>
      </c>
      <c r="DE142" s="387">
        <v>0</v>
      </c>
      <c r="DF142" s="387">
        <v>0</v>
      </c>
      <c r="DG142" s="387">
        <v>0</v>
      </c>
      <c r="DH142" s="387">
        <v>0</v>
      </c>
      <c r="DI142" s="387">
        <v>0</v>
      </c>
      <c r="DJ142" s="387">
        <v>0</v>
      </c>
      <c r="DK142" s="387">
        <v>0</v>
      </c>
      <c r="DL142" s="387">
        <v>0</v>
      </c>
      <c r="DM142" s="387">
        <v>0</v>
      </c>
      <c r="DN142" s="387">
        <v>0</v>
      </c>
      <c r="DO142" s="387">
        <v>0</v>
      </c>
      <c r="DP142" s="387">
        <v>0</v>
      </c>
      <c r="DQ142" s="387">
        <v>0</v>
      </c>
      <c r="DR142" s="387">
        <v>0</v>
      </c>
      <c r="DS142" s="387">
        <v>0</v>
      </c>
      <c r="DT142" s="387">
        <v>0</v>
      </c>
      <c r="DU142" s="387">
        <v>0</v>
      </c>
      <c r="DV142" s="387">
        <v>0</v>
      </c>
      <c r="DW142" s="387">
        <v>0</v>
      </c>
    </row>
    <row r="143" spans="1:127" ht="14.25" customHeight="1">
      <c r="A143" s="544"/>
      <c r="B143" s="196" t="s">
        <v>73</v>
      </c>
      <c r="C143" s="156">
        <v>0</v>
      </c>
      <c r="D143" s="156">
        <v>0</v>
      </c>
      <c r="E143" s="156">
        <v>0</v>
      </c>
      <c r="F143" s="156">
        <v>0</v>
      </c>
      <c r="G143" s="156">
        <v>0</v>
      </c>
      <c r="H143" s="156">
        <v>0</v>
      </c>
      <c r="I143" s="156">
        <v>0</v>
      </c>
      <c r="J143" s="156">
        <v>0</v>
      </c>
      <c r="K143" s="156">
        <v>0</v>
      </c>
      <c r="L143" s="156">
        <v>0</v>
      </c>
      <c r="M143" s="156">
        <v>0</v>
      </c>
      <c r="N143" s="156">
        <v>0</v>
      </c>
      <c r="O143" s="156">
        <v>0</v>
      </c>
      <c r="P143" s="156">
        <v>0</v>
      </c>
      <c r="Q143" s="156">
        <v>0.97222394830050329</v>
      </c>
      <c r="R143" s="156">
        <v>0</v>
      </c>
      <c r="S143" s="156">
        <v>0</v>
      </c>
      <c r="T143" s="156">
        <v>0</v>
      </c>
      <c r="U143" s="156">
        <v>0</v>
      </c>
      <c r="V143" s="156">
        <v>0</v>
      </c>
      <c r="W143" s="200">
        <v>0</v>
      </c>
      <c r="AA143" s="544"/>
      <c r="AB143" s="196" t="s">
        <v>73</v>
      </c>
      <c r="AC143" s="156">
        <v>0</v>
      </c>
      <c r="AD143" s="156">
        <v>0</v>
      </c>
      <c r="AE143" s="156">
        <v>0</v>
      </c>
      <c r="AF143" s="156">
        <v>0</v>
      </c>
      <c r="AG143" s="156">
        <v>0</v>
      </c>
      <c r="AH143" s="156">
        <v>0</v>
      </c>
      <c r="AI143" s="156">
        <v>0</v>
      </c>
      <c r="AJ143" s="156">
        <v>0</v>
      </c>
      <c r="AK143" s="156">
        <v>0</v>
      </c>
      <c r="AL143" s="156">
        <v>0</v>
      </c>
      <c r="AM143" s="156">
        <v>0</v>
      </c>
      <c r="AN143" s="156">
        <v>0</v>
      </c>
      <c r="AO143" s="156">
        <v>0</v>
      </c>
      <c r="AP143" s="156">
        <v>0</v>
      </c>
      <c r="AQ143" s="156">
        <v>0</v>
      </c>
      <c r="AR143" s="156">
        <v>0</v>
      </c>
      <c r="AS143" s="156">
        <v>0</v>
      </c>
      <c r="AT143" s="156">
        <v>0</v>
      </c>
      <c r="AU143" s="156">
        <v>0</v>
      </c>
      <c r="AV143" s="156">
        <v>0</v>
      </c>
      <c r="AW143" s="200">
        <v>0</v>
      </c>
      <c r="BF143" s="538"/>
      <c r="BG143" s="363" t="s">
        <v>73</v>
      </c>
      <c r="BH143" s="385">
        <v>0</v>
      </c>
      <c r="BI143" s="385">
        <v>0</v>
      </c>
      <c r="BJ143" s="385">
        <v>0</v>
      </c>
      <c r="BK143" s="385">
        <v>0</v>
      </c>
      <c r="BL143" s="385">
        <v>0</v>
      </c>
      <c r="BM143" s="386">
        <v>0</v>
      </c>
      <c r="BN143" s="386">
        <v>0</v>
      </c>
      <c r="BO143" s="386">
        <v>0</v>
      </c>
      <c r="BP143" s="385">
        <v>0</v>
      </c>
      <c r="BQ143" s="385">
        <v>0</v>
      </c>
      <c r="BR143" s="385">
        <v>0</v>
      </c>
      <c r="BS143" s="385">
        <v>0</v>
      </c>
      <c r="BT143" s="385">
        <v>0</v>
      </c>
      <c r="BU143" s="385">
        <v>0</v>
      </c>
      <c r="BV143" s="385">
        <v>0</v>
      </c>
      <c r="BW143" s="385">
        <v>0</v>
      </c>
      <c r="BX143" s="385">
        <v>0</v>
      </c>
      <c r="BY143" s="385">
        <v>0</v>
      </c>
      <c r="BZ143" s="385">
        <v>0</v>
      </c>
      <c r="CA143" s="385">
        <v>0</v>
      </c>
      <c r="CB143" s="385">
        <v>0</v>
      </c>
      <c r="CC143"/>
      <c r="CD143" s="196" t="s">
        <v>140</v>
      </c>
      <c r="CE143">
        <v>2.6381735796034977E-2</v>
      </c>
      <c r="CF143">
        <v>1.375914494085495E-2</v>
      </c>
      <c r="CG143">
        <v>2.979103073501399E-2</v>
      </c>
      <c r="CH143">
        <v>5.2274888774378914E-2</v>
      </c>
      <c r="CI143">
        <v>3.1839855857779931E-2</v>
      </c>
      <c r="CJ143">
        <v>6.076677203789016E-3</v>
      </c>
      <c r="CK143">
        <v>6.076677203789016E-3</v>
      </c>
      <c r="CL143">
        <v>6.076677203789016E-3</v>
      </c>
      <c r="CM143">
        <v>-1.4908421796670623E-2</v>
      </c>
      <c r="CN143">
        <v>2.0639894231837097E-2</v>
      </c>
      <c r="CO143">
        <v>2.1956154917456949E-2</v>
      </c>
      <c r="CP143">
        <v>4.6120507801534982E-2</v>
      </c>
      <c r="CQ143">
        <v>3.0730956499442019E-2</v>
      </c>
      <c r="CR143">
        <v>2.8951007618323032E-2</v>
      </c>
      <c r="CS143">
        <v>1.5517915874279087E-2</v>
      </c>
      <c r="CT143">
        <v>6.3474597224965068E-2</v>
      </c>
      <c r="CU143">
        <v>3.8776714427307901E-2</v>
      </c>
      <c r="CV143">
        <v>-1.6512815228713396E-2</v>
      </c>
      <c r="CW143">
        <v>-2.537736899683507E-3</v>
      </c>
      <c r="CX143">
        <v>7.0141621018237066E-2</v>
      </c>
      <c r="CY143">
        <v>-1.6753441330139007E-2</v>
      </c>
      <c r="DA143" s="538"/>
      <c r="DB143" s="363" t="s">
        <v>73</v>
      </c>
      <c r="DC143" s="387">
        <v>0</v>
      </c>
      <c r="DD143" s="387">
        <v>0</v>
      </c>
      <c r="DE143" s="387">
        <v>0</v>
      </c>
      <c r="DF143" s="387">
        <v>0</v>
      </c>
      <c r="DG143" s="387">
        <v>0</v>
      </c>
      <c r="DH143" s="387">
        <v>0</v>
      </c>
      <c r="DI143" s="387">
        <v>0</v>
      </c>
      <c r="DJ143" s="387">
        <v>0</v>
      </c>
      <c r="DK143" s="387">
        <v>0</v>
      </c>
      <c r="DL143" s="387">
        <v>0</v>
      </c>
      <c r="DM143" s="387">
        <v>0</v>
      </c>
      <c r="DN143" s="387">
        <v>0</v>
      </c>
      <c r="DO143" s="387">
        <v>0</v>
      </c>
      <c r="DP143" s="387">
        <v>0</v>
      </c>
      <c r="DQ143" s="387">
        <v>0</v>
      </c>
      <c r="DR143" s="387">
        <v>0</v>
      </c>
      <c r="DS143" s="387">
        <v>0</v>
      </c>
      <c r="DT143" s="387">
        <v>0</v>
      </c>
      <c r="DU143" s="387">
        <v>0</v>
      </c>
      <c r="DV143" s="387">
        <v>0</v>
      </c>
      <c r="DW143" s="387">
        <v>0</v>
      </c>
    </row>
    <row r="144" spans="1:127" ht="14.25" customHeight="1">
      <c r="A144" s="544"/>
      <c r="B144" s="196" t="s">
        <v>75</v>
      </c>
      <c r="C144" s="156">
        <v>0</v>
      </c>
      <c r="D144" s="156">
        <v>0</v>
      </c>
      <c r="E144" s="156">
        <v>0</v>
      </c>
      <c r="F144" s="156">
        <v>0</v>
      </c>
      <c r="G144" s="156">
        <v>0</v>
      </c>
      <c r="H144" s="156">
        <v>0</v>
      </c>
      <c r="I144" s="156">
        <v>0</v>
      </c>
      <c r="J144" s="156">
        <v>0</v>
      </c>
      <c r="K144" s="156">
        <v>0</v>
      </c>
      <c r="L144" s="156">
        <v>0</v>
      </c>
      <c r="M144" s="156">
        <v>0</v>
      </c>
      <c r="N144" s="156">
        <v>0</v>
      </c>
      <c r="O144" s="156">
        <v>0</v>
      </c>
      <c r="P144" s="156">
        <v>0</v>
      </c>
      <c r="Q144" s="156">
        <v>0</v>
      </c>
      <c r="R144" s="156">
        <v>4.5766590389016018E-3</v>
      </c>
      <c r="S144" s="156">
        <v>0</v>
      </c>
      <c r="T144" s="156">
        <v>0</v>
      </c>
      <c r="U144" s="156">
        <v>0</v>
      </c>
      <c r="V144" s="156">
        <v>0</v>
      </c>
      <c r="W144" s="200">
        <v>0</v>
      </c>
      <c r="AA144" s="544"/>
      <c r="AB144" s="196" t="s">
        <v>75</v>
      </c>
      <c r="AC144" s="156">
        <v>0</v>
      </c>
      <c r="AD144" s="156">
        <v>0</v>
      </c>
      <c r="AE144" s="156">
        <v>0</v>
      </c>
      <c r="AF144" s="156">
        <v>0</v>
      </c>
      <c r="AG144" s="156">
        <v>0</v>
      </c>
      <c r="AH144" s="156">
        <v>0</v>
      </c>
      <c r="AI144" s="156">
        <v>0</v>
      </c>
      <c r="AJ144" s="156">
        <v>0</v>
      </c>
      <c r="AK144" s="156">
        <v>0</v>
      </c>
      <c r="AL144" s="156">
        <v>0</v>
      </c>
      <c r="AM144" s="156">
        <v>0</v>
      </c>
      <c r="AN144" s="156">
        <v>0</v>
      </c>
      <c r="AO144" s="156">
        <v>0</v>
      </c>
      <c r="AP144" s="156">
        <v>0</v>
      </c>
      <c r="AQ144" s="156">
        <v>0</v>
      </c>
      <c r="AR144" s="156">
        <v>0</v>
      </c>
      <c r="AS144" s="156">
        <v>0</v>
      </c>
      <c r="AT144" s="156">
        <v>0</v>
      </c>
      <c r="AU144" s="156">
        <v>0</v>
      </c>
      <c r="AV144" s="156">
        <v>0</v>
      </c>
      <c r="AW144" s="200">
        <v>0</v>
      </c>
      <c r="BF144" s="538"/>
      <c r="BG144" s="363" t="s">
        <v>75</v>
      </c>
      <c r="BH144" s="385">
        <v>0</v>
      </c>
      <c r="BI144" s="385">
        <v>0</v>
      </c>
      <c r="BJ144" s="385">
        <v>0</v>
      </c>
      <c r="BK144" s="385">
        <v>0</v>
      </c>
      <c r="BL144" s="385">
        <v>0</v>
      </c>
      <c r="BM144" s="386">
        <v>0</v>
      </c>
      <c r="BN144" s="386">
        <v>0</v>
      </c>
      <c r="BO144" s="386">
        <v>0</v>
      </c>
      <c r="BP144" s="385">
        <v>0</v>
      </c>
      <c r="BQ144" s="385">
        <v>0</v>
      </c>
      <c r="BR144" s="385">
        <v>0</v>
      </c>
      <c r="BS144" s="385">
        <v>0</v>
      </c>
      <c r="BT144" s="385">
        <v>0</v>
      </c>
      <c r="BU144" s="385">
        <v>0</v>
      </c>
      <c r="BV144" s="385">
        <v>0</v>
      </c>
      <c r="BW144" s="385">
        <v>0</v>
      </c>
      <c r="BX144" s="385">
        <v>0</v>
      </c>
      <c r="BY144" s="385">
        <v>0</v>
      </c>
      <c r="BZ144" s="385">
        <v>0</v>
      </c>
      <c r="CA144" s="385">
        <v>0</v>
      </c>
      <c r="CB144" s="385">
        <v>0</v>
      </c>
      <c r="CC144"/>
      <c r="CD144" s="196" t="s">
        <v>48</v>
      </c>
      <c r="CE144">
        <v>3.6962903190276064E-2</v>
      </c>
      <c r="CF144">
        <v>3.2017895163638954E-2</v>
      </c>
      <c r="CG144">
        <v>4.4187311984920985E-2</v>
      </c>
      <c r="CH144">
        <v>5.3069039595823098E-2</v>
      </c>
      <c r="CI144">
        <v>4.8269958667479962E-2</v>
      </c>
      <c r="CJ144">
        <v>3.1810018639476079E-2</v>
      </c>
      <c r="CK144">
        <v>3.1810018639476079E-2</v>
      </c>
      <c r="CL144">
        <v>3.1810018639476079E-2</v>
      </c>
      <c r="CM144">
        <v>2.2813413221129064E-2</v>
      </c>
      <c r="CN144">
        <v>3.1840740181025895E-2</v>
      </c>
      <c r="CO144">
        <v>-9.1939093157302754E-3</v>
      </c>
      <c r="CP144">
        <v>4.7448751630545072E-2</v>
      </c>
      <c r="CQ144">
        <v>1.7780026119482928E-2</v>
      </c>
      <c r="CR144">
        <v>1.2679465691540104E-2</v>
      </c>
      <c r="CS144">
        <v>4.0867335067609201E-3</v>
      </c>
      <c r="CT144">
        <v>3.0447951496116898E-2</v>
      </c>
      <c r="CU144">
        <v>2.8483435656839085E-2</v>
      </c>
      <c r="CV144">
        <v>-1.9019615819709124E-2</v>
      </c>
      <c r="CW144">
        <v>-1.9910209626861852E-2</v>
      </c>
      <c r="CX144">
        <v>3.570052159840098E-2</v>
      </c>
      <c r="CY144">
        <v>-1.6753441330139007E-2</v>
      </c>
      <c r="DA144" s="538"/>
      <c r="DB144" s="363" t="s">
        <v>75</v>
      </c>
      <c r="DC144" s="387">
        <v>0</v>
      </c>
      <c r="DD144" s="387">
        <v>0</v>
      </c>
      <c r="DE144" s="387">
        <v>0</v>
      </c>
      <c r="DF144" s="387">
        <v>0</v>
      </c>
      <c r="DG144" s="387">
        <v>0</v>
      </c>
      <c r="DH144" s="387">
        <v>0</v>
      </c>
      <c r="DI144" s="387">
        <v>0</v>
      </c>
      <c r="DJ144" s="387">
        <v>0</v>
      </c>
      <c r="DK144" s="387">
        <v>0</v>
      </c>
      <c r="DL144" s="387">
        <v>0</v>
      </c>
      <c r="DM144" s="387">
        <v>0</v>
      </c>
      <c r="DN144" s="387">
        <v>0</v>
      </c>
      <c r="DO144" s="387">
        <v>0</v>
      </c>
      <c r="DP144" s="387">
        <v>0</v>
      </c>
      <c r="DQ144" s="387">
        <v>0</v>
      </c>
      <c r="DR144" s="387">
        <v>0</v>
      </c>
      <c r="DS144" s="387">
        <v>0</v>
      </c>
      <c r="DT144" s="387">
        <v>0</v>
      </c>
      <c r="DU144" s="387">
        <v>0</v>
      </c>
      <c r="DV144" s="387">
        <v>0</v>
      </c>
      <c r="DW144" s="387">
        <v>0</v>
      </c>
    </row>
    <row r="145" spans="1:127" ht="14.25" customHeight="1">
      <c r="A145" s="544"/>
      <c r="B145" s="196" t="s">
        <v>146</v>
      </c>
      <c r="C145" s="156">
        <v>0</v>
      </c>
      <c r="D145" s="156">
        <v>0</v>
      </c>
      <c r="E145" s="156">
        <v>0</v>
      </c>
      <c r="F145" s="156">
        <v>0</v>
      </c>
      <c r="G145" s="156">
        <v>0</v>
      </c>
      <c r="H145" s="156">
        <v>0</v>
      </c>
      <c r="I145" s="156">
        <v>0</v>
      </c>
      <c r="J145" s="156">
        <v>0</v>
      </c>
      <c r="K145" s="156">
        <v>0</v>
      </c>
      <c r="L145" s="156">
        <v>0</v>
      </c>
      <c r="M145" s="156">
        <v>0</v>
      </c>
      <c r="N145" s="156">
        <v>0</v>
      </c>
      <c r="O145" s="156">
        <v>0</v>
      </c>
      <c r="P145" s="156">
        <v>0</v>
      </c>
      <c r="Q145" s="156">
        <v>0</v>
      </c>
      <c r="R145" s="156">
        <v>0</v>
      </c>
      <c r="S145" s="156">
        <v>6.6104368099842284E-2</v>
      </c>
      <c r="T145" s="156">
        <v>0</v>
      </c>
      <c r="U145" s="156">
        <v>0</v>
      </c>
      <c r="V145" s="156">
        <v>0</v>
      </c>
      <c r="W145" s="200">
        <v>0</v>
      </c>
      <c r="AA145" s="544"/>
      <c r="AB145" s="196" t="s">
        <v>146</v>
      </c>
      <c r="AC145" s="156">
        <v>0</v>
      </c>
      <c r="AD145" s="156">
        <v>0</v>
      </c>
      <c r="AE145" s="156">
        <v>0</v>
      </c>
      <c r="AF145" s="156">
        <v>0</v>
      </c>
      <c r="AG145" s="156">
        <v>0</v>
      </c>
      <c r="AH145" s="156">
        <v>0</v>
      </c>
      <c r="AI145" s="156">
        <v>0</v>
      </c>
      <c r="AJ145" s="156">
        <v>0</v>
      </c>
      <c r="AK145" s="156">
        <v>0</v>
      </c>
      <c r="AL145" s="156">
        <v>0</v>
      </c>
      <c r="AM145" s="156">
        <v>0</v>
      </c>
      <c r="AN145" s="156">
        <v>0</v>
      </c>
      <c r="AO145" s="156">
        <v>0</v>
      </c>
      <c r="AP145" s="156">
        <v>0</v>
      </c>
      <c r="AQ145" s="156">
        <v>0</v>
      </c>
      <c r="AR145" s="156">
        <v>0</v>
      </c>
      <c r="AS145" s="156">
        <v>0</v>
      </c>
      <c r="AT145" s="156">
        <v>0</v>
      </c>
      <c r="AU145" s="156">
        <v>0</v>
      </c>
      <c r="AV145" s="156">
        <v>0</v>
      </c>
      <c r="AW145" s="200">
        <v>0</v>
      </c>
      <c r="BF145" s="538"/>
      <c r="BG145" s="363" t="s">
        <v>146</v>
      </c>
      <c r="BH145" s="385">
        <v>0</v>
      </c>
      <c r="BI145" s="385">
        <v>0</v>
      </c>
      <c r="BJ145" s="385">
        <v>0</v>
      </c>
      <c r="BK145" s="385">
        <v>0</v>
      </c>
      <c r="BL145" s="385">
        <v>0</v>
      </c>
      <c r="BM145" s="386">
        <v>0</v>
      </c>
      <c r="BN145" s="386">
        <v>0</v>
      </c>
      <c r="BO145" s="386">
        <v>0</v>
      </c>
      <c r="BP145" s="385">
        <v>0</v>
      </c>
      <c r="BQ145" s="385">
        <v>0</v>
      </c>
      <c r="BR145" s="385">
        <v>0</v>
      </c>
      <c r="BS145" s="385">
        <v>0</v>
      </c>
      <c r="BT145" s="385">
        <v>0</v>
      </c>
      <c r="BU145" s="385">
        <v>0</v>
      </c>
      <c r="BV145" s="385">
        <v>0</v>
      </c>
      <c r="BW145" s="385">
        <v>0</v>
      </c>
      <c r="BX145" s="385">
        <v>0</v>
      </c>
      <c r="BY145" s="385">
        <v>0</v>
      </c>
      <c r="BZ145" s="385">
        <v>0</v>
      </c>
      <c r="CA145" s="385">
        <v>0</v>
      </c>
      <c r="CB145" s="385">
        <v>0</v>
      </c>
      <c r="CC145"/>
      <c r="CD145" s="196" t="s">
        <v>141</v>
      </c>
      <c r="CE145">
        <v>5.1524015574855975E-2</v>
      </c>
      <c r="CF145">
        <v>6.6108723753498078E-2</v>
      </c>
      <c r="CG145">
        <v>7.3102363211374977E-2</v>
      </c>
      <c r="CH145">
        <v>5.2585721021936926E-2</v>
      </c>
      <c r="CI145">
        <v>4.6711308248519989E-2</v>
      </c>
      <c r="CJ145">
        <v>5.0329260736956982E-2</v>
      </c>
      <c r="CK145">
        <v>5.0329260736956982E-2</v>
      </c>
      <c r="CL145">
        <v>5.0329260736956982E-2</v>
      </c>
      <c r="CM145">
        <v>8.9426951503051022E-3</v>
      </c>
      <c r="CN145">
        <v>9.3985550057648082E-2</v>
      </c>
      <c r="CO145">
        <v>3.1337685445220087E-2</v>
      </c>
      <c r="CP145">
        <v>5.8619904218232932E-2</v>
      </c>
      <c r="CQ145">
        <v>6.4645159831330901E-2</v>
      </c>
      <c r="CR145">
        <v>7.6366847578108965E-2</v>
      </c>
      <c r="CS145">
        <v>6.1048401683241105E-2</v>
      </c>
      <c r="CT145">
        <v>0.13700623053231498</v>
      </c>
      <c r="CU145">
        <v>8.2913562817249042E-2</v>
      </c>
      <c r="CV145">
        <v>-2.2969226002551579E-2</v>
      </c>
      <c r="CW145">
        <v>2.2270528165073022E-2</v>
      </c>
      <c r="CX145">
        <v>7.3042147029916071E-2</v>
      </c>
      <c r="CY145">
        <v>-1.6753441330139007E-2</v>
      </c>
      <c r="DA145" s="538"/>
      <c r="DB145" s="363" t="s">
        <v>146</v>
      </c>
      <c r="DC145" s="387">
        <v>0</v>
      </c>
      <c r="DD145" s="387">
        <v>0</v>
      </c>
      <c r="DE145" s="387">
        <v>0</v>
      </c>
      <c r="DF145" s="387">
        <v>0</v>
      </c>
      <c r="DG145" s="387">
        <v>0</v>
      </c>
      <c r="DH145" s="387">
        <v>0</v>
      </c>
      <c r="DI145" s="387">
        <v>0</v>
      </c>
      <c r="DJ145" s="387">
        <v>0</v>
      </c>
      <c r="DK145" s="387">
        <v>0</v>
      </c>
      <c r="DL145" s="387">
        <v>0</v>
      </c>
      <c r="DM145" s="387">
        <v>0</v>
      </c>
      <c r="DN145" s="387">
        <v>0</v>
      </c>
      <c r="DO145" s="387">
        <v>0</v>
      </c>
      <c r="DP145" s="387">
        <v>0</v>
      </c>
      <c r="DQ145" s="387">
        <v>0</v>
      </c>
      <c r="DR145" s="387">
        <v>0</v>
      </c>
      <c r="DS145" s="387">
        <v>0</v>
      </c>
      <c r="DT145" s="387">
        <v>0</v>
      </c>
      <c r="DU145" s="387">
        <v>0</v>
      </c>
      <c r="DV145" s="387">
        <v>0</v>
      </c>
      <c r="DW145" s="387">
        <v>0</v>
      </c>
    </row>
    <row r="146" spans="1:127" ht="14.25" customHeight="1">
      <c r="A146" s="544"/>
      <c r="B146" s="196" t="s">
        <v>83</v>
      </c>
      <c r="C146" s="156">
        <v>0</v>
      </c>
      <c r="D146" s="156">
        <v>0</v>
      </c>
      <c r="E146" s="156">
        <v>0</v>
      </c>
      <c r="F146" s="156">
        <v>0</v>
      </c>
      <c r="G146" s="156">
        <v>0</v>
      </c>
      <c r="H146" s="156">
        <v>0</v>
      </c>
      <c r="I146" s="156">
        <v>0</v>
      </c>
      <c r="J146" s="156">
        <v>0</v>
      </c>
      <c r="K146" s="156">
        <v>0</v>
      </c>
      <c r="L146" s="156">
        <v>0</v>
      </c>
      <c r="M146" s="156">
        <v>0</v>
      </c>
      <c r="N146" s="156">
        <v>0</v>
      </c>
      <c r="O146" s="156">
        <v>0</v>
      </c>
      <c r="P146" s="156">
        <v>0</v>
      </c>
      <c r="Q146" s="156">
        <v>0</v>
      </c>
      <c r="R146" s="156">
        <v>0</v>
      </c>
      <c r="S146" s="156">
        <v>0</v>
      </c>
      <c r="T146" s="156">
        <v>0</v>
      </c>
      <c r="U146" s="156">
        <v>0</v>
      </c>
      <c r="V146" s="156">
        <v>0</v>
      </c>
      <c r="W146" s="200">
        <v>0</v>
      </c>
      <c r="AA146" s="544"/>
      <c r="AB146" s="196" t="s">
        <v>83</v>
      </c>
      <c r="AC146" s="156">
        <v>0</v>
      </c>
      <c r="AD146" s="156">
        <v>0</v>
      </c>
      <c r="AE146" s="156">
        <v>0</v>
      </c>
      <c r="AF146" s="156">
        <v>0</v>
      </c>
      <c r="AG146" s="156">
        <v>0</v>
      </c>
      <c r="AH146" s="156">
        <v>0</v>
      </c>
      <c r="AI146" s="156">
        <v>0</v>
      </c>
      <c r="AJ146" s="156">
        <v>0</v>
      </c>
      <c r="AK146" s="156">
        <v>0</v>
      </c>
      <c r="AL146" s="156">
        <v>0</v>
      </c>
      <c r="AM146" s="156">
        <v>0</v>
      </c>
      <c r="AN146" s="156">
        <v>0</v>
      </c>
      <c r="AO146" s="156">
        <v>0</v>
      </c>
      <c r="AP146" s="156">
        <v>0</v>
      </c>
      <c r="AQ146" s="156">
        <v>0</v>
      </c>
      <c r="AR146" s="156">
        <v>0</v>
      </c>
      <c r="AS146" s="156">
        <v>0</v>
      </c>
      <c r="AT146" s="156">
        <v>0</v>
      </c>
      <c r="AU146" s="156">
        <v>0</v>
      </c>
      <c r="AV146" s="156">
        <v>0</v>
      </c>
      <c r="AW146" s="200">
        <v>0</v>
      </c>
      <c r="BF146" s="538"/>
      <c r="BG146" s="363" t="s">
        <v>83</v>
      </c>
      <c r="BH146" s="385">
        <v>0</v>
      </c>
      <c r="BI146" s="385">
        <v>0</v>
      </c>
      <c r="BJ146" s="385">
        <v>0</v>
      </c>
      <c r="BK146" s="385">
        <v>0</v>
      </c>
      <c r="BL146" s="385">
        <v>0</v>
      </c>
      <c r="BM146" s="386">
        <v>0</v>
      </c>
      <c r="BN146" s="386">
        <v>0</v>
      </c>
      <c r="BO146" s="386">
        <v>0</v>
      </c>
      <c r="BP146" s="385">
        <v>0</v>
      </c>
      <c r="BQ146" s="385">
        <v>0</v>
      </c>
      <c r="BR146" s="385">
        <v>0</v>
      </c>
      <c r="BS146" s="385">
        <v>0</v>
      </c>
      <c r="BT146" s="385">
        <v>0</v>
      </c>
      <c r="BU146" s="385">
        <v>0</v>
      </c>
      <c r="BV146" s="385">
        <v>0</v>
      </c>
      <c r="BW146" s="385">
        <v>0</v>
      </c>
      <c r="BX146" s="385">
        <v>0</v>
      </c>
      <c r="BY146" s="385">
        <v>0</v>
      </c>
      <c r="BZ146" s="385">
        <v>0</v>
      </c>
      <c r="CA146" s="385">
        <v>0</v>
      </c>
      <c r="CB146" s="385">
        <v>0</v>
      </c>
      <c r="CC146"/>
      <c r="CD146" s="196" t="s">
        <v>142</v>
      </c>
      <c r="CE146">
        <v>4.8920035896508951E-2</v>
      </c>
      <c r="CF146">
        <v>2.2774371610915001E-2</v>
      </c>
      <c r="CG146">
        <v>4.7733999526968107E-2</v>
      </c>
      <c r="CH146">
        <v>4.5177275605920109E-2</v>
      </c>
      <c r="CI146">
        <v>4.8031248507484081E-2</v>
      </c>
      <c r="CJ146">
        <v>5.9159724357082943E-2</v>
      </c>
      <c r="CK146">
        <v>5.9159724357082943E-2</v>
      </c>
      <c r="CL146">
        <v>5.9159724357082943E-2</v>
      </c>
      <c r="CM146">
        <v>1.8929409030346012E-2</v>
      </c>
      <c r="CN146">
        <v>3.3180782280904042E-2</v>
      </c>
      <c r="CO146">
        <v>2.6251242165354016E-2</v>
      </c>
      <c r="CP146">
        <v>6.1143252183901042E-2</v>
      </c>
      <c r="CQ146">
        <v>3.8355025660826936E-2</v>
      </c>
      <c r="CR146">
        <v>3.2006545943136899E-2</v>
      </c>
      <c r="CS146">
        <v>1.8517794276116106E-2</v>
      </c>
      <c r="CT146">
        <v>4.5037200535938959E-2</v>
      </c>
      <c r="CU146">
        <v>3.8377136713751092E-2</v>
      </c>
      <c r="CV146">
        <v>1.1599144162518948E-2</v>
      </c>
      <c r="CW146">
        <v>-2.1671104429774601E-3</v>
      </c>
      <c r="CX146">
        <v>4.4599804329181092E-2</v>
      </c>
      <c r="CY146">
        <v>-1.6753441330139007E-2</v>
      </c>
      <c r="DA146" s="538"/>
      <c r="DB146" s="363" t="s">
        <v>83</v>
      </c>
      <c r="DC146" s="387">
        <v>0</v>
      </c>
      <c r="DD146" s="387">
        <v>0</v>
      </c>
      <c r="DE146" s="387">
        <v>0</v>
      </c>
      <c r="DF146" s="387">
        <v>0</v>
      </c>
      <c r="DG146" s="387">
        <v>0</v>
      </c>
      <c r="DH146" s="387">
        <v>0</v>
      </c>
      <c r="DI146" s="387">
        <v>0</v>
      </c>
      <c r="DJ146" s="387">
        <v>0</v>
      </c>
      <c r="DK146" s="387">
        <v>0</v>
      </c>
      <c r="DL146" s="387">
        <v>0</v>
      </c>
      <c r="DM146" s="387">
        <v>0</v>
      </c>
      <c r="DN146" s="387">
        <v>0</v>
      </c>
      <c r="DO146" s="387">
        <v>0</v>
      </c>
      <c r="DP146" s="387">
        <v>0</v>
      </c>
      <c r="DQ146" s="387">
        <v>0</v>
      </c>
      <c r="DR146" s="387">
        <v>0</v>
      </c>
      <c r="DS146" s="387">
        <v>0</v>
      </c>
      <c r="DT146" s="387">
        <v>0</v>
      </c>
      <c r="DU146" s="387">
        <v>0</v>
      </c>
      <c r="DV146" s="387">
        <v>0</v>
      </c>
      <c r="DW146" s="387">
        <v>0</v>
      </c>
    </row>
    <row r="147" spans="1:127" ht="14.25" customHeight="1">
      <c r="A147" s="544"/>
      <c r="B147" s="196" t="s">
        <v>85</v>
      </c>
      <c r="C147" s="156">
        <v>0</v>
      </c>
      <c r="D147" s="156">
        <v>0</v>
      </c>
      <c r="E147" s="156">
        <v>0</v>
      </c>
      <c r="F147" s="156">
        <v>0</v>
      </c>
      <c r="G147" s="156">
        <v>0</v>
      </c>
      <c r="H147" s="156">
        <v>0</v>
      </c>
      <c r="I147" s="156">
        <v>0</v>
      </c>
      <c r="J147" s="156">
        <v>0</v>
      </c>
      <c r="K147" s="156">
        <v>0</v>
      </c>
      <c r="L147" s="156">
        <v>0</v>
      </c>
      <c r="M147" s="156">
        <v>0</v>
      </c>
      <c r="N147" s="156">
        <v>0</v>
      </c>
      <c r="O147" s="156">
        <v>0</v>
      </c>
      <c r="P147" s="156">
        <v>0</v>
      </c>
      <c r="Q147" s="156">
        <v>0</v>
      </c>
      <c r="R147" s="156">
        <v>0</v>
      </c>
      <c r="S147" s="156">
        <v>0</v>
      </c>
      <c r="T147" s="156">
        <v>0</v>
      </c>
      <c r="U147" s="156">
        <v>0</v>
      </c>
      <c r="V147" s="156">
        <v>0</v>
      </c>
      <c r="W147" s="200">
        <v>0</v>
      </c>
      <c r="AA147" s="544"/>
      <c r="AB147" s="196" t="s">
        <v>85</v>
      </c>
      <c r="AC147" s="156">
        <v>0</v>
      </c>
      <c r="AD147" s="156">
        <v>0</v>
      </c>
      <c r="AE147" s="156">
        <v>0</v>
      </c>
      <c r="AF147" s="156">
        <v>0</v>
      </c>
      <c r="AG147" s="156">
        <v>0</v>
      </c>
      <c r="AH147" s="156">
        <v>0</v>
      </c>
      <c r="AI147" s="156">
        <v>0</v>
      </c>
      <c r="AJ147" s="156">
        <v>0</v>
      </c>
      <c r="AK147" s="156">
        <v>0</v>
      </c>
      <c r="AL147" s="156">
        <v>0</v>
      </c>
      <c r="AM147" s="156">
        <v>0</v>
      </c>
      <c r="AN147" s="156">
        <v>0</v>
      </c>
      <c r="AO147" s="156">
        <v>0</v>
      </c>
      <c r="AP147" s="156">
        <v>0</v>
      </c>
      <c r="AQ147" s="156">
        <v>0</v>
      </c>
      <c r="AR147" s="156">
        <v>0</v>
      </c>
      <c r="AS147" s="156">
        <v>0</v>
      </c>
      <c r="AT147" s="156">
        <v>0</v>
      </c>
      <c r="AU147" s="156">
        <v>0</v>
      </c>
      <c r="AV147" s="156">
        <v>0</v>
      </c>
      <c r="AW147" s="200">
        <v>0</v>
      </c>
      <c r="BF147" s="538"/>
      <c r="BG147" s="363" t="s">
        <v>85</v>
      </c>
      <c r="BH147" s="385">
        <v>0</v>
      </c>
      <c r="BI147" s="385">
        <v>0</v>
      </c>
      <c r="BJ147" s="385">
        <v>0</v>
      </c>
      <c r="BK147" s="385">
        <v>0</v>
      </c>
      <c r="BL147" s="385">
        <v>0</v>
      </c>
      <c r="BM147" s="386">
        <v>0</v>
      </c>
      <c r="BN147" s="386">
        <v>0</v>
      </c>
      <c r="BO147" s="386">
        <v>0</v>
      </c>
      <c r="BP147" s="385">
        <v>0</v>
      </c>
      <c r="BQ147" s="385">
        <v>0</v>
      </c>
      <c r="BR147" s="385">
        <v>0</v>
      </c>
      <c r="BS147" s="385">
        <v>0</v>
      </c>
      <c r="BT147" s="385">
        <v>0</v>
      </c>
      <c r="BU147" s="385">
        <v>0</v>
      </c>
      <c r="BV147" s="385">
        <v>0</v>
      </c>
      <c r="BW147" s="385">
        <v>0</v>
      </c>
      <c r="BX147" s="385">
        <v>0</v>
      </c>
      <c r="BY147" s="385">
        <v>0</v>
      </c>
      <c r="BZ147" s="385">
        <v>0</v>
      </c>
      <c r="CA147" s="385">
        <v>0</v>
      </c>
      <c r="CB147" s="385">
        <v>0</v>
      </c>
      <c r="CC147"/>
      <c r="CD147" s="196" t="s">
        <v>143</v>
      </c>
      <c r="CE147">
        <v>4.8920035896508951E-2</v>
      </c>
      <c r="CF147">
        <v>2.2774371610915001E-2</v>
      </c>
      <c r="CG147">
        <v>4.7733999526968107E-2</v>
      </c>
      <c r="CH147">
        <v>4.5177275605920109E-2</v>
      </c>
      <c r="CI147">
        <v>4.8031248507484081E-2</v>
      </c>
      <c r="CJ147">
        <v>5.9159724357082943E-2</v>
      </c>
      <c r="CK147">
        <v>5.9159724357082943E-2</v>
      </c>
      <c r="CL147">
        <v>5.9159724357082943E-2</v>
      </c>
      <c r="CM147">
        <v>1.8929409030344901E-2</v>
      </c>
      <c r="CN147">
        <v>3.3180782280904042E-2</v>
      </c>
      <c r="CO147">
        <v>2.6251242165354016E-2</v>
      </c>
      <c r="CP147">
        <v>6.1143252183901042E-2</v>
      </c>
      <c r="CQ147">
        <v>3.8355025660826936E-2</v>
      </c>
      <c r="CR147">
        <v>3.2006545943136899E-2</v>
      </c>
      <c r="CS147">
        <v>1.8517794276116106E-2</v>
      </c>
      <c r="CT147">
        <v>4.5037200535938959E-2</v>
      </c>
      <c r="CU147">
        <v>3.8377136713751092E-2</v>
      </c>
      <c r="CV147">
        <v>1.1599144162520059E-2</v>
      </c>
      <c r="CW147">
        <v>-2.1671104429774601E-3</v>
      </c>
      <c r="CX147">
        <v>4.4599804329181092E-2</v>
      </c>
      <c r="CY147">
        <v>-1.6753441330139007E-2</v>
      </c>
      <c r="DA147" s="538"/>
      <c r="DB147" s="363" t="s">
        <v>85</v>
      </c>
      <c r="DC147" s="387">
        <v>0</v>
      </c>
      <c r="DD147" s="387">
        <v>0</v>
      </c>
      <c r="DE147" s="387">
        <v>0</v>
      </c>
      <c r="DF147" s="387">
        <v>0</v>
      </c>
      <c r="DG147" s="387">
        <v>0</v>
      </c>
      <c r="DH147" s="387">
        <v>0</v>
      </c>
      <c r="DI147" s="387">
        <v>0</v>
      </c>
      <c r="DJ147" s="387">
        <v>0</v>
      </c>
      <c r="DK147" s="387">
        <v>0</v>
      </c>
      <c r="DL147" s="387">
        <v>0</v>
      </c>
      <c r="DM147" s="387">
        <v>0</v>
      </c>
      <c r="DN147" s="387">
        <v>0</v>
      </c>
      <c r="DO147" s="387">
        <v>0</v>
      </c>
      <c r="DP147" s="387">
        <v>0</v>
      </c>
      <c r="DQ147" s="387">
        <v>0</v>
      </c>
      <c r="DR147" s="387">
        <v>0</v>
      </c>
      <c r="DS147" s="387">
        <v>0</v>
      </c>
      <c r="DT147" s="387">
        <v>0</v>
      </c>
      <c r="DU147" s="387">
        <v>0</v>
      </c>
      <c r="DV147" s="387">
        <v>0</v>
      </c>
      <c r="DW147" s="387">
        <v>0</v>
      </c>
    </row>
    <row r="148" spans="1:127" ht="14.25" customHeight="1">
      <c r="A148" s="544"/>
      <c r="B148" s="196" t="s">
        <v>88</v>
      </c>
      <c r="C148" s="156">
        <v>0</v>
      </c>
      <c r="D148" s="156">
        <v>0</v>
      </c>
      <c r="E148" s="156">
        <v>0</v>
      </c>
      <c r="F148" s="156">
        <v>0</v>
      </c>
      <c r="G148" s="156">
        <v>0</v>
      </c>
      <c r="H148" s="156">
        <v>0</v>
      </c>
      <c r="I148" s="156">
        <v>0</v>
      </c>
      <c r="J148" s="156">
        <v>0</v>
      </c>
      <c r="K148" s="156">
        <v>0</v>
      </c>
      <c r="L148" s="156">
        <v>0</v>
      </c>
      <c r="M148" s="156">
        <v>0</v>
      </c>
      <c r="N148" s="156">
        <v>0</v>
      </c>
      <c r="O148" s="156">
        <v>0</v>
      </c>
      <c r="P148" s="156">
        <v>0</v>
      </c>
      <c r="Q148" s="156">
        <v>0</v>
      </c>
      <c r="R148" s="156">
        <v>0</v>
      </c>
      <c r="S148" s="156">
        <v>0</v>
      </c>
      <c r="T148" s="156">
        <v>0</v>
      </c>
      <c r="U148" s="156">
        <v>0</v>
      </c>
      <c r="V148" s="156">
        <v>0.14440568153501121</v>
      </c>
      <c r="W148" s="200">
        <v>0</v>
      </c>
      <c r="AA148" s="544"/>
      <c r="AB148" s="196" t="s">
        <v>88</v>
      </c>
      <c r="AC148" s="156">
        <v>0</v>
      </c>
      <c r="AD148" s="156">
        <v>0</v>
      </c>
      <c r="AE148" s="156">
        <v>0</v>
      </c>
      <c r="AF148" s="156">
        <v>0</v>
      </c>
      <c r="AG148" s="156">
        <v>0</v>
      </c>
      <c r="AH148" s="156">
        <v>0</v>
      </c>
      <c r="AI148" s="156">
        <v>0</v>
      </c>
      <c r="AJ148" s="156">
        <v>0</v>
      </c>
      <c r="AK148" s="156">
        <v>0</v>
      </c>
      <c r="AL148" s="156">
        <v>0</v>
      </c>
      <c r="AM148" s="156">
        <v>0</v>
      </c>
      <c r="AN148" s="156">
        <v>0</v>
      </c>
      <c r="AO148" s="156">
        <v>0</v>
      </c>
      <c r="AP148" s="156">
        <v>0</v>
      </c>
      <c r="AQ148" s="156">
        <v>0</v>
      </c>
      <c r="AR148" s="156">
        <v>0</v>
      </c>
      <c r="AS148" s="156">
        <v>0</v>
      </c>
      <c r="AT148" s="156">
        <v>0</v>
      </c>
      <c r="AU148" s="156">
        <v>0</v>
      </c>
      <c r="AV148" s="156">
        <v>0</v>
      </c>
      <c r="AW148" s="200">
        <v>0</v>
      </c>
      <c r="BF148" s="538"/>
      <c r="BG148" s="363" t="s">
        <v>88</v>
      </c>
      <c r="BH148" s="385">
        <v>0</v>
      </c>
      <c r="BI148" s="385">
        <v>0</v>
      </c>
      <c r="BJ148" s="385">
        <v>0</v>
      </c>
      <c r="BK148" s="385">
        <v>0</v>
      </c>
      <c r="BL148" s="385">
        <v>0</v>
      </c>
      <c r="BM148" s="386">
        <v>0</v>
      </c>
      <c r="BN148" s="386">
        <v>0</v>
      </c>
      <c r="BO148" s="386">
        <v>0</v>
      </c>
      <c r="BP148" s="385">
        <v>0</v>
      </c>
      <c r="BQ148" s="385">
        <v>0</v>
      </c>
      <c r="BR148" s="385">
        <v>0</v>
      </c>
      <c r="BS148" s="385">
        <v>0</v>
      </c>
      <c r="BT148" s="385">
        <v>0</v>
      </c>
      <c r="BU148" s="385">
        <v>0</v>
      </c>
      <c r="BV148" s="385">
        <v>0</v>
      </c>
      <c r="BW148" s="385">
        <v>0</v>
      </c>
      <c r="BX148" s="385">
        <v>0</v>
      </c>
      <c r="BY148" s="385">
        <v>0</v>
      </c>
      <c r="BZ148" s="385">
        <v>0</v>
      </c>
      <c r="CA148" s="385">
        <v>0</v>
      </c>
      <c r="CB148" s="385">
        <v>0</v>
      </c>
      <c r="CC148"/>
      <c r="CD148" s="196" t="s">
        <v>144</v>
      </c>
      <c r="CE148">
        <v>4.8920035896508951E-2</v>
      </c>
      <c r="CF148">
        <v>2.2774371610915001E-2</v>
      </c>
      <c r="CG148">
        <v>4.7733999526968107E-2</v>
      </c>
      <c r="CH148">
        <v>4.5177275605920109E-2</v>
      </c>
      <c r="CI148">
        <v>4.8031248507484081E-2</v>
      </c>
      <c r="CJ148">
        <v>5.9159724357082943E-2</v>
      </c>
      <c r="CK148">
        <v>5.9159724357082943E-2</v>
      </c>
      <c r="CL148">
        <v>5.9159724357082943E-2</v>
      </c>
      <c r="CM148">
        <v>1.8929409030344901E-2</v>
      </c>
      <c r="CN148">
        <v>3.3180782280904042E-2</v>
      </c>
      <c r="CO148">
        <v>2.6251242165354016E-2</v>
      </c>
      <c r="CP148">
        <v>6.1143252183901042E-2</v>
      </c>
      <c r="CQ148">
        <v>3.8355025660826936E-2</v>
      </c>
      <c r="CR148">
        <v>3.2006545943136899E-2</v>
      </c>
      <c r="CS148">
        <v>1.8517794276116106E-2</v>
      </c>
      <c r="CT148">
        <v>4.5037200535938959E-2</v>
      </c>
      <c r="CU148">
        <v>3.8377136713751092E-2</v>
      </c>
      <c r="CV148">
        <v>1.1599144162518948E-2</v>
      </c>
      <c r="CW148">
        <v>-2.1671104429774601E-3</v>
      </c>
      <c r="CX148">
        <v>4.4599804329181092E-2</v>
      </c>
      <c r="CY148">
        <v>-1.6753441330139007E-2</v>
      </c>
      <c r="DA148" s="538"/>
      <c r="DB148" s="363" t="s">
        <v>88</v>
      </c>
      <c r="DC148" s="387">
        <v>0</v>
      </c>
      <c r="DD148" s="387">
        <v>0</v>
      </c>
      <c r="DE148" s="387">
        <v>0</v>
      </c>
      <c r="DF148" s="387">
        <v>0</v>
      </c>
      <c r="DG148" s="387">
        <v>0</v>
      </c>
      <c r="DH148" s="387">
        <v>0</v>
      </c>
      <c r="DI148" s="387">
        <v>0</v>
      </c>
      <c r="DJ148" s="387">
        <v>0</v>
      </c>
      <c r="DK148" s="387">
        <v>0</v>
      </c>
      <c r="DL148" s="387">
        <v>0</v>
      </c>
      <c r="DM148" s="387">
        <v>0</v>
      </c>
      <c r="DN148" s="387">
        <v>0</v>
      </c>
      <c r="DO148" s="387">
        <v>0</v>
      </c>
      <c r="DP148" s="387">
        <v>0</v>
      </c>
      <c r="DQ148" s="387">
        <v>0</v>
      </c>
      <c r="DR148" s="387">
        <v>0</v>
      </c>
      <c r="DS148" s="387">
        <v>0</v>
      </c>
      <c r="DT148" s="387">
        <v>0</v>
      </c>
      <c r="DU148" s="387">
        <v>0</v>
      </c>
      <c r="DV148" s="387">
        <v>0</v>
      </c>
      <c r="DW148" s="387">
        <v>0</v>
      </c>
    </row>
    <row r="149" spans="1:127" ht="14.25" customHeight="1" thickBot="1">
      <c r="A149" s="546"/>
      <c r="B149" s="220" t="s">
        <v>147</v>
      </c>
      <c r="C149" s="202">
        <v>0</v>
      </c>
      <c r="D149" s="202">
        <v>0</v>
      </c>
      <c r="E149" s="202">
        <v>0</v>
      </c>
      <c r="F149" s="202">
        <v>0</v>
      </c>
      <c r="G149" s="202">
        <v>0</v>
      </c>
      <c r="H149" s="202">
        <v>0</v>
      </c>
      <c r="I149" s="202">
        <v>0</v>
      </c>
      <c r="J149" s="202">
        <v>0</v>
      </c>
      <c r="K149" s="202">
        <v>0</v>
      </c>
      <c r="L149" s="202">
        <v>0</v>
      </c>
      <c r="M149" s="202">
        <v>0</v>
      </c>
      <c r="N149" s="202">
        <v>0</v>
      </c>
      <c r="O149" s="202">
        <v>0</v>
      </c>
      <c r="P149" s="202">
        <v>0</v>
      </c>
      <c r="Q149" s="202">
        <v>0</v>
      </c>
      <c r="R149" s="202">
        <v>0</v>
      </c>
      <c r="S149" s="202">
        <v>0</v>
      </c>
      <c r="T149" s="202">
        <v>0</v>
      </c>
      <c r="U149" s="202">
        <v>0</v>
      </c>
      <c r="V149" s="202">
        <v>0</v>
      </c>
      <c r="W149" s="203">
        <v>0</v>
      </c>
      <c r="AA149" s="546"/>
      <c r="AB149" s="220" t="s">
        <v>147</v>
      </c>
      <c r="AC149" s="202">
        <v>0</v>
      </c>
      <c r="AD149" s="202">
        <v>0</v>
      </c>
      <c r="AE149" s="202">
        <v>0</v>
      </c>
      <c r="AF149" s="202">
        <v>0</v>
      </c>
      <c r="AG149" s="202">
        <v>0</v>
      </c>
      <c r="AH149" s="202">
        <v>0</v>
      </c>
      <c r="AI149" s="202">
        <v>0</v>
      </c>
      <c r="AJ149" s="202">
        <v>0</v>
      </c>
      <c r="AK149" s="202">
        <v>0</v>
      </c>
      <c r="AL149" s="202">
        <v>0</v>
      </c>
      <c r="AM149" s="202">
        <v>0</v>
      </c>
      <c r="AN149" s="202">
        <v>0</v>
      </c>
      <c r="AO149" s="202">
        <v>0</v>
      </c>
      <c r="AP149" s="202">
        <v>0</v>
      </c>
      <c r="AQ149" s="202">
        <v>0</v>
      </c>
      <c r="AR149" s="202">
        <v>0</v>
      </c>
      <c r="AS149" s="202">
        <v>0</v>
      </c>
      <c r="AT149" s="202">
        <v>0</v>
      </c>
      <c r="AU149" s="202">
        <v>0</v>
      </c>
      <c r="AV149" s="202">
        <v>0</v>
      </c>
      <c r="AW149" s="203">
        <v>0</v>
      </c>
      <c r="BF149" s="538"/>
      <c r="BG149" s="363" t="s">
        <v>147</v>
      </c>
      <c r="BH149" s="385">
        <v>0</v>
      </c>
      <c r="BI149" s="385">
        <v>0</v>
      </c>
      <c r="BJ149" s="385">
        <v>0</v>
      </c>
      <c r="BK149" s="385">
        <v>0</v>
      </c>
      <c r="BL149" s="385">
        <v>0</v>
      </c>
      <c r="BM149" s="386">
        <v>0</v>
      </c>
      <c r="BN149" s="386">
        <v>0</v>
      </c>
      <c r="BO149" s="386">
        <v>0</v>
      </c>
      <c r="BP149" s="385">
        <v>0</v>
      </c>
      <c r="BQ149" s="385">
        <v>0</v>
      </c>
      <c r="BR149" s="385">
        <v>0</v>
      </c>
      <c r="BS149" s="385">
        <v>0</v>
      </c>
      <c r="BT149" s="385">
        <v>0</v>
      </c>
      <c r="BU149" s="385">
        <v>0</v>
      </c>
      <c r="BV149" s="385">
        <v>0</v>
      </c>
      <c r="BW149" s="385">
        <v>0</v>
      </c>
      <c r="BX149" s="385">
        <v>0</v>
      </c>
      <c r="BY149" s="385">
        <v>0</v>
      </c>
      <c r="BZ149" s="385">
        <v>0</v>
      </c>
      <c r="CA149" s="385">
        <v>0</v>
      </c>
      <c r="CB149" s="385">
        <v>0</v>
      </c>
      <c r="CC149"/>
      <c r="CD149" s="196" t="s">
        <v>61</v>
      </c>
      <c r="CE149">
        <v>1.4026029420405983E-2</v>
      </c>
      <c r="CF149">
        <v>3.9983705099059019E-2</v>
      </c>
      <c r="CG149">
        <v>1.3020726603689026E-2</v>
      </c>
      <c r="CH149">
        <v>4.0821190018822007E-2</v>
      </c>
      <c r="CI149">
        <v>1.2120358761684047E-2</v>
      </c>
      <c r="CJ149">
        <v>4.2443742297888942E-2</v>
      </c>
      <c r="CK149">
        <v>4.2443742297888942E-2</v>
      </c>
      <c r="CL149">
        <v>4.2443742297888942E-2</v>
      </c>
      <c r="CM149">
        <v>2.9672140965844918E-2</v>
      </c>
      <c r="CN149">
        <v>4.9752405725189686E-3</v>
      </c>
      <c r="CO149">
        <v>-2.0899320348827799E-2</v>
      </c>
      <c r="CP149">
        <v>1.293693365460391E-2</v>
      </c>
      <c r="CQ149">
        <v>-3.6784583545960259E-2</v>
      </c>
      <c r="CR149">
        <v>-4.0360404318607879E-3</v>
      </c>
      <c r="CS149">
        <v>-1.3738569746432061E-2</v>
      </c>
      <c r="CT149">
        <v>1.7368424323588982E-2</v>
      </c>
      <c r="CU149">
        <v>-1.1395853822745328E-2</v>
      </c>
      <c r="CV149">
        <v>-0.13212021529234741</v>
      </c>
      <c r="CW149">
        <v>-0.10683541993605461</v>
      </c>
      <c r="CX149">
        <v>-1.5533074856510676E-2</v>
      </c>
      <c r="CY149">
        <v>-1.6753441330139007E-2</v>
      </c>
      <c r="DA149" s="538"/>
      <c r="DB149" s="363" t="s">
        <v>147</v>
      </c>
      <c r="DC149" s="387">
        <v>0</v>
      </c>
      <c r="DD149" s="387">
        <v>0</v>
      </c>
      <c r="DE149" s="387">
        <v>0</v>
      </c>
      <c r="DF149" s="387">
        <v>0</v>
      </c>
      <c r="DG149" s="387">
        <v>0</v>
      </c>
      <c r="DH149" s="387">
        <v>0</v>
      </c>
      <c r="DI149" s="387">
        <v>0</v>
      </c>
      <c r="DJ149" s="387">
        <v>0</v>
      </c>
      <c r="DK149" s="387">
        <v>0</v>
      </c>
      <c r="DL149" s="387">
        <v>0</v>
      </c>
      <c r="DM149" s="387">
        <v>0</v>
      </c>
      <c r="DN149" s="387">
        <v>0</v>
      </c>
      <c r="DO149" s="387">
        <v>0</v>
      </c>
      <c r="DP149" s="387">
        <v>0</v>
      </c>
      <c r="DQ149" s="387">
        <v>0</v>
      </c>
      <c r="DR149" s="387">
        <v>0</v>
      </c>
      <c r="DS149" s="387">
        <v>0</v>
      </c>
      <c r="DT149" s="387">
        <v>0</v>
      </c>
      <c r="DU149" s="387">
        <v>0</v>
      </c>
      <c r="DV149" s="387">
        <v>0</v>
      </c>
      <c r="DW149" s="387">
        <v>0</v>
      </c>
    </row>
    <row r="150" spans="1:127" ht="14.25" customHeight="1" thickBot="1">
      <c r="BF150" s="538" t="s">
        <v>192</v>
      </c>
      <c r="BG150" s="363" t="s">
        <v>139</v>
      </c>
      <c r="BH150" s="364">
        <v>3.2798439602423858E-6</v>
      </c>
      <c r="BI150" s="364">
        <v>3.1894705580475201E-6</v>
      </c>
      <c r="BJ150" s="364">
        <v>3.2006244321791831E-6</v>
      </c>
      <c r="BK150" s="364">
        <v>3.389381604832311E-6</v>
      </c>
      <c r="BL150" s="364">
        <v>3.137639245636736E-6</v>
      </c>
      <c r="BM150" s="388">
        <v>3.229700320958885E-6</v>
      </c>
      <c r="BN150" s="388">
        <v>3.229700320958885E-6</v>
      </c>
      <c r="BO150" s="388">
        <v>3.229700320958885E-6</v>
      </c>
      <c r="BP150" s="364">
        <v>3.11787760636705E-6</v>
      </c>
      <c r="BQ150" s="364">
        <v>2.904362687603934E-6</v>
      </c>
      <c r="BR150" s="364">
        <v>3.1599233284741491E-6</v>
      </c>
      <c r="BS150" s="364">
        <v>3.1614212584105189E-6</v>
      </c>
      <c r="BT150" s="364">
        <v>3.1966592789676819E-6</v>
      </c>
      <c r="BU150" s="364">
        <v>2.9934409640998541E-6</v>
      </c>
      <c r="BV150" s="364">
        <v>2.9658228899709568E-6</v>
      </c>
      <c r="BW150" s="364">
        <v>3.0029029233926E-6</v>
      </c>
      <c r="BX150" s="364">
        <v>3.0488125232155539E-6</v>
      </c>
      <c r="BY150" s="364">
        <v>3.0565313806523608E-6</v>
      </c>
      <c r="BZ150" s="364">
        <v>3.0442663863309371E-6</v>
      </c>
      <c r="CA150" s="364">
        <v>3.0817117269603541E-6</v>
      </c>
      <c r="CB150" s="364"/>
      <c r="CC150"/>
      <c r="CD150" s="196" t="s">
        <v>63</v>
      </c>
      <c r="CE150">
        <v>4.2756111379657957E-2</v>
      </c>
      <c r="CF150">
        <v>2.1633025405952022E-2</v>
      </c>
      <c r="CG150">
        <v>4.0476112948822029E-2</v>
      </c>
      <c r="CH150">
        <v>4.8251621326597105E-2</v>
      </c>
      <c r="CI150">
        <v>3.8673670603784016E-2</v>
      </c>
      <c r="CJ150">
        <v>2.0566674552749076E-2</v>
      </c>
      <c r="CK150">
        <v>2.0566674552749076E-2</v>
      </c>
      <c r="CL150">
        <v>2.0566674552749964E-2</v>
      </c>
      <c r="CM150">
        <v>2.7346537024222961E-2</v>
      </c>
      <c r="CN150">
        <v>5.1564859784748007E-2</v>
      </c>
      <c r="CO150">
        <v>2.3571841752519029E-2</v>
      </c>
      <c r="CP150">
        <v>5.464289909351705E-2</v>
      </c>
      <c r="CQ150">
        <v>3.5552267701274953E-2</v>
      </c>
      <c r="CR150">
        <v>2.5228323435370958E-2</v>
      </c>
      <c r="CS150">
        <v>1.8188928934051107E-2</v>
      </c>
      <c r="CT150">
        <v>4.7964910512793058E-2</v>
      </c>
      <c r="CU150">
        <v>3.3908550312417018E-2</v>
      </c>
      <c r="CV150">
        <v>-1.5832263997882512E-3</v>
      </c>
      <c r="CW150">
        <v>-7.0318965898640284E-3</v>
      </c>
      <c r="CX150">
        <v>4.7356497328755909E-2</v>
      </c>
      <c r="CY150">
        <v>-1.6753441330139007E-2</v>
      </c>
      <c r="DA150" s="539" t="s">
        <v>192</v>
      </c>
      <c r="DB150" s="363" t="s">
        <v>139</v>
      </c>
      <c r="DC150" s="364"/>
      <c r="DD150" s="364"/>
      <c r="DE150" s="364"/>
      <c r="DF150" s="364"/>
      <c r="DG150" s="364"/>
      <c r="DH150" s="388"/>
      <c r="DI150" s="388"/>
      <c r="DJ150" s="388"/>
      <c r="DK150" s="364"/>
      <c r="DL150" s="364"/>
      <c r="DM150" s="364"/>
      <c r="DN150" s="364"/>
      <c r="DO150" s="364"/>
      <c r="DP150" s="364"/>
      <c r="DQ150" s="364"/>
      <c r="DR150" s="364"/>
      <c r="DS150" s="364"/>
      <c r="DT150" s="364"/>
      <c r="DU150" s="364"/>
      <c r="DV150" s="364"/>
      <c r="DW150" s="364"/>
    </row>
    <row r="151" spans="1:127" ht="14.25" customHeight="1">
      <c r="A151" s="554" t="s">
        <v>635</v>
      </c>
      <c r="B151" s="555"/>
      <c r="C151" s="555"/>
      <c r="D151" s="555"/>
      <c r="E151" s="555"/>
      <c r="F151" s="555"/>
      <c r="G151" s="555"/>
      <c r="H151" s="555"/>
      <c r="I151" s="556"/>
      <c r="K151" s="554" t="s">
        <v>711</v>
      </c>
      <c r="L151" s="555"/>
      <c r="M151" s="555"/>
      <c r="N151" s="555"/>
      <c r="O151" s="555"/>
      <c r="P151" s="555"/>
      <c r="Q151" s="555"/>
      <c r="R151" s="555"/>
      <c r="S151" s="555"/>
      <c r="T151" s="555"/>
      <c r="U151" s="555"/>
      <c r="V151" s="555"/>
      <c r="W151" s="555"/>
      <c r="X151" s="555"/>
      <c r="Y151" s="555"/>
      <c r="Z151" s="555"/>
      <c r="AA151" s="555"/>
      <c r="AB151" s="555"/>
      <c r="AC151" s="555"/>
      <c r="AD151" s="555"/>
      <c r="AE151" s="555"/>
      <c r="AF151" s="556"/>
      <c r="AI151" s="554" t="s">
        <v>718</v>
      </c>
      <c r="AJ151" s="555"/>
      <c r="AK151" s="555"/>
      <c r="AL151" s="555"/>
      <c r="AM151" s="555"/>
      <c r="AN151" s="555"/>
      <c r="AO151" s="555"/>
      <c r="AP151" s="555"/>
      <c r="AQ151" s="555"/>
      <c r="AR151" s="555"/>
      <c r="AS151" s="555"/>
      <c r="AT151" s="555"/>
      <c r="AU151" s="555"/>
      <c r="AV151" s="555"/>
      <c r="AW151" s="555"/>
      <c r="AX151" s="555"/>
      <c r="AY151" s="555"/>
      <c r="AZ151" s="555"/>
      <c r="BA151" s="555"/>
      <c r="BB151" s="555"/>
      <c r="BC151" s="555"/>
      <c r="BD151" s="556"/>
      <c r="BF151" s="538"/>
      <c r="BG151" s="363" t="s">
        <v>37</v>
      </c>
      <c r="BH151" s="364">
        <v>4.5882650847675234E-6</v>
      </c>
      <c r="BI151" s="364">
        <v>4.5279124881287158E-6</v>
      </c>
      <c r="BJ151" s="364">
        <v>4.6869977691830354E-6</v>
      </c>
      <c r="BK151" s="364">
        <v>4.4346085701410338E-6</v>
      </c>
      <c r="BL151" s="364">
        <v>4.8026634645616847E-6</v>
      </c>
      <c r="BM151" s="388">
        <v>4.4561264605577054E-6</v>
      </c>
      <c r="BN151" s="388">
        <v>4.4561264605577054E-6</v>
      </c>
      <c r="BO151" s="388">
        <v>4.4561264605577054E-6</v>
      </c>
      <c r="BP151" s="364">
        <v>4.5252573536040398E-6</v>
      </c>
      <c r="BQ151" s="364">
        <v>4.6293498016168674E-6</v>
      </c>
      <c r="BR151" s="364">
        <v>4.5978001570124182E-6</v>
      </c>
      <c r="BS151" s="364">
        <v>4.5029152533070307E-6</v>
      </c>
      <c r="BT151" s="364">
        <v>4.6040981281502548E-6</v>
      </c>
      <c r="BU151" s="364">
        <v>4.6931362122797789E-6</v>
      </c>
      <c r="BV151" s="364">
        <v>4.689125270510855E-6</v>
      </c>
      <c r="BW151" s="364">
        <v>4.6934182162324587E-6</v>
      </c>
      <c r="BX151" s="364">
        <v>4.6631359644280294E-6</v>
      </c>
      <c r="BY151" s="364">
        <v>4.5661305791892859E-6</v>
      </c>
      <c r="BZ151" s="364">
        <v>4.6407326557986808E-6</v>
      </c>
      <c r="CA151" s="364">
        <v>4.7473999016871716E-6</v>
      </c>
      <c r="CB151" s="364"/>
      <c r="CC151"/>
      <c r="CD151" s="196" t="s">
        <v>65</v>
      </c>
      <c r="CE151">
        <v>1.8815407374070059E-2</v>
      </c>
      <c r="CF151">
        <v>2.613929352534905E-3</v>
      </c>
      <c r="CG151">
        <v>2.190725315364106E-2</v>
      </c>
      <c r="CH151">
        <v>2.2846884213671981E-2</v>
      </c>
      <c r="CI151">
        <v>2.8257430052444965E-2</v>
      </c>
      <c r="CJ151">
        <v>-3.1713822580299311E-3</v>
      </c>
      <c r="CK151">
        <v>-3.1713822580299311E-3</v>
      </c>
      <c r="CL151">
        <v>-3.1713822580299311E-3</v>
      </c>
      <c r="CM151">
        <v>8.8083733436494782E-4</v>
      </c>
      <c r="CN151">
        <v>1.469796714398508E-2</v>
      </c>
      <c r="CO151">
        <v>6.8703158903280492E-3</v>
      </c>
      <c r="CP151">
        <v>2.7659734769911015E-2</v>
      </c>
      <c r="CQ151">
        <v>1.8725275418401965E-2</v>
      </c>
      <c r="CR151">
        <v>1.2705521861523961E-2</v>
      </c>
      <c r="CS151">
        <v>1.0667608105918047E-2</v>
      </c>
      <c r="CT151">
        <v>3.75154769836199E-2</v>
      </c>
      <c r="CU151">
        <v>2.080242322880399E-2</v>
      </c>
      <c r="CV151">
        <v>-2.5835538128469504E-2</v>
      </c>
      <c r="CW151">
        <v>-1.2531893453310072E-2</v>
      </c>
      <c r="CX151">
        <v>4.8503137400019103E-2</v>
      </c>
      <c r="CY151">
        <v>-1.6753441330139007E-2</v>
      </c>
      <c r="DA151" s="540"/>
      <c r="DB151" s="363" t="s">
        <v>37</v>
      </c>
      <c r="DC151" s="364"/>
      <c r="DD151" s="364"/>
      <c r="DE151" s="364"/>
      <c r="DF151" s="364"/>
      <c r="DG151" s="364"/>
      <c r="DH151" s="388"/>
      <c r="DI151" s="388"/>
      <c r="DJ151" s="388"/>
      <c r="DK151" s="364"/>
      <c r="DL151" s="364"/>
      <c r="DM151" s="364"/>
      <c r="DN151" s="364"/>
      <c r="DO151" s="364"/>
      <c r="DP151" s="364"/>
      <c r="DQ151" s="364"/>
      <c r="DR151" s="364"/>
      <c r="DS151" s="364"/>
      <c r="DT151" s="364"/>
      <c r="DU151" s="364"/>
      <c r="DV151" s="364"/>
      <c r="DW151" s="364"/>
    </row>
    <row r="152" spans="1:127" ht="14.25" customHeight="1">
      <c r="A152" s="557" t="s">
        <v>630</v>
      </c>
      <c r="B152" s="558"/>
      <c r="C152" s="558"/>
      <c r="D152" s="558"/>
      <c r="E152" s="558"/>
      <c r="F152" s="558"/>
      <c r="G152" s="558"/>
      <c r="H152" s="558"/>
      <c r="I152" s="559"/>
      <c r="K152" s="560" t="s">
        <v>709</v>
      </c>
      <c r="L152" s="561"/>
      <c r="M152" s="561"/>
      <c r="N152" s="561"/>
      <c r="O152" s="561"/>
      <c r="P152" s="561"/>
      <c r="Q152" s="561"/>
      <c r="R152" s="561"/>
      <c r="S152" s="561"/>
      <c r="T152" s="561"/>
      <c r="U152" s="561"/>
      <c r="V152" s="561"/>
      <c r="W152" s="561"/>
      <c r="X152" s="561"/>
      <c r="Y152" s="561"/>
      <c r="Z152" s="561"/>
      <c r="AA152" s="561"/>
      <c r="AB152" s="561"/>
      <c r="AC152" s="561"/>
      <c r="AD152" s="561"/>
      <c r="AE152" s="561"/>
      <c r="AF152" s="562"/>
      <c r="AI152" s="566" t="s">
        <v>709</v>
      </c>
      <c r="AJ152" s="567"/>
      <c r="AK152" s="567"/>
      <c r="AL152" s="567"/>
      <c r="AM152" s="567"/>
      <c r="AN152" s="567"/>
      <c r="AO152" s="567"/>
      <c r="AP152" s="567"/>
      <c r="AQ152" s="567"/>
      <c r="AR152" s="567"/>
      <c r="AS152" s="567"/>
      <c r="AT152" s="567"/>
      <c r="AU152" s="567"/>
      <c r="AV152" s="567"/>
      <c r="AW152" s="567"/>
      <c r="AX152" s="567"/>
      <c r="AY152" s="567"/>
      <c r="AZ152" s="567"/>
      <c r="BA152" s="567"/>
      <c r="BB152" s="567"/>
      <c r="BC152" s="567"/>
      <c r="BD152" s="568"/>
      <c r="BF152" s="538"/>
      <c r="BG152" s="363" t="s">
        <v>140</v>
      </c>
      <c r="BH152" s="364">
        <v>4.2958197095343057E-6</v>
      </c>
      <c r="BI152" s="364">
        <v>4.8891456857725067E-6</v>
      </c>
      <c r="BJ152" s="364">
        <v>4.3175482121654651E-6</v>
      </c>
      <c r="BK152" s="364">
        <v>5.7357953674141322E-6</v>
      </c>
      <c r="BL152" s="364">
        <v>4.5728468937684683E-6</v>
      </c>
      <c r="BM152" s="388">
        <v>4.4370673374897424E-6</v>
      </c>
      <c r="BN152" s="388">
        <v>4.4370673374897424E-6</v>
      </c>
      <c r="BO152" s="388">
        <v>4.4370673374897424E-6</v>
      </c>
      <c r="BP152" s="364">
        <v>4.7206457230614159E-6</v>
      </c>
      <c r="BQ152" s="364">
        <v>4.2965928765109367E-6</v>
      </c>
      <c r="BR152" s="364">
        <v>4.2705927931204013E-6</v>
      </c>
      <c r="BS152" s="364">
        <v>4.5076777151451287E-6</v>
      </c>
      <c r="BT152" s="364">
        <v>3.6638461952842549E-6</v>
      </c>
      <c r="BU152" s="364">
        <v>3.8010532545605748E-6</v>
      </c>
      <c r="BV152" s="364">
        <v>4.0612230520468244E-6</v>
      </c>
      <c r="BW152" s="364">
        <v>4.4067214311427962E-6</v>
      </c>
      <c r="BX152" s="364">
        <v>3.8642562747320364E-6</v>
      </c>
      <c r="BY152" s="364">
        <v>4.0937733406480826E-6</v>
      </c>
      <c r="BZ152" s="364">
        <v>4.0541121046611132E-6</v>
      </c>
      <c r="CA152" s="364">
        <v>2.6468381018756041E-6</v>
      </c>
      <c r="CB152" s="364"/>
      <c r="CC152"/>
      <c r="CD152" s="196" t="s">
        <v>67</v>
      </c>
      <c r="CE152">
        <v>2.8108433994320503E-3</v>
      </c>
      <c r="CF152">
        <v>-1.3739740011428192E-2</v>
      </c>
      <c r="CG152">
        <v>5.3085316162670981E-3</v>
      </c>
      <c r="CH152">
        <v>-2.9798357346300097E-4</v>
      </c>
      <c r="CI152">
        <v>1.1736984116051952E-2</v>
      </c>
      <c r="CJ152">
        <v>-4.549409289560935E-3</v>
      </c>
      <c r="CK152">
        <v>-4.549409289560824E-3</v>
      </c>
      <c r="CL152">
        <v>-4.549409289560935E-3</v>
      </c>
      <c r="CM152">
        <v>-1.3655938872494611E-2</v>
      </c>
      <c r="CN152">
        <v>-2.2043571053367295E-3</v>
      </c>
      <c r="CO152">
        <v>-5.4524855352827695E-3</v>
      </c>
      <c r="CP152">
        <v>2.1252596611629482E-3</v>
      </c>
      <c r="CQ152">
        <v>4.0807040275003814E-4</v>
      </c>
      <c r="CR152">
        <v>-4.5875031832046664E-3</v>
      </c>
      <c r="CS152">
        <v>-1.1533571160386558E-2</v>
      </c>
      <c r="CT152">
        <v>1.1698973169266047E-2</v>
      </c>
      <c r="CU152">
        <v>3.4250017039390013E-3</v>
      </c>
      <c r="CV152">
        <v>-5.1720995853529295E-2</v>
      </c>
      <c r="CW152">
        <v>-2.7813670414456926E-2</v>
      </c>
      <c r="CX152">
        <v>1.2114631861048997E-2</v>
      </c>
      <c r="CY152">
        <v>-1.6753441330139007E-2</v>
      </c>
      <c r="DA152" s="540"/>
      <c r="DB152" s="363" t="s">
        <v>140</v>
      </c>
      <c r="DC152" s="364"/>
      <c r="DD152" s="364"/>
      <c r="DE152" s="364"/>
      <c r="DF152" s="364"/>
      <c r="DG152" s="364"/>
      <c r="DH152" s="388"/>
      <c r="DI152" s="388"/>
      <c r="DJ152" s="388"/>
      <c r="DK152" s="364"/>
      <c r="DL152" s="364"/>
      <c r="DM152" s="364"/>
      <c r="DN152" s="364"/>
      <c r="DO152" s="364"/>
      <c r="DP152" s="364"/>
      <c r="DQ152" s="364"/>
      <c r="DR152" s="364"/>
      <c r="DS152" s="364"/>
      <c r="DT152" s="364"/>
      <c r="DU152" s="364"/>
      <c r="DV152" s="364"/>
      <c r="DW152" s="364"/>
    </row>
    <row r="153" spans="1:127" ht="14.25" customHeight="1">
      <c r="A153" s="198"/>
      <c r="B153" s="156"/>
      <c r="C153" s="197" t="s">
        <v>608</v>
      </c>
      <c r="D153" s="197" t="s">
        <v>609</v>
      </c>
      <c r="E153" s="197" t="s">
        <v>610</v>
      </c>
      <c r="F153" s="197" t="s">
        <v>611</v>
      </c>
      <c r="G153" s="197" t="s">
        <v>612</v>
      </c>
      <c r="H153" s="197" t="s">
        <v>59</v>
      </c>
      <c r="I153" s="199" t="s">
        <v>588</v>
      </c>
      <c r="K153" s="198"/>
      <c r="L153" s="197" t="s">
        <v>139</v>
      </c>
      <c r="M153" s="197" t="s">
        <v>37</v>
      </c>
      <c r="N153" s="197" t="s">
        <v>140</v>
      </c>
      <c r="O153" s="197" t="s">
        <v>48</v>
      </c>
      <c r="P153" s="197" t="s">
        <v>141</v>
      </c>
      <c r="Q153" s="197" t="s">
        <v>142</v>
      </c>
      <c r="R153" s="197" t="s">
        <v>143</v>
      </c>
      <c r="S153" s="197" t="s">
        <v>144</v>
      </c>
      <c r="T153" s="197" t="s">
        <v>61</v>
      </c>
      <c r="U153" s="197" t="s">
        <v>63</v>
      </c>
      <c r="V153" s="197" t="s">
        <v>65</v>
      </c>
      <c r="W153" s="197" t="s">
        <v>67</v>
      </c>
      <c r="X153" s="197" t="s">
        <v>69</v>
      </c>
      <c r="Y153" s="197" t="s">
        <v>145</v>
      </c>
      <c r="Z153" s="197" t="s">
        <v>73</v>
      </c>
      <c r="AA153" s="197" t="s">
        <v>75</v>
      </c>
      <c r="AB153" s="197" t="s">
        <v>146</v>
      </c>
      <c r="AC153" s="197" t="s">
        <v>83</v>
      </c>
      <c r="AD153" s="197" t="s">
        <v>85</v>
      </c>
      <c r="AE153" s="197" t="s">
        <v>88</v>
      </c>
      <c r="AF153" s="199" t="s">
        <v>147</v>
      </c>
      <c r="AI153" s="198"/>
      <c r="AJ153" s="197" t="s">
        <v>139</v>
      </c>
      <c r="AK153" s="197" t="s">
        <v>37</v>
      </c>
      <c r="AL153" s="197" t="s">
        <v>140</v>
      </c>
      <c r="AM153" s="197" t="s">
        <v>48</v>
      </c>
      <c r="AN153" s="197" t="s">
        <v>141</v>
      </c>
      <c r="AO153" s="197" t="s">
        <v>142</v>
      </c>
      <c r="AP153" s="197" t="s">
        <v>143</v>
      </c>
      <c r="AQ153" s="197" t="s">
        <v>144</v>
      </c>
      <c r="AR153" s="197" t="s">
        <v>61</v>
      </c>
      <c r="AS153" s="197" t="s">
        <v>63</v>
      </c>
      <c r="AT153" s="197" t="s">
        <v>65</v>
      </c>
      <c r="AU153" s="197" t="s">
        <v>67</v>
      </c>
      <c r="AV153" s="197" t="s">
        <v>69</v>
      </c>
      <c r="AW153" s="197" t="s">
        <v>145</v>
      </c>
      <c r="AX153" s="197" t="s">
        <v>73</v>
      </c>
      <c r="AY153" s="197" t="s">
        <v>75</v>
      </c>
      <c r="AZ153" s="197" t="s">
        <v>146</v>
      </c>
      <c r="BA153" s="197" t="s">
        <v>83</v>
      </c>
      <c r="BB153" s="197" t="s">
        <v>85</v>
      </c>
      <c r="BC153" s="197" t="s">
        <v>88</v>
      </c>
      <c r="BD153" s="199" t="s">
        <v>147</v>
      </c>
      <c r="BF153" s="538"/>
      <c r="BG153" s="363" t="s">
        <v>48</v>
      </c>
      <c r="BH153" s="364">
        <v>7.314438843059085E-6</v>
      </c>
      <c r="BI153" s="364">
        <v>7.3258435111396437E-6</v>
      </c>
      <c r="BJ153" s="364">
        <v>7.1475517246201803E-6</v>
      </c>
      <c r="BK153" s="364">
        <v>7.7439880935061316E-6</v>
      </c>
      <c r="BL153" s="364">
        <v>7.1716545823015862E-6</v>
      </c>
      <c r="BM153" s="388">
        <v>7.634856578960223E-6</v>
      </c>
      <c r="BN153" s="388">
        <v>7.634856578960223E-6</v>
      </c>
      <c r="BO153" s="388">
        <v>7.634856578960223E-6</v>
      </c>
      <c r="BP153" s="364">
        <v>7.520262053224568E-6</v>
      </c>
      <c r="BQ153" s="364">
        <v>7.3666577323017213E-6</v>
      </c>
      <c r="BR153" s="364">
        <v>7.3229486579133264E-6</v>
      </c>
      <c r="BS153" s="364">
        <v>7.6101411206624546E-6</v>
      </c>
      <c r="BT153" s="364">
        <v>7.1895088101397011E-6</v>
      </c>
      <c r="BU153" s="364">
        <v>7.1454805232009816E-6</v>
      </c>
      <c r="BV153" s="364">
        <v>7.1574768352870006E-6</v>
      </c>
      <c r="BW153" s="364">
        <v>7.1989394258667493E-6</v>
      </c>
      <c r="BX153" s="364">
        <v>7.2756310426903996E-6</v>
      </c>
      <c r="BY153" s="364">
        <v>7.3694811340592837E-6</v>
      </c>
      <c r="BZ153" s="364">
        <v>7.2071222809688366E-6</v>
      </c>
      <c r="CA153" s="364">
        <v>7.089585236343942E-6</v>
      </c>
      <c r="CB153" s="364"/>
      <c r="CC153"/>
      <c r="CD153" s="196" t="s">
        <v>69</v>
      </c>
      <c r="CE153">
        <v>4.7862222195240722E-3</v>
      </c>
      <c r="CF153">
        <v>-3.3538678781321662E-2</v>
      </c>
      <c r="CG153">
        <v>1.8592613614329956E-3</v>
      </c>
      <c r="CH153">
        <v>1.9824492513359937E-2</v>
      </c>
      <c r="CI153">
        <v>3.4011874669959141E-3</v>
      </c>
      <c r="CJ153">
        <v>1.7286021586288003E-2</v>
      </c>
      <c r="CK153">
        <v>1.7286021586288003E-2</v>
      </c>
      <c r="CL153">
        <v>1.7286021586288003E-2</v>
      </c>
      <c r="CM153">
        <v>-2.2013149790581221E-2</v>
      </c>
      <c r="CN153">
        <v>7.1783440484800565E-3</v>
      </c>
      <c r="CO153">
        <v>-2.3589206056484735E-2</v>
      </c>
      <c r="CP153">
        <v>-2.4143431639649826E-2</v>
      </c>
      <c r="CQ153">
        <v>-1.3503898571647688E-2</v>
      </c>
      <c r="CR153">
        <v>-2.796399225574342E-2</v>
      </c>
      <c r="CS153">
        <v>-2.4475475536154701E-2</v>
      </c>
      <c r="CT153">
        <v>-3.0098430701485213E-2</v>
      </c>
      <c r="CU153">
        <v>-3.0552158439515309E-2</v>
      </c>
      <c r="CV153">
        <v>-3.8769609380385539E-2</v>
      </c>
      <c r="CW153">
        <v>6.4911068759569979E-3</v>
      </c>
      <c r="CX153">
        <v>-8.2025752682659547E-3</v>
      </c>
      <c r="CY153">
        <v>-1.6753441330139007E-2</v>
      </c>
      <c r="DA153" s="540"/>
      <c r="DB153" s="363" t="s">
        <v>48</v>
      </c>
      <c r="DC153" s="364"/>
      <c r="DD153" s="364"/>
      <c r="DE153" s="364"/>
      <c r="DF153" s="364"/>
      <c r="DG153" s="364"/>
      <c r="DH153" s="388"/>
      <c r="DI153" s="388"/>
      <c r="DJ153" s="388"/>
      <c r="DK153" s="364"/>
      <c r="DL153" s="364"/>
      <c r="DM153" s="364"/>
      <c r="DN153" s="364"/>
      <c r="DO153" s="364"/>
      <c r="DP153" s="364"/>
      <c r="DQ153" s="364"/>
      <c r="DR153" s="364"/>
      <c r="DS153" s="364"/>
      <c r="DT153" s="364"/>
      <c r="DU153" s="364"/>
      <c r="DV153" s="364"/>
      <c r="DW153" s="364"/>
    </row>
    <row r="154" spans="1:127" ht="14.25" customHeight="1">
      <c r="A154" s="553" t="s">
        <v>67</v>
      </c>
      <c r="B154" s="197" t="s">
        <v>139</v>
      </c>
      <c r="C154" s="156">
        <v>0</v>
      </c>
      <c r="D154" s="156">
        <v>0</v>
      </c>
      <c r="E154" s="156">
        <v>0</v>
      </c>
      <c r="F154" s="156">
        <v>0</v>
      </c>
      <c r="G154" s="156">
        <v>1</v>
      </c>
      <c r="H154" s="156">
        <v>0</v>
      </c>
      <c r="I154" s="200">
        <v>0</v>
      </c>
      <c r="K154" s="216" t="s">
        <v>139</v>
      </c>
      <c r="L154">
        <v>2.3568824475137639E-5</v>
      </c>
      <c r="M154">
        <v>0</v>
      </c>
      <c r="N154">
        <v>2.8214601121075248E-4</v>
      </c>
      <c r="O154">
        <v>0</v>
      </c>
      <c r="P154">
        <v>0</v>
      </c>
      <c r="Q154">
        <v>0.11722628506616931</v>
      </c>
      <c r="R154">
        <v>0</v>
      </c>
      <c r="S154">
        <v>1</v>
      </c>
      <c r="T154">
        <v>5.2472334128118173E-3</v>
      </c>
      <c r="U154">
        <v>0</v>
      </c>
      <c r="V154">
        <v>3.2678653279211212E-5</v>
      </c>
      <c r="W154">
        <v>0</v>
      </c>
      <c r="X154">
        <v>4.5459915123666771E-6</v>
      </c>
      <c r="Y154">
        <v>5.9767769819869716E-6</v>
      </c>
      <c r="Z154">
        <v>1.7096082115965059E-4</v>
      </c>
      <c r="AA154">
        <v>1.040571443222034E-5</v>
      </c>
      <c r="AB154">
        <v>6.7057166024626635E-7</v>
      </c>
      <c r="AC154">
        <v>0</v>
      </c>
      <c r="AD154">
        <v>4.0091888088762369E-4</v>
      </c>
      <c r="AE154">
        <v>1.0830957192215021E-4</v>
      </c>
      <c r="AF154">
        <v>0</v>
      </c>
      <c r="AI154" s="216" t="s">
        <v>139</v>
      </c>
      <c r="AJ154" s="156">
        <v>4.6478184353042927E-2</v>
      </c>
      <c r="AK154" s="156">
        <v>0</v>
      </c>
      <c r="AL154" s="156">
        <v>2.9328451102235641E-3</v>
      </c>
      <c r="AM154" s="156">
        <v>0</v>
      </c>
      <c r="AN154" s="156">
        <v>0</v>
      </c>
      <c r="AO154" s="156">
        <v>2.9328451102235628E-3</v>
      </c>
      <c r="AP154" s="156">
        <v>0</v>
      </c>
      <c r="AQ154" s="156">
        <v>2.9328451102235628E-3</v>
      </c>
      <c r="AR154" s="156">
        <v>2.9328451102235641E-3</v>
      </c>
      <c r="AS154" s="156">
        <v>0</v>
      </c>
      <c r="AT154" s="156">
        <v>2.9328451102235628E-3</v>
      </c>
      <c r="AU154" s="156">
        <v>0</v>
      </c>
      <c r="AV154" s="156">
        <v>2.9328451102235641E-3</v>
      </c>
      <c r="AW154" s="156">
        <v>2.9328451102235641E-3</v>
      </c>
      <c r="AX154" s="156">
        <v>2.9328451102235628E-3</v>
      </c>
      <c r="AY154" s="156">
        <v>2.9328451102235641E-3</v>
      </c>
      <c r="AZ154" s="156">
        <v>2.9328451102235628E-3</v>
      </c>
      <c r="BA154" s="156">
        <v>0</v>
      </c>
      <c r="BB154" s="156">
        <v>2.9328451102235628E-3</v>
      </c>
      <c r="BC154" s="156">
        <v>2.9328451102235628E-3</v>
      </c>
      <c r="BD154" s="200">
        <v>0</v>
      </c>
      <c r="BF154" s="538"/>
      <c r="BG154" s="363" t="s">
        <v>141</v>
      </c>
      <c r="BH154" s="364">
        <v>7.2261679348330208E-7</v>
      </c>
      <c r="BI154" s="364">
        <v>6.5295765394611606E-7</v>
      </c>
      <c r="BJ154" s="364">
        <v>6.4804139534991228E-7</v>
      </c>
      <c r="BK154" s="364">
        <v>9.1539310329600077E-7</v>
      </c>
      <c r="BL154" s="364">
        <v>6.0881123296629453E-7</v>
      </c>
      <c r="BM154" s="388">
        <v>7.5062826752651685E-7</v>
      </c>
      <c r="BN154" s="388">
        <v>7.5062826752651685E-7</v>
      </c>
      <c r="BO154" s="388">
        <v>7.5062826752651685E-7</v>
      </c>
      <c r="BP154" s="364">
        <v>6.3474753105032189E-7</v>
      </c>
      <c r="BQ154" s="364">
        <v>6.257991545571391E-7</v>
      </c>
      <c r="BR154" s="364">
        <v>5.9001021626710736E-7</v>
      </c>
      <c r="BS154" s="364">
        <v>7.1256294041110923E-7</v>
      </c>
      <c r="BT154" s="364">
        <v>6.2574385772397585E-7</v>
      </c>
      <c r="BU154" s="364">
        <v>6.1954826829128227E-7</v>
      </c>
      <c r="BV154" s="364">
        <v>6.1981177644617124E-7</v>
      </c>
      <c r="BW154" s="364">
        <v>5.9539104808072846E-7</v>
      </c>
      <c r="BX154" s="364">
        <v>6.2287416407222415E-7</v>
      </c>
      <c r="BY154" s="364">
        <v>6.6465331776478862E-7</v>
      </c>
      <c r="BZ154" s="364">
        <v>6.4207959476912863E-7</v>
      </c>
      <c r="CA154" s="364">
        <v>6.3320271597991996E-7</v>
      </c>
      <c r="CB154" s="364"/>
      <c r="CC154"/>
      <c r="CD154" s="196" t="s">
        <v>145</v>
      </c>
      <c r="CE154">
        <v>2.3463194982906943E-2</v>
      </c>
      <c r="CF154">
        <v>1.5536114748040397E-3</v>
      </c>
      <c r="CG154">
        <v>2.1381315534019896E-2</v>
      </c>
      <c r="CH154">
        <v>4.2763261932647012E-2</v>
      </c>
      <c r="CI154">
        <v>2.8734695212176087E-2</v>
      </c>
      <c r="CJ154">
        <v>4.0714888629715951E-2</v>
      </c>
      <c r="CK154">
        <v>4.0714888629715951E-2</v>
      </c>
      <c r="CL154">
        <v>4.0714888629715951E-2</v>
      </c>
      <c r="CM154">
        <v>2.6400410587843925E-2</v>
      </c>
      <c r="CN154">
        <v>2.1651610169028945E-2</v>
      </c>
      <c r="CO154">
        <v>8.5997391399410539E-3</v>
      </c>
      <c r="CP154">
        <v>1.3351085979919963E-2</v>
      </c>
      <c r="CQ154">
        <v>2.066076052772492E-2</v>
      </c>
      <c r="CR154">
        <v>1.724315491406192E-2</v>
      </c>
      <c r="CS154">
        <v>-4.8835499551425077E-4</v>
      </c>
      <c r="CT154">
        <v>1.639338839548099E-2</v>
      </c>
      <c r="CU154">
        <v>3.9076336034580272E-3</v>
      </c>
      <c r="CV154">
        <v>-1.1600571879291977E-2</v>
      </c>
      <c r="CW154">
        <v>2.390643857291308E-2</v>
      </c>
      <c r="CX154">
        <v>2.9239231134229104E-2</v>
      </c>
      <c r="CY154">
        <v>-1.6753441330139007E-2</v>
      </c>
      <c r="DA154" s="540"/>
      <c r="DB154" s="363" t="s">
        <v>141</v>
      </c>
      <c r="DC154" s="364"/>
      <c r="DD154" s="364"/>
      <c r="DE154" s="364"/>
      <c r="DF154" s="364"/>
      <c r="DG154" s="364"/>
      <c r="DH154" s="388"/>
      <c r="DI154" s="388"/>
      <c r="DJ154" s="388"/>
      <c r="DK154" s="364"/>
      <c r="DL154" s="364"/>
      <c r="DM154" s="364"/>
      <c r="DN154" s="364"/>
      <c r="DO154" s="364"/>
      <c r="DP154" s="364"/>
      <c r="DQ154" s="364"/>
      <c r="DR154" s="364"/>
      <c r="DS154" s="364"/>
      <c r="DT154" s="364"/>
      <c r="DU154" s="364"/>
      <c r="DV154" s="364"/>
      <c r="DW154" s="364"/>
    </row>
    <row r="155" spans="1:127" ht="14.25" customHeight="1">
      <c r="A155" s="544"/>
      <c r="B155" s="197" t="s">
        <v>37</v>
      </c>
      <c r="C155" s="156">
        <v>1.070498887972907E-5</v>
      </c>
      <c r="D155" s="156">
        <v>0.99998929501112022</v>
      </c>
      <c r="E155" s="156">
        <v>0</v>
      </c>
      <c r="F155" s="156">
        <v>0</v>
      </c>
      <c r="G155" s="156">
        <v>0</v>
      </c>
      <c r="H155" s="156">
        <v>0</v>
      </c>
      <c r="I155" s="200">
        <v>0</v>
      </c>
      <c r="K155" s="216" t="s">
        <v>37</v>
      </c>
      <c r="L155">
        <v>0.3833011877339953</v>
      </c>
      <c r="M155">
        <v>0.89657083318817865</v>
      </c>
      <c r="N155">
        <v>0.36587241959553068</v>
      </c>
      <c r="O155">
        <v>0.99982523812857271</v>
      </c>
      <c r="P155">
        <v>0.62510029292041147</v>
      </c>
      <c r="Q155">
        <v>0.99885253456191692</v>
      </c>
      <c r="R155">
        <v>0</v>
      </c>
      <c r="S155">
        <v>0</v>
      </c>
      <c r="T155">
        <v>0.97403274546613516</v>
      </c>
      <c r="U155">
        <v>0.1025708967827548</v>
      </c>
      <c r="V155">
        <v>0.63777133242588557</v>
      </c>
      <c r="W155">
        <v>0.64686492915714189</v>
      </c>
      <c r="X155">
        <v>0.92685152869027221</v>
      </c>
      <c r="Y155">
        <v>0.93004148300708411</v>
      </c>
      <c r="Z155">
        <v>0.89975471228660509</v>
      </c>
      <c r="AA155">
        <v>0.672174396763078</v>
      </c>
      <c r="AB155">
        <v>0.76781022076377448</v>
      </c>
      <c r="AC155">
        <v>0.87511137064611166</v>
      </c>
      <c r="AD155">
        <v>0.78260519240193038</v>
      </c>
      <c r="AE155">
        <v>0.91558851107561501</v>
      </c>
      <c r="AF155">
        <v>0</v>
      </c>
      <c r="AI155" s="216" t="s">
        <v>37</v>
      </c>
      <c r="AJ155" s="156">
        <v>1.7292282086211211E-4</v>
      </c>
      <c r="AK155" s="156">
        <v>8.0660488334393583E-5</v>
      </c>
      <c r="AL155" s="156">
        <v>1.4448109066476271E-4</v>
      </c>
      <c r="AM155" s="156">
        <v>6.568979851384401E-5</v>
      </c>
      <c r="AN155" s="156">
        <v>4.5548717863332537E-5</v>
      </c>
      <c r="AO155" s="156">
        <v>2.9523422276354791E-4</v>
      </c>
      <c r="AP155" s="156">
        <v>0</v>
      </c>
      <c r="AQ155" s="156">
        <v>0</v>
      </c>
      <c r="AR155" s="156">
        <v>1.595296649194155E-4</v>
      </c>
      <c r="AS155" s="156">
        <v>3.8140238311942971E-6</v>
      </c>
      <c r="AT155" s="156">
        <v>7.2144770842897331E-5</v>
      </c>
      <c r="AU155" s="156">
        <v>2.4838526299945652E-4</v>
      </c>
      <c r="AV155" s="156">
        <v>1.4789981325117441E-4</v>
      </c>
      <c r="AW155" s="156">
        <v>4.2994588115351248E-5</v>
      </c>
      <c r="AX155" s="156">
        <v>6.0685566540163997E-5</v>
      </c>
      <c r="AY155" s="156">
        <v>3.2652196238645869E-5</v>
      </c>
      <c r="AZ155" s="156">
        <v>5.4974667361026493E-5</v>
      </c>
      <c r="BA155" s="156">
        <v>8.4456606766461991E-5</v>
      </c>
      <c r="BB155" s="156">
        <v>1.2231790417212361E-4</v>
      </c>
      <c r="BC155" s="156">
        <v>1.9159961657176091E-4</v>
      </c>
      <c r="BD155" s="200">
        <v>0</v>
      </c>
      <c r="BF155" s="538"/>
      <c r="BG155" s="363" t="s">
        <v>58</v>
      </c>
      <c r="BH155" s="364">
        <v>6.0370929129819482E-5</v>
      </c>
      <c r="BI155" s="364">
        <v>6.5965571140560447E-5</v>
      </c>
      <c r="BJ155" s="364">
        <v>5.6127396779523327E-5</v>
      </c>
      <c r="BK155" s="364">
        <v>7.2369215003737698E-5</v>
      </c>
      <c r="BL155" s="364">
        <v>5.4965637132434613E-5</v>
      </c>
      <c r="BM155" s="388">
        <v>4.8611964493999504E-5</v>
      </c>
      <c r="BN155" s="388">
        <v>5.0932313216788981E-4</v>
      </c>
      <c r="BO155" s="388">
        <v>5.8831727231725402E-4</v>
      </c>
      <c r="BP155" s="364">
        <v>5.7620765176579562E-5</v>
      </c>
      <c r="BQ155" s="364">
        <v>5.8115217544348795E-5</v>
      </c>
      <c r="BR155" s="364">
        <v>5.297933421427161E-5</v>
      </c>
      <c r="BS155" s="364">
        <v>6.3354481740295946E-5</v>
      </c>
      <c r="BT155" s="364">
        <v>5.3308578266135766E-5</v>
      </c>
      <c r="BU155" s="364">
        <v>5.484182285786015E-5</v>
      </c>
      <c r="BV155" s="364">
        <v>5.4387571845525779E-5</v>
      </c>
      <c r="BW155" s="364">
        <v>5.6111430382414337E-5</v>
      </c>
      <c r="BX155" s="364">
        <v>5.5481819449980324E-5</v>
      </c>
      <c r="BY155" s="364">
        <v>5.411919906393736E-5</v>
      </c>
      <c r="BZ155" s="364">
        <v>5.2880167718685845E-5</v>
      </c>
      <c r="CA155" s="364">
        <v>5.4554470846342939E-5</v>
      </c>
      <c r="CB155" s="364">
        <v>0</v>
      </c>
      <c r="CC155"/>
      <c r="CD155" s="196" t="s">
        <v>73</v>
      </c>
      <c r="CE155">
        <v>5.3323336847659331E-3</v>
      </c>
      <c r="CF155">
        <v>-6.9039306215676888E-3</v>
      </c>
      <c r="CG155">
        <v>1.6025204509658053E-2</v>
      </c>
      <c r="CH155">
        <v>4.1483672612651068E-2</v>
      </c>
      <c r="CI155">
        <v>2.2317315512673908E-2</v>
      </c>
      <c r="CJ155">
        <v>1.8545806766784079E-2</v>
      </c>
      <c r="CK155">
        <v>1.8545806766784079E-2</v>
      </c>
      <c r="CL155">
        <v>1.8545806766784079E-2</v>
      </c>
      <c r="CM155">
        <v>4.9992613617000359E-4</v>
      </c>
      <c r="CN155">
        <v>1.2512932740528893E-2</v>
      </c>
      <c r="CO155">
        <v>7.3668222624290181E-3</v>
      </c>
      <c r="CP155">
        <v>2.5699420223570524E-3</v>
      </c>
      <c r="CQ155">
        <v>1.1343785438634901E-2</v>
      </c>
      <c r="CR155">
        <v>-1.1495329516876263E-3</v>
      </c>
      <c r="CS155">
        <v>2.5197465939696073E-2</v>
      </c>
      <c r="CT155">
        <v>8.8898357687194896E-4</v>
      </c>
      <c r="CU155">
        <v>3.5884374744790115E-3</v>
      </c>
      <c r="CV155">
        <v>-3.0116232994380265E-2</v>
      </c>
      <c r="CW155">
        <v>-1.3647747637544949E-2</v>
      </c>
      <c r="CX155">
        <v>2.350881587937792E-2</v>
      </c>
      <c r="CY155">
        <v>-1.6753441330139007E-2</v>
      </c>
      <c r="DA155" s="540"/>
      <c r="DB155" s="363" t="s">
        <v>142</v>
      </c>
      <c r="DC155" s="364"/>
      <c r="DD155" s="364"/>
      <c r="DE155" s="364"/>
      <c r="DF155" s="364"/>
      <c r="DG155" s="364"/>
      <c r="DH155" s="388"/>
      <c r="DI155" s="388"/>
      <c r="DJ155" s="388"/>
      <c r="DK155" s="364"/>
      <c r="DL155" s="364"/>
      <c r="DM155" s="364"/>
      <c r="DN155" s="364"/>
      <c r="DO155" s="364"/>
      <c r="DP155" s="364"/>
      <c r="DQ155" s="364"/>
      <c r="DR155" s="364"/>
      <c r="DS155" s="364"/>
      <c r="DT155" s="364"/>
      <c r="DU155" s="364"/>
      <c r="DV155" s="364"/>
      <c r="DW155" s="364"/>
    </row>
    <row r="156" spans="1:127" ht="14.25" customHeight="1">
      <c r="A156" s="544"/>
      <c r="B156" s="197" t="s">
        <v>140</v>
      </c>
      <c r="C156" s="156">
        <v>1.04881790623223E-2</v>
      </c>
      <c r="D156" s="156">
        <v>0</v>
      </c>
      <c r="E156" s="156">
        <v>3.6497030203256328E-2</v>
      </c>
      <c r="F156" s="156">
        <v>0</v>
      </c>
      <c r="G156" s="156">
        <v>0.94392752638950772</v>
      </c>
      <c r="H156" s="156">
        <v>0</v>
      </c>
      <c r="I156" s="200">
        <v>9.0872643449137445E-3</v>
      </c>
      <c r="K156" s="216" t="s">
        <v>140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I156" s="216" t="s">
        <v>140</v>
      </c>
      <c r="AJ156" s="156">
        <v>0</v>
      </c>
      <c r="AK156" s="156">
        <v>0</v>
      </c>
      <c r="AL156" s="156">
        <v>0</v>
      </c>
      <c r="AM156" s="156">
        <v>0</v>
      </c>
      <c r="AN156" s="156">
        <v>0</v>
      </c>
      <c r="AO156" s="156">
        <v>0</v>
      </c>
      <c r="AP156" s="156">
        <v>0</v>
      </c>
      <c r="AQ156" s="156">
        <v>0</v>
      </c>
      <c r="AR156" s="156">
        <v>0</v>
      </c>
      <c r="AS156" s="156">
        <v>0</v>
      </c>
      <c r="AT156" s="156">
        <v>0</v>
      </c>
      <c r="AU156" s="156">
        <v>0</v>
      </c>
      <c r="AV156" s="156">
        <v>0</v>
      </c>
      <c r="AW156" s="156">
        <v>0</v>
      </c>
      <c r="AX156" s="156">
        <v>0</v>
      </c>
      <c r="AY156" s="156">
        <v>0</v>
      </c>
      <c r="AZ156" s="156">
        <v>0</v>
      </c>
      <c r="BA156" s="156">
        <v>0</v>
      </c>
      <c r="BB156" s="156">
        <v>0</v>
      </c>
      <c r="BC156" s="156">
        <v>0</v>
      </c>
      <c r="BD156" s="200">
        <v>0</v>
      </c>
      <c r="BF156" s="538"/>
      <c r="BG156" s="363" t="s">
        <v>61</v>
      </c>
      <c r="BH156" s="364">
        <v>3.8298695546671307E-7</v>
      </c>
      <c r="BI156" s="364">
        <v>4.2723514976855443E-7</v>
      </c>
      <c r="BJ156" s="364">
        <v>3.4032761443498626E-7</v>
      </c>
      <c r="BK156" s="364">
        <v>5.0458596372026972E-7</v>
      </c>
      <c r="BL156" s="364">
        <v>3.1298156794559408E-7</v>
      </c>
      <c r="BM156" s="388">
        <v>3.3167707342241579E-7</v>
      </c>
      <c r="BN156" s="388">
        <v>1.6617424419734323E-6</v>
      </c>
      <c r="BO156" s="388">
        <v>1.9296081455480764E-6</v>
      </c>
      <c r="BP156" s="364">
        <v>3.7225923696715149E-7</v>
      </c>
      <c r="BQ156" s="364">
        <v>3.487291506166634E-7</v>
      </c>
      <c r="BR156" s="364">
        <v>3.3490547321914507E-7</v>
      </c>
      <c r="BS156" s="364">
        <v>4.1448164219466783E-7</v>
      </c>
      <c r="BT156" s="364">
        <v>3.4387531210005796E-7</v>
      </c>
      <c r="BU156" s="364">
        <v>3.3154780411080361E-7</v>
      </c>
      <c r="BV156" s="364">
        <v>3.3991936984714516E-7</v>
      </c>
      <c r="BW156" s="364">
        <v>3.3575099757363278E-7</v>
      </c>
      <c r="BX156" s="364">
        <v>3.3937533600349579E-7</v>
      </c>
      <c r="BY156" s="364">
        <v>3.4586715143141659E-7</v>
      </c>
      <c r="BZ156" s="364">
        <v>3.2864434258836977E-7</v>
      </c>
      <c r="CA156" s="364">
        <v>3.1854577974515843E-7</v>
      </c>
      <c r="CB156" s="364">
        <v>0</v>
      </c>
      <c r="CC156"/>
      <c r="CD156" s="196" t="s">
        <v>75</v>
      </c>
      <c r="CE156">
        <v>1.784184906982289E-2</v>
      </c>
      <c r="CF156">
        <v>7.8593383086289492E-4</v>
      </c>
      <c r="CG156">
        <v>1.8125874521589092E-2</v>
      </c>
      <c r="CH156">
        <v>3.7035768573012051E-2</v>
      </c>
      <c r="CI156">
        <v>2.109380832704999E-2</v>
      </c>
      <c r="CJ156">
        <v>1.2830316439716993E-2</v>
      </c>
      <c r="CK156">
        <v>1.2830316439716993E-2</v>
      </c>
      <c r="CL156">
        <v>1.2830316439716993E-2</v>
      </c>
      <c r="CM156">
        <v>3.4883949466950614E-3</v>
      </c>
      <c r="CN156">
        <v>1.1129476291084961E-2</v>
      </c>
      <c r="CO156">
        <v>5.368948073229074E-3</v>
      </c>
      <c r="CP156">
        <v>1.9026201362114081E-2</v>
      </c>
      <c r="CQ156">
        <v>1.6106855161994948E-2</v>
      </c>
      <c r="CR156">
        <v>3.3677460635259671E-3</v>
      </c>
      <c r="CS156">
        <v>5.5323017437369781E-3</v>
      </c>
      <c r="CT156">
        <v>1.3532997742705E-2</v>
      </c>
      <c r="CU156">
        <v>1.1414162133096095E-2</v>
      </c>
      <c r="CV156">
        <v>-3.0275553548648637E-2</v>
      </c>
      <c r="CW156">
        <v>-7.0489224686984819E-3</v>
      </c>
      <c r="CX156">
        <v>3.3985163108890104E-2</v>
      </c>
      <c r="CY156">
        <v>-1.6753441330139007E-2</v>
      </c>
      <c r="DA156" s="540"/>
      <c r="DB156" s="363" t="s">
        <v>143</v>
      </c>
      <c r="DC156" s="364"/>
      <c r="DD156" s="364"/>
      <c r="DE156" s="364"/>
      <c r="DF156" s="364"/>
      <c r="DG156" s="364"/>
      <c r="DH156" s="388"/>
      <c r="DI156" s="388"/>
      <c r="DJ156" s="388"/>
      <c r="DK156" s="364"/>
      <c r="DL156" s="364"/>
      <c r="DM156" s="364"/>
      <c r="DN156" s="364"/>
      <c r="DO156" s="364"/>
      <c r="DP156" s="364"/>
      <c r="DQ156" s="364"/>
      <c r="DR156" s="364"/>
      <c r="DS156" s="364"/>
      <c r="DT156" s="364"/>
      <c r="DU156" s="364"/>
      <c r="DV156" s="364"/>
      <c r="DW156" s="364"/>
    </row>
    <row r="157" spans="1:127" ht="14.25" customHeight="1">
      <c r="A157" s="544"/>
      <c r="B157" s="197" t="s">
        <v>48</v>
      </c>
      <c r="C157" s="156">
        <v>8.9837500901463811E-6</v>
      </c>
      <c r="D157" s="156">
        <v>0</v>
      </c>
      <c r="E157" s="156">
        <v>0.99999101624990971</v>
      </c>
      <c r="F157" s="156">
        <v>0</v>
      </c>
      <c r="G157" s="156">
        <v>0</v>
      </c>
      <c r="H157" s="156">
        <v>0</v>
      </c>
      <c r="I157" s="200">
        <v>0</v>
      </c>
      <c r="K157" s="216" t="s">
        <v>48</v>
      </c>
      <c r="L157">
        <v>1</v>
      </c>
      <c r="M157">
        <v>1</v>
      </c>
      <c r="N157">
        <v>1</v>
      </c>
      <c r="O157">
        <v>1</v>
      </c>
      <c r="P157">
        <v>1</v>
      </c>
      <c r="Q157">
        <v>1</v>
      </c>
      <c r="R157">
        <v>1</v>
      </c>
      <c r="S157">
        <v>1</v>
      </c>
      <c r="T157">
        <v>1</v>
      </c>
      <c r="U157">
        <v>1</v>
      </c>
      <c r="V157">
        <v>1</v>
      </c>
      <c r="W157">
        <v>1</v>
      </c>
      <c r="X157">
        <v>1</v>
      </c>
      <c r="Y157">
        <v>1</v>
      </c>
      <c r="Z157">
        <v>1</v>
      </c>
      <c r="AA157">
        <v>1</v>
      </c>
      <c r="AB157">
        <v>1</v>
      </c>
      <c r="AC157">
        <v>1</v>
      </c>
      <c r="AD157">
        <v>1</v>
      </c>
      <c r="AE157">
        <v>1</v>
      </c>
      <c r="AF157">
        <v>0</v>
      </c>
      <c r="AI157" s="216" t="s">
        <v>48</v>
      </c>
      <c r="AJ157" s="156">
        <v>8.4793341944382829E-5</v>
      </c>
      <c r="AK157" s="156">
        <v>4.9267033515156207E-5</v>
      </c>
      <c r="AL157" s="156">
        <v>4.8361346258742693E-5</v>
      </c>
      <c r="AM157" s="156">
        <v>7.1423885049976731E-5</v>
      </c>
      <c r="AN157" s="156">
        <v>3.0555056509486612E-5</v>
      </c>
      <c r="AO157" s="156">
        <v>5.8345254135897647E-5</v>
      </c>
      <c r="AP157" s="156">
        <v>5.6534166773234821E-5</v>
      </c>
      <c r="AQ157" s="156">
        <v>4.3360298142261488E-5</v>
      </c>
      <c r="AR157" s="156">
        <v>2.6241477938668891E-5</v>
      </c>
      <c r="AS157" s="156">
        <v>5.5476877974585912E-5</v>
      </c>
      <c r="AT157" s="156">
        <v>9.4895811123643666E-5</v>
      </c>
      <c r="AU157" s="156">
        <v>6.8682747491752351E-5</v>
      </c>
      <c r="AV157" s="156">
        <v>1.002653061183153E-4</v>
      </c>
      <c r="AW157" s="156">
        <v>7.2858969535631832E-5</v>
      </c>
      <c r="AX157" s="156">
        <v>6.5666734471120185E-5</v>
      </c>
      <c r="AY157" s="156">
        <v>4.4463135570618832E-4</v>
      </c>
      <c r="AZ157" s="156">
        <v>3.3721754984076048E-5</v>
      </c>
      <c r="BA157" s="156">
        <v>3.4067060581277432E-5</v>
      </c>
      <c r="BB157" s="156">
        <v>9.2879246181713088E-4</v>
      </c>
      <c r="BC157" s="156">
        <v>4.2595723342451977E-5</v>
      </c>
      <c r="BD157" s="200">
        <v>0</v>
      </c>
      <c r="BF157" s="538"/>
      <c r="BG157" s="363" t="s">
        <v>63</v>
      </c>
      <c r="BH157" s="364">
        <v>1.6694211143274026E-6</v>
      </c>
      <c r="BI157" s="364">
        <v>1.4642511498178876E-6</v>
      </c>
      <c r="BJ157" s="364">
        <v>1.8018971233765247E-6</v>
      </c>
      <c r="BK157" s="364">
        <v>7.1881892100191549E-7</v>
      </c>
      <c r="BL157" s="364">
        <v>1.930740106524764E-6</v>
      </c>
      <c r="BM157" s="388">
        <v>1.367312489942604E-6</v>
      </c>
      <c r="BN157" s="388">
        <v>9.2683181592059291E-6</v>
      </c>
      <c r="BO157" s="388">
        <v>1.6737003826398363E-6</v>
      </c>
      <c r="BP157" s="364">
        <v>1.5560747688530742E-6</v>
      </c>
      <c r="BQ157" s="364">
        <v>1.6031154476117551E-6</v>
      </c>
      <c r="BR157" s="364">
        <v>1.6048999573621066E-6</v>
      </c>
      <c r="BS157" s="364">
        <v>1.2009908518045119E-6</v>
      </c>
      <c r="BT157" s="364">
        <v>1.7499381786072995E-6</v>
      </c>
      <c r="BU157" s="364">
        <v>1.8187760447221602E-6</v>
      </c>
      <c r="BV157" s="364">
        <v>1.752786977423525E-6</v>
      </c>
      <c r="BW157" s="364">
        <v>1.8300688865096462E-6</v>
      </c>
      <c r="BX157" s="364">
        <v>1.7322934397475336E-6</v>
      </c>
      <c r="BY157" s="364">
        <v>1.5723216280841073E-6</v>
      </c>
      <c r="BZ157" s="364">
        <v>1.7273071265459297E-6</v>
      </c>
      <c r="CA157" s="364">
        <v>1.9079438997214125E-6</v>
      </c>
      <c r="CB157" s="364">
        <v>0</v>
      </c>
      <c r="CC157"/>
      <c r="CD157" s="196" t="s">
        <v>146</v>
      </c>
      <c r="CE157">
        <v>1.8853538000721981E-2</v>
      </c>
      <c r="CF157">
        <v>-3.9616692808697174E-4</v>
      </c>
      <c r="CG157">
        <v>1.4081115923229914E-2</v>
      </c>
      <c r="CH157">
        <v>6.4115446156018052E-2</v>
      </c>
      <c r="CI157">
        <v>1.8193670088997971E-2</v>
      </c>
      <c r="CJ157">
        <v>3.1188955330379908E-2</v>
      </c>
      <c r="CK157">
        <v>3.1188955330379908E-2</v>
      </c>
      <c r="CL157">
        <v>3.1188955330379908E-2</v>
      </c>
      <c r="CM157">
        <v>6.099411857982906E-3</v>
      </c>
      <c r="CN157">
        <v>1.4144751128430055E-2</v>
      </c>
      <c r="CO157">
        <v>6.3611171958211088E-4</v>
      </c>
      <c r="CP157">
        <v>5.4062855059140436E-3</v>
      </c>
      <c r="CQ157">
        <v>6.5655700216220581E-3</v>
      </c>
      <c r="CR157">
        <v>-3.6093432557322558E-3</v>
      </c>
      <c r="CS157">
        <v>-2.3343995855595878E-3</v>
      </c>
      <c r="CT157">
        <v>7.745328151913089E-3</v>
      </c>
      <c r="CU157">
        <v>5.0018986914999175E-3</v>
      </c>
      <c r="CV157">
        <v>-2.7307964271301888E-2</v>
      </c>
      <c r="CW157">
        <v>4.2057927053620325E-3</v>
      </c>
      <c r="CX157">
        <v>2.5575949839871992E-2</v>
      </c>
      <c r="CY157">
        <v>-1.6753441330139007E-2</v>
      </c>
      <c r="DA157" s="540"/>
      <c r="DB157" s="363" t="s">
        <v>144</v>
      </c>
      <c r="DC157" s="364"/>
      <c r="DD157" s="364"/>
      <c r="DE157" s="364"/>
      <c r="DF157" s="364"/>
      <c r="DG157" s="364"/>
      <c r="DH157" s="388"/>
      <c r="DI157" s="388"/>
      <c r="DJ157" s="388"/>
      <c r="DK157" s="364"/>
      <c r="DL157" s="364"/>
      <c r="DM157" s="364"/>
      <c r="DN157" s="364"/>
      <c r="DO157" s="364"/>
      <c r="DP157" s="364"/>
      <c r="DQ157" s="364"/>
      <c r="DR157" s="364"/>
      <c r="DS157" s="364"/>
      <c r="DT157" s="364"/>
      <c r="DU157" s="364"/>
      <c r="DV157" s="364"/>
      <c r="DW157" s="364"/>
    </row>
    <row r="158" spans="1:127" ht="14.25" customHeight="1">
      <c r="A158" s="544"/>
      <c r="B158" s="197" t="s">
        <v>141</v>
      </c>
      <c r="C158" s="156">
        <v>0</v>
      </c>
      <c r="D158" s="156">
        <v>0</v>
      </c>
      <c r="E158" s="156">
        <v>0</v>
      </c>
      <c r="F158" s="156">
        <v>0</v>
      </c>
      <c r="G158" s="156">
        <v>0</v>
      </c>
      <c r="H158" s="156">
        <v>0</v>
      </c>
      <c r="I158" s="200">
        <v>1</v>
      </c>
      <c r="K158" s="216" t="s">
        <v>141</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I158" s="216" t="s">
        <v>141</v>
      </c>
      <c r="AJ158" s="156">
        <v>0</v>
      </c>
      <c r="AK158" s="156">
        <v>0</v>
      </c>
      <c r="AL158" s="156">
        <v>0</v>
      </c>
      <c r="AM158" s="156">
        <v>0</v>
      </c>
      <c r="AN158" s="156">
        <v>0</v>
      </c>
      <c r="AO158" s="156">
        <v>0</v>
      </c>
      <c r="AP158" s="156">
        <v>0</v>
      </c>
      <c r="AQ158" s="156">
        <v>0</v>
      </c>
      <c r="AR158" s="156">
        <v>0</v>
      </c>
      <c r="AS158" s="156">
        <v>0</v>
      </c>
      <c r="AT158" s="156">
        <v>0</v>
      </c>
      <c r="AU158" s="156">
        <v>0</v>
      </c>
      <c r="AV158" s="156">
        <v>0</v>
      </c>
      <c r="AW158" s="156">
        <v>0</v>
      </c>
      <c r="AX158" s="156">
        <v>0</v>
      </c>
      <c r="AY158" s="156">
        <v>0</v>
      </c>
      <c r="AZ158" s="156">
        <v>0</v>
      </c>
      <c r="BA158" s="156">
        <v>0</v>
      </c>
      <c r="BB158" s="156">
        <v>0</v>
      </c>
      <c r="BC158" s="156">
        <v>0</v>
      </c>
      <c r="BD158" s="200">
        <v>0</v>
      </c>
      <c r="BF158" s="538"/>
      <c r="BG158" s="363" t="s">
        <v>65</v>
      </c>
      <c r="BH158" s="364">
        <v>5.1389625290373662E-6</v>
      </c>
      <c r="BI158" s="364">
        <v>5.1342674375024426E-6</v>
      </c>
      <c r="BJ158" s="364">
        <v>4.4969194819596679E-6</v>
      </c>
      <c r="BK158" s="364">
        <v>9.492110885868311E-6</v>
      </c>
      <c r="BL158" s="364">
        <v>4.1574663590373534E-6</v>
      </c>
      <c r="BM158" s="388">
        <v>6.0525696693932777E-6</v>
      </c>
      <c r="BN158" s="388">
        <v>6.0525696693932777E-6</v>
      </c>
      <c r="BO158" s="388">
        <v>6.0525696693932777E-6</v>
      </c>
      <c r="BP158" s="364">
        <v>4.7529951552499598E-6</v>
      </c>
      <c r="BQ158" s="364">
        <v>4.6448904696364752E-6</v>
      </c>
      <c r="BR158" s="364">
        <v>4.8428285081894314E-6</v>
      </c>
      <c r="BS158" s="364">
        <v>5.6452159260619259E-6</v>
      </c>
      <c r="BT158" s="364">
        <v>4.8979796148700116E-6</v>
      </c>
      <c r="BU158" s="364">
        <v>4.7199362609692286E-6</v>
      </c>
      <c r="BV158" s="364">
        <v>4.7335508241022752E-6</v>
      </c>
      <c r="BW158" s="364">
        <v>4.4645335260433648E-6</v>
      </c>
      <c r="BX158" s="364">
        <v>4.7238916535321246E-6</v>
      </c>
      <c r="BY158" s="364">
        <v>5.128656468598127E-6</v>
      </c>
      <c r="BZ158" s="364">
        <v>4.8424522950958757E-6</v>
      </c>
      <c r="CA158" s="364">
        <v>4.6932153853593559E-6</v>
      </c>
      <c r="CB158" s="364"/>
      <c r="CC158"/>
      <c r="CD158" s="196" t="s">
        <v>83</v>
      </c>
      <c r="CE158">
        <v>3.8478228194021025E-3</v>
      </c>
      <c r="CF158">
        <v>-1.7450439653546534E-2</v>
      </c>
      <c r="CG158">
        <v>2.2752226421769439E-3</v>
      </c>
      <c r="CH158">
        <v>-6.7471408347691275E-3</v>
      </c>
      <c r="CI158">
        <v>3.79793237512005E-3</v>
      </c>
      <c r="CJ158">
        <v>-1.8482647101409233E-2</v>
      </c>
      <c r="CK158">
        <v>-1.8482647101409233E-2</v>
      </c>
      <c r="CL158">
        <v>-1.8482647101409233E-2</v>
      </c>
      <c r="CM158">
        <v>-1.0003128097232361E-3</v>
      </c>
      <c r="CN158">
        <v>-9.2740701091075239E-3</v>
      </c>
      <c r="CO158">
        <v>-2.5371698546166499E-2</v>
      </c>
      <c r="CP158">
        <v>-1.8582269792117856E-3</v>
      </c>
      <c r="CQ158">
        <v>-2.1848917012507796E-2</v>
      </c>
      <c r="CR158">
        <v>-2.2723945234792597E-2</v>
      </c>
      <c r="CS158">
        <v>-2.1099619642949596E-2</v>
      </c>
      <c r="CT158">
        <v>-5.8372980737736446E-3</v>
      </c>
      <c r="CU158">
        <v>-1.6384572103925632E-2</v>
      </c>
      <c r="CV158">
        <v>-8.5698592107350313E-2</v>
      </c>
      <c r="CW158">
        <v>-6.7225202906472936E-2</v>
      </c>
      <c r="CX158">
        <v>-6.9684500273714534E-4</v>
      </c>
      <c r="CY158">
        <v>-1.6753441330139007E-2</v>
      </c>
      <c r="DA158" s="540"/>
      <c r="DB158" s="363" t="s">
        <v>61</v>
      </c>
      <c r="DC158" s="364"/>
      <c r="DD158" s="364"/>
      <c r="DE158" s="364"/>
      <c r="DF158" s="364"/>
      <c r="DG158" s="364"/>
      <c r="DH158" s="388"/>
      <c r="DI158" s="388"/>
      <c r="DJ158" s="388"/>
      <c r="DK158" s="364"/>
      <c r="DL158" s="364"/>
      <c r="DM158" s="364"/>
      <c r="DN158" s="364"/>
      <c r="DO158" s="364"/>
      <c r="DP158" s="364"/>
      <c r="DQ158" s="364"/>
      <c r="DR158" s="364"/>
      <c r="DS158" s="364"/>
      <c r="DT158" s="364"/>
      <c r="DU158" s="364"/>
      <c r="DV158" s="364"/>
      <c r="DW158" s="364"/>
    </row>
    <row r="159" spans="1:127" ht="14.25" customHeight="1">
      <c r="A159" s="544"/>
      <c r="B159" s="197" t="s">
        <v>142</v>
      </c>
      <c r="C159" s="156">
        <v>0</v>
      </c>
      <c r="D159" s="156">
        <v>0</v>
      </c>
      <c r="E159" s="156">
        <v>0</v>
      </c>
      <c r="F159" s="156">
        <v>0</v>
      </c>
      <c r="G159" s="156">
        <v>0</v>
      </c>
      <c r="H159" s="156">
        <v>0.96266949754680231</v>
      </c>
      <c r="I159" s="200">
        <v>3.7330502453197648E-2</v>
      </c>
      <c r="K159" s="216" t="s">
        <v>142</v>
      </c>
      <c r="L159">
        <v>1</v>
      </c>
      <c r="M159">
        <v>1</v>
      </c>
      <c r="N159">
        <v>1</v>
      </c>
      <c r="O159">
        <v>1</v>
      </c>
      <c r="P159">
        <v>1</v>
      </c>
      <c r="Q159">
        <v>1</v>
      </c>
      <c r="R159">
        <v>1</v>
      </c>
      <c r="S159">
        <v>1</v>
      </c>
      <c r="T159">
        <v>1</v>
      </c>
      <c r="U159">
        <v>1</v>
      </c>
      <c r="V159">
        <v>1</v>
      </c>
      <c r="W159">
        <v>1</v>
      </c>
      <c r="X159">
        <v>1</v>
      </c>
      <c r="Y159">
        <v>1</v>
      </c>
      <c r="Z159">
        <v>1</v>
      </c>
      <c r="AA159">
        <v>1</v>
      </c>
      <c r="AB159">
        <v>1</v>
      </c>
      <c r="AC159">
        <v>1</v>
      </c>
      <c r="AD159">
        <v>1</v>
      </c>
      <c r="AE159">
        <v>1</v>
      </c>
      <c r="AF159">
        <v>0</v>
      </c>
      <c r="AI159" s="216" t="s">
        <v>142</v>
      </c>
      <c r="AJ159" s="156">
        <v>1.3066612854047501E-5</v>
      </c>
      <c r="AK159" s="156">
        <v>3.1265227500598058E-5</v>
      </c>
      <c r="AL159" s="156">
        <v>2.417735249107377E-5</v>
      </c>
      <c r="AM159" s="156">
        <v>5.9626863669406864E-6</v>
      </c>
      <c r="AN159" s="156">
        <v>1.6176092770746491E-5</v>
      </c>
      <c r="AO159" s="156">
        <v>1.5531105844340139E-5</v>
      </c>
      <c r="AP159" s="156">
        <v>9.6973836933832223E-4</v>
      </c>
      <c r="AQ159" s="156">
        <v>5.0529570668388665E-4</v>
      </c>
      <c r="AR159" s="156">
        <v>2.12883837737169E-5</v>
      </c>
      <c r="AS159" s="156">
        <v>9.2624993972747598E-6</v>
      </c>
      <c r="AT159" s="156">
        <v>1.9493997495619901E-5</v>
      </c>
      <c r="AU159" s="156">
        <v>2.0143740488668701E-5</v>
      </c>
      <c r="AV159" s="156">
        <v>2.6469063898722041E-5</v>
      </c>
      <c r="AW159" s="156">
        <v>1.7026135051333499E-5</v>
      </c>
      <c r="AX159" s="156">
        <v>1.7385192228583231E-5</v>
      </c>
      <c r="AY159" s="156">
        <v>1.308586561819824E-5</v>
      </c>
      <c r="AZ159" s="156">
        <v>2.1636802450563379E-5</v>
      </c>
      <c r="BA159" s="156">
        <v>1.532630182353182E-5</v>
      </c>
      <c r="BB159" s="156">
        <v>3.3631242265356597E-5</v>
      </c>
      <c r="BC159" s="156">
        <v>3.027121344373239E-5</v>
      </c>
      <c r="BD159" s="200">
        <v>0</v>
      </c>
      <c r="BF159" s="538"/>
      <c r="BG159" s="363" t="s">
        <v>67</v>
      </c>
      <c r="BH159" s="364">
        <v>6.5770775578558848E-7</v>
      </c>
      <c r="BI159" s="364">
        <v>6.8899880634379331E-7</v>
      </c>
      <c r="BJ159" s="364">
        <v>6.2242054572369685E-7</v>
      </c>
      <c r="BK159" s="364">
        <v>8.8060738584004481E-7</v>
      </c>
      <c r="BL159" s="364">
        <v>5.8719238514086547E-7</v>
      </c>
      <c r="BM159" s="388">
        <v>7.5981349314403344E-7</v>
      </c>
      <c r="BN159" s="388">
        <v>7.5981349314403344E-7</v>
      </c>
      <c r="BO159" s="388">
        <v>7.5981349314403344E-7</v>
      </c>
      <c r="BP159" s="364">
        <v>6.4940868011299061E-7</v>
      </c>
      <c r="BQ159" s="364">
        <v>6.7707143129766873E-7</v>
      </c>
      <c r="BR159" s="364">
        <v>6.3505417733045378E-7</v>
      </c>
      <c r="BS159" s="364">
        <v>7.0608527037508497E-7</v>
      </c>
      <c r="BT159" s="364">
        <v>6.3998250906091733E-7</v>
      </c>
      <c r="BU159" s="364">
        <v>6.2652650579048435E-7</v>
      </c>
      <c r="BV159" s="364">
        <v>6.260636648678466E-7</v>
      </c>
      <c r="BW159" s="364">
        <v>6.217485970144829E-7</v>
      </c>
      <c r="BX159" s="364">
        <v>6.2703030920815859E-7</v>
      </c>
      <c r="BY159" s="364">
        <v>6.6675804485685183E-7</v>
      </c>
      <c r="BZ159" s="364">
        <v>6.3404929329626001E-7</v>
      </c>
      <c r="CA159" s="364">
        <v>5.9785053421985455E-7</v>
      </c>
      <c r="CB159" s="364"/>
      <c r="CC159"/>
      <c r="CD159" s="196" t="s">
        <v>85</v>
      </c>
      <c r="CE159">
        <v>-9.9675297021791787E-3</v>
      </c>
      <c r="CF159">
        <v>-3.5461991911035384E-2</v>
      </c>
      <c r="CG159">
        <v>-8.5398213875735873E-3</v>
      </c>
      <c r="CH159">
        <v>-1.0707113592714146E-2</v>
      </c>
      <c r="CI159">
        <v>-3.4538079088131113E-3</v>
      </c>
      <c r="CJ159">
        <v>-1.877791502421311E-2</v>
      </c>
      <c r="CK159">
        <v>-1.8777915024212999E-2</v>
      </c>
      <c r="CL159">
        <v>-1.877791502421311E-2</v>
      </c>
      <c r="CM159">
        <v>-2.3263856238969316E-2</v>
      </c>
      <c r="CN159">
        <v>-1.2843328979734059E-2</v>
      </c>
      <c r="CO159">
        <v>-2.1678383462762185E-2</v>
      </c>
      <c r="CP159">
        <v>-1.0085888999082027E-2</v>
      </c>
      <c r="CQ159">
        <v>-1.3146789049748642E-2</v>
      </c>
      <c r="CR159">
        <v>-2.2365482066512898E-2</v>
      </c>
      <c r="CS159">
        <v>-2.7222812256623374E-2</v>
      </c>
      <c r="CT159">
        <v>-7.2224386066621626E-3</v>
      </c>
      <c r="CU159">
        <v>-7.3460828156183267E-3</v>
      </c>
      <c r="CV159">
        <v>-5.7282605480696192E-2</v>
      </c>
      <c r="CW159">
        <v>-3.0464164164482388E-2</v>
      </c>
      <c r="CX159">
        <v>1.3977961854698018E-2</v>
      </c>
      <c r="CY159">
        <v>-1.6753441330139007E-2</v>
      </c>
      <c r="DA159" s="540"/>
      <c r="DB159" s="363" t="s">
        <v>63</v>
      </c>
      <c r="DC159" s="364"/>
      <c r="DD159" s="364"/>
      <c r="DE159" s="364"/>
      <c r="DF159" s="364"/>
      <c r="DG159" s="364"/>
      <c r="DH159" s="388"/>
      <c r="DI159" s="388"/>
      <c r="DJ159" s="388"/>
      <c r="DK159" s="364"/>
      <c r="DL159" s="364"/>
      <c r="DM159" s="364"/>
      <c r="DN159" s="364"/>
      <c r="DO159" s="364"/>
      <c r="DP159" s="364"/>
      <c r="DQ159" s="364"/>
      <c r="DR159" s="364"/>
      <c r="DS159" s="364"/>
      <c r="DT159" s="364"/>
      <c r="DU159" s="364"/>
      <c r="DV159" s="364"/>
      <c r="DW159" s="364"/>
    </row>
    <row r="160" spans="1:127" ht="14.25" customHeight="1">
      <c r="A160" s="544"/>
      <c r="B160" s="197" t="s">
        <v>143</v>
      </c>
      <c r="C160" s="156">
        <v>2.1617548455874069E-4</v>
      </c>
      <c r="D160" s="156">
        <v>0.99978382451544134</v>
      </c>
      <c r="E160" s="156">
        <v>0</v>
      </c>
      <c r="F160" s="156">
        <v>0</v>
      </c>
      <c r="G160" s="156">
        <v>0</v>
      </c>
      <c r="H160" s="156">
        <v>0</v>
      </c>
      <c r="I160" s="200">
        <v>0</v>
      </c>
      <c r="K160" s="216" t="s">
        <v>143</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I160" s="216" t="s">
        <v>143</v>
      </c>
      <c r="AJ160" s="156">
        <v>0</v>
      </c>
      <c r="AK160" s="156">
        <v>0</v>
      </c>
      <c r="AL160" s="156">
        <v>0</v>
      </c>
      <c r="AM160" s="156">
        <v>0</v>
      </c>
      <c r="AN160" s="156">
        <v>0</v>
      </c>
      <c r="AO160" s="156">
        <v>0</v>
      </c>
      <c r="AP160" s="156">
        <v>0</v>
      </c>
      <c r="AQ160" s="156">
        <v>0</v>
      </c>
      <c r="AR160" s="156">
        <v>0</v>
      </c>
      <c r="AS160" s="156">
        <v>0</v>
      </c>
      <c r="AT160" s="156">
        <v>0</v>
      </c>
      <c r="AU160" s="156">
        <v>0</v>
      </c>
      <c r="AV160" s="156">
        <v>0</v>
      </c>
      <c r="AW160" s="156">
        <v>0</v>
      </c>
      <c r="AX160" s="156">
        <v>0</v>
      </c>
      <c r="AY160" s="156">
        <v>0</v>
      </c>
      <c r="AZ160" s="156">
        <v>0</v>
      </c>
      <c r="BA160" s="156">
        <v>0</v>
      </c>
      <c r="BB160" s="156">
        <v>0</v>
      </c>
      <c r="BC160" s="156">
        <v>0</v>
      </c>
      <c r="BD160" s="200">
        <v>0</v>
      </c>
      <c r="BF160" s="538"/>
      <c r="BG160" s="363" t="s">
        <v>69</v>
      </c>
      <c r="BH160" s="364">
        <v>1.06121715485947E-6</v>
      </c>
      <c r="BI160" s="364">
        <v>1.107026070851805E-6</v>
      </c>
      <c r="BJ160" s="364">
        <v>1.0287443846875619E-6</v>
      </c>
      <c r="BK160" s="364">
        <v>1.3184664837331471E-6</v>
      </c>
      <c r="BL160" s="364">
        <v>9.9887808333550836E-7</v>
      </c>
      <c r="BM160" s="388">
        <v>1.2228576322191751E-6</v>
      </c>
      <c r="BN160" s="388">
        <v>1.2228576322191751E-6</v>
      </c>
      <c r="BO160" s="388">
        <v>1.2228576322191751E-6</v>
      </c>
      <c r="BP160" s="364">
        <v>1.08033162084465E-6</v>
      </c>
      <c r="BQ160" s="364">
        <v>1.04211789060153E-6</v>
      </c>
      <c r="BR160" s="364">
        <v>1.0486140856317411E-6</v>
      </c>
      <c r="BS160" s="364">
        <v>1.1423512926240041E-6</v>
      </c>
      <c r="BT160" s="364">
        <v>1.060504536036717E-6</v>
      </c>
      <c r="BU160" s="364">
        <v>1.0234714489053399E-6</v>
      </c>
      <c r="BV160" s="364">
        <v>1.0250143911943389E-6</v>
      </c>
      <c r="BW160" s="364">
        <v>1.0233813480258149E-6</v>
      </c>
      <c r="BX160" s="364">
        <v>1.0261241700418511E-6</v>
      </c>
      <c r="BY160" s="364">
        <v>1.083531292298421E-6</v>
      </c>
      <c r="BZ160" s="364">
        <v>1.0418302811550981E-6</v>
      </c>
      <c r="CA160" s="364">
        <v>9.3593184393503946E-7</v>
      </c>
      <c r="CB160" s="364"/>
      <c r="CC160"/>
      <c r="CD160" s="196" t="s">
        <v>88</v>
      </c>
      <c r="CE160">
        <v>1.8322114172661941E-2</v>
      </c>
      <c r="CF160">
        <v>-1.5537283938657054E-2</v>
      </c>
      <c r="CG160">
        <v>1.5608974016096067E-2</v>
      </c>
      <c r="CH160">
        <v>-9.710811555068366E-3</v>
      </c>
      <c r="CI160">
        <v>1.7931017261114013E-2</v>
      </c>
      <c r="CJ160">
        <v>-1.5509623140105178E-2</v>
      </c>
      <c r="CK160">
        <v>-1.5509623140105067E-2</v>
      </c>
      <c r="CL160">
        <v>-1.5509623140105178E-2</v>
      </c>
      <c r="CM160">
        <v>-5.5628533033068583E-3</v>
      </c>
      <c r="CN160">
        <v>4.5589066905629139E-3</v>
      </c>
      <c r="CO160">
        <v>-2.5693616930954066E-3</v>
      </c>
      <c r="CP160">
        <v>4.2953068975359887E-3</v>
      </c>
      <c r="CQ160">
        <v>1.1692464801654978E-2</v>
      </c>
      <c r="CR160">
        <v>7.9898338135198088E-4</v>
      </c>
      <c r="CS160">
        <v>-6.1608313213448174E-3</v>
      </c>
      <c r="CT160">
        <v>1.4334084054697049E-2</v>
      </c>
      <c r="CU160">
        <v>1.1052508548254014E-2</v>
      </c>
      <c r="CV160">
        <v>-2.8591261041483573E-2</v>
      </c>
      <c r="CW160">
        <v>6.1071845599069974E-3</v>
      </c>
      <c r="CX160">
        <v>9.9136542069429012E-3</v>
      </c>
      <c r="CY160">
        <v>-1.6753441330139007E-2</v>
      </c>
      <c r="DA160" s="540"/>
      <c r="DB160" s="363" t="s">
        <v>65</v>
      </c>
      <c r="DC160" s="364"/>
      <c r="DD160" s="364"/>
      <c r="DE160" s="364"/>
      <c r="DF160" s="364"/>
      <c r="DG160" s="364"/>
      <c r="DH160" s="388"/>
      <c r="DI160" s="388"/>
      <c r="DJ160" s="388"/>
      <c r="DK160" s="364"/>
      <c r="DL160" s="364"/>
      <c r="DM160" s="364"/>
      <c r="DN160" s="364"/>
      <c r="DO160" s="364"/>
      <c r="DP160" s="364"/>
      <c r="DQ160" s="364"/>
      <c r="DR160" s="364"/>
      <c r="DS160" s="364"/>
      <c r="DT160" s="364"/>
      <c r="DU160" s="364"/>
      <c r="DV160" s="364"/>
      <c r="DW160" s="364"/>
    </row>
    <row r="161" spans="1:127" ht="14.25" customHeight="1">
      <c r="A161" s="544"/>
      <c r="B161" s="197" t="s">
        <v>144</v>
      </c>
      <c r="C161" s="156">
        <v>0</v>
      </c>
      <c r="D161" s="156">
        <v>0</v>
      </c>
      <c r="E161" s="156">
        <v>0</v>
      </c>
      <c r="F161" s="156">
        <v>0</v>
      </c>
      <c r="G161" s="156">
        <v>0</v>
      </c>
      <c r="H161" s="156">
        <v>0</v>
      </c>
      <c r="I161" s="200">
        <v>1</v>
      </c>
      <c r="K161" s="216" t="s">
        <v>144</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I161" s="216" t="s">
        <v>144</v>
      </c>
      <c r="AJ161" s="156">
        <v>0</v>
      </c>
      <c r="AK161" s="156">
        <v>0</v>
      </c>
      <c r="AL161" s="156">
        <v>0</v>
      </c>
      <c r="AM161" s="156">
        <v>0</v>
      </c>
      <c r="AN161" s="156">
        <v>0</v>
      </c>
      <c r="AO161" s="156">
        <v>0</v>
      </c>
      <c r="AP161" s="156">
        <v>0</v>
      </c>
      <c r="AQ161" s="156">
        <v>0</v>
      </c>
      <c r="AR161" s="156">
        <v>0</v>
      </c>
      <c r="AS161" s="156">
        <v>0</v>
      </c>
      <c r="AT161" s="156">
        <v>0</v>
      </c>
      <c r="AU161" s="156">
        <v>0</v>
      </c>
      <c r="AV161" s="156">
        <v>0</v>
      </c>
      <c r="AW161" s="156">
        <v>0</v>
      </c>
      <c r="AX161" s="156">
        <v>0</v>
      </c>
      <c r="AY161" s="156">
        <v>0</v>
      </c>
      <c r="AZ161" s="156">
        <v>0</v>
      </c>
      <c r="BA161" s="156">
        <v>0</v>
      </c>
      <c r="BB161" s="156">
        <v>0</v>
      </c>
      <c r="BC161" s="156">
        <v>0</v>
      </c>
      <c r="BD161" s="200">
        <v>0</v>
      </c>
      <c r="BF161" s="538"/>
      <c r="BG161" s="363" t="s">
        <v>145</v>
      </c>
      <c r="BH161" s="364">
        <v>1.3200004569774061E-5</v>
      </c>
      <c r="BI161" s="364">
        <v>1.5403318384941659E-5</v>
      </c>
      <c r="BJ161" s="364">
        <v>1.264137150206392E-5</v>
      </c>
      <c r="BK161" s="364">
        <v>1.7021621571323019E-5</v>
      </c>
      <c r="BL161" s="364">
        <v>1.2131126894745499E-5</v>
      </c>
      <c r="BM161" s="388">
        <v>1.8303991729618861E-5</v>
      </c>
      <c r="BN161" s="388">
        <v>1.8303991729618861E-5</v>
      </c>
      <c r="BO161" s="388">
        <v>1.8303991729618861E-5</v>
      </c>
      <c r="BP161" s="364">
        <v>1.493938083741069E-5</v>
      </c>
      <c r="BQ161" s="364">
        <v>1.337974805063178E-5</v>
      </c>
      <c r="BR161" s="364">
        <v>1.405305363048074E-5</v>
      </c>
      <c r="BS161" s="364">
        <v>1.68278928786807E-5</v>
      </c>
      <c r="BT161" s="364">
        <v>1.3573064357497781E-5</v>
      </c>
      <c r="BU161" s="364">
        <v>1.4526694635511771E-5</v>
      </c>
      <c r="BV161" s="364">
        <v>1.8675051766329978E-5</v>
      </c>
      <c r="BW161" s="364">
        <v>1.416459660373444E-5</v>
      </c>
      <c r="BX161" s="364">
        <v>1.53630083492378E-5</v>
      </c>
      <c r="BY161" s="364">
        <v>1.841192786615785E-5</v>
      </c>
      <c r="BZ161" s="364">
        <v>1.5405894602590739E-5</v>
      </c>
      <c r="CA161" s="364">
        <v>1.2675160780876969E-5</v>
      </c>
      <c r="CB161" s="364"/>
      <c r="CC161"/>
      <c r="CD161" s="196" t="s">
        <v>147</v>
      </c>
      <c r="CE161">
        <v>-1.8659821437762014E-2</v>
      </c>
      <c r="CF161">
        <v>-3.3097992683787436E-2</v>
      </c>
      <c r="CG161">
        <v>-1.2664881642144521E-2</v>
      </c>
      <c r="CH161">
        <v>-2.5131079675968504E-3</v>
      </c>
      <c r="CI161">
        <v>-9.273861998220112E-3</v>
      </c>
      <c r="CJ161">
        <v>-3.1986828890115282E-2</v>
      </c>
      <c r="CK161">
        <v>-3.1986828890115282E-2</v>
      </c>
      <c r="CL161">
        <v>-3.1986828890115282E-2</v>
      </c>
      <c r="CM161">
        <v>-5.0729246627219893E-2</v>
      </c>
      <c r="CN161">
        <v>-1.4404700443182539E-2</v>
      </c>
      <c r="CO161">
        <v>-2.9489970936078747E-2</v>
      </c>
      <c r="CP161">
        <v>-1.3542865597571452E-2</v>
      </c>
      <c r="CQ161">
        <v>-2.4747606127267674E-2</v>
      </c>
      <c r="CR161">
        <v>-2.4185336251033807E-2</v>
      </c>
      <c r="CS161">
        <v>-2.905554659274312E-2</v>
      </c>
      <c r="CT161">
        <v>1.8048087734809926E-3</v>
      </c>
      <c r="CU161">
        <v>-1.606034015167257E-2</v>
      </c>
      <c r="CV161">
        <v>-7.5395793803451738E-2</v>
      </c>
      <c r="CW161">
        <v>-4.885584802640186E-2</v>
      </c>
      <c r="CX161">
        <v>9.8554564386019727E-3</v>
      </c>
      <c r="CY161">
        <v>-1.6753441330139007E-2</v>
      </c>
      <c r="DA161" s="540"/>
      <c r="DB161" s="363" t="s">
        <v>67</v>
      </c>
      <c r="DC161" s="364"/>
      <c r="DD161" s="364"/>
      <c r="DE161" s="364"/>
      <c r="DF161" s="364"/>
      <c r="DG161" s="364"/>
      <c r="DH161" s="388"/>
      <c r="DI161" s="388"/>
      <c r="DJ161" s="388"/>
      <c r="DK161" s="364"/>
      <c r="DL161" s="364"/>
      <c r="DM161" s="364"/>
      <c r="DN161" s="364"/>
      <c r="DO161" s="364"/>
      <c r="DP161" s="364"/>
      <c r="DQ161" s="364"/>
      <c r="DR161" s="364"/>
      <c r="DS161" s="364"/>
      <c r="DT161" s="364"/>
      <c r="DU161" s="364"/>
      <c r="DV161" s="364"/>
      <c r="DW161" s="364"/>
    </row>
    <row r="162" spans="1:127" ht="14.25" customHeight="1">
      <c r="A162" s="544"/>
      <c r="B162" s="197" t="s">
        <v>61</v>
      </c>
      <c r="C162" s="156">
        <v>0</v>
      </c>
      <c r="D162" s="156">
        <v>0</v>
      </c>
      <c r="E162" s="156">
        <v>0</v>
      </c>
      <c r="F162" s="156">
        <v>0</v>
      </c>
      <c r="G162" s="156">
        <v>0</v>
      </c>
      <c r="H162" s="156">
        <v>0.78825909714537945</v>
      </c>
      <c r="I162" s="200">
        <v>0.21174090285462061</v>
      </c>
      <c r="K162" s="216" t="s">
        <v>61</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I162" s="216" t="s">
        <v>61</v>
      </c>
      <c r="AJ162" s="156">
        <v>0</v>
      </c>
      <c r="AK162" s="156">
        <v>0</v>
      </c>
      <c r="AL162" s="156">
        <v>0</v>
      </c>
      <c r="AM162" s="156">
        <v>0</v>
      </c>
      <c r="AN162" s="156">
        <v>0</v>
      </c>
      <c r="AO162" s="156">
        <v>0</v>
      </c>
      <c r="AP162" s="156">
        <v>0</v>
      </c>
      <c r="AQ162" s="156">
        <v>0</v>
      </c>
      <c r="AR162" s="156">
        <v>0</v>
      </c>
      <c r="AS162" s="156">
        <v>0</v>
      </c>
      <c r="AT162" s="156">
        <v>0</v>
      </c>
      <c r="AU162" s="156">
        <v>0</v>
      </c>
      <c r="AV162" s="156">
        <v>0</v>
      </c>
      <c r="AW162" s="156">
        <v>0</v>
      </c>
      <c r="AX162" s="156">
        <v>0</v>
      </c>
      <c r="AY162" s="156">
        <v>0</v>
      </c>
      <c r="AZ162" s="156">
        <v>0</v>
      </c>
      <c r="BA162" s="156">
        <v>0</v>
      </c>
      <c r="BB162" s="156">
        <v>0</v>
      </c>
      <c r="BC162" s="156">
        <v>0</v>
      </c>
      <c r="BD162" s="200">
        <v>0</v>
      </c>
      <c r="BF162" s="538"/>
      <c r="BG162" s="363" t="s">
        <v>73</v>
      </c>
      <c r="BH162" s="364">
        <v>1.8628008761714049E-6</v>
      </c>
      <c r="BI162" s="364">
        <v>1.9180536346564768E-6</v>
      </c>
      <c r="BJ162" s="364">
        <v>1.8468914887070149E-6</v>
      </c>
      <c r="BK162" s="364">
        <v>2.1980255022332948E-6</v>
      </c>
      <c r="BL162" s="364">
        <v>1.8374808148376011E-6</v>
      </c>
      <c r="BM162" s="388">
        <v>2.005287433073786E-6</v>
      </c>
      <c r="BN162" s="388">
        <v>2.005287433073786E-6</v>
      </c>
      <c r="BO162" s="388">
        <v>2.005287433073786E-6</v>
      </c>
      <c r="BP162" s="364">
        <v>1.896322142080664E-6</v>
      </c>
      <c r="BQ162" s="364">
        <v>1.8911387335516891E-6</v>
      </c>
      <c r="BR162" s="364">
        <v>1.8943044604707069E-6</v>
      </c>
      <c r="BS162" s="364">
        <v>1.933506395033649E-6</v>
      </c>
      <c r="BT162" s="364">
        <v>1.8728265855093191E-6</v>
      </c>
      <c r="BU162" s="364">
        <v>1.875367866276873E-6</v>
      </c>
      <c r="BV162" s="364">
        <v>1.8726768527376549E-6</v>
      </c>
      <c r="BW162" s="364">
        <v>1.887927007282621E-6</v>
      </c>
      <c r="BX162" s="364">
        <v>1.88671728610088E-6</v>
      </c>
      <c r="BY162" s="364">
        <v>1.8857951403434769E-6</v>
      </c>
      <c r="BZ162" s="364">
        <v>1.900106762440434E-6</v>
      </c>
      <c r="CA162" s="364">
        <v>1.867868485174415E-6</v>
      </c>
      <c r="CB162" s="364"/>
      <c r="CC162"/>
      <c r="CD162"/>
      <c r="CE162"/>
      <c r="CF162"/>
      <c r="CG162"/>
      <c r="CH162"/>
      <c r="CI162"/>
      <c r="CJ162"/>
      <c r="CK162"/>
      <c r="DA162" s="540"/>
      <c r="DB162" s="363" t="s">
        <v>69</v>
      </c>
      <c r="DC162" s="364"/>
      <c r="DD162" s="364"/>
      <c r="DE162" s="364"/>
      <c r="DF162" s="364"/>
      <c r="DG162" s="364"/>
      <c r="DH162" s="388"/>
      <c r="DI162" s="388"/>
      <c r="DJ162" s="388"/>
      <c r="DK162" s="364"/>
      <c r="DL162" s="364"/>
      <c r="DM162" s="364"/>
      <c r="DN162" s="364"/>
      <c r="DO162" s="364"/>
      <c r="DP162" s="364"/>
      <c r="DQ162" s="364"/>
      <c r="DR162" s="364"/>
      <c r="DS162" s="364"/>
      <c r="DT162" s="364"/>
      <c r="DU162" s="364"/>
      <c r="DV162" s="364"/>
      <c r="DW162" s="364"/>
    </row>
    <row r="163" spans="1:127" ht="14.25" customHeight="1">
      <c r="A163" s="544"/>
      <c r="B163" s="197" t="s">
        <v>63</v>
      </c>
      <c r="C163" s="156">
        <v>0</v>
      </c>
      <c r="D163" s="156">
        <v>0</v>
      </c>
      <c r="E163" s="156">
        <v>0</v>
      </c>
      <c r="F163" s="156">
        <v>0</v>
      </c>
      <c r="G163" s="156">
        <v>0</v>
      </c>
      <c r="H163" s="156">
        <v>0</v>
      </c>
      <c r="I163" s="200">
        <v>0</v>
      </c>
      <c r="K163" s="216" t="s">
        <v>63</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I163" s="216" t="s">
        <v>63</v>
      </c>
      <c r="AJ163" s="156">
        <v>0</v>
      </c>
      <c r="AK163" s="156">
        <v>0</v>
      </c>
      <c r="AL163" s="156">
        <v>0</v>
      </c>
      <c r="AM163" s="156">
        <v>0</v>
      </c>
      <c r="AN163" s="156">
        <v>0</v>
      </c>
      <c r="AO163" s="156">
        <v>0</v>
      </c>
      <c r="AP163" s="156">
        <v>0</v>
      </c>
      <c r="AQ163" s="156">
        <v>0</v>
      </c>
      <c r="AR163" s="156">
        <v>0</v>
      </c>
      <c r="AS163" s="156">
        <v>0</v>
      </c>
      <c r="AT163" s="156">
        <v>0</v>
      </c>
      <c r="AU163" s="156">
        <v>0</v>
      </c>
      <c r="AV163" s="156">
        <v>0</v>
      </c>
      <c r="AW163" s="156">
        <v>0</v>
      </c>
      <c r="AX163" s="156">
        <v>0</v>
      </c>
      <c r="AY163" s="156">
        <v>0</v>
      </c>
      <c r="AZ163" s="156">
        <v>0</v>
      </c>
      <c r="BA163" s="156">
        <v>0</v>
      </c>
      <c r="BB163" s="156">
        <v>0</v>
      </c>
      <c r="BC163" s="156">
        <v>0</v>
      </c>
      <c r="BD163" s="200">
        <v>0</v>
      </c>
      <c r="BF163" s="538"/>
      <c r="BG163" s="363" t="s">
        <v>75</v>
      </c>
      <c r="BH163" s="364">
        <v>1.007896854019094E-6</v>
      </c>
      <c r="BI163" s="364">
        <v>1.002481168022469E-6</v>
      </c>
      <c r="BJ163" s="364">
        <v>9.4884595344926952E-7</v>
      </c>
      <c r="BK163" s="364">
        <v>1.4723385087108059E-6</v>
      </c>
      <c r="BL163" s="364">
        <v>9.054294206803945E-7</v>
      </c>
      <c r="BM163" s="388">
        <v>1.06591179342674E-6</v>
      </c>
      <c r="BN163" s="388">
        <v>1.06591179342674E-6</v>
      </c>
      <c r="BO163" s="388">
        <v>1.06591179342674E-6</v>
      </c>
      <c r="BP163" s="364">
        <v>9.3865896961582634E-7</v>
      </c>
      <c r="BQ163" s="364">
        <v>9.2633055746286128E-7</v>
      </c>
      <c r="BR163" s="364">
        <v>8.7180920426255268E-7</v>
      </c>
      <c r="BS163" s="364">
        <v>1.003534541770278E-6</v>
      </c>
      <c r="BT163" s="364">
        <v>9.0317812128033204E-7</v>
      </c>
      <c r="BU163" s="364">
        <v>8.6433824240470657E-7</v>
      </c>
      <c r="BV163" s="364">
        <v>7.7686853513271156E-7</v>
      </c>
      <c r="BW163" s="364">
        <v>8.4204736043824913E-7</v>
      </c>
      <c r="BX163" s="364">
        <v>8.6963187166202348E-7</v>
      </c>
      <c r="BY163" s="364">
        <v>8.6017027119120295E-7</v>
      </c>
      <c r="BZ163" s="364">
        <v>8.4525430348311723E-7</v>
      </c>
      <c r="CA163" s="364">
        <v>8.5972285596153836E-7</v>
      </c>
      <c r="CB163" s="364"/>
      <c r="CC163"/>
      <c r="CD163"/>
      <c r="CE163"/>
      <c r="CF163"/>
      <c r="CG163"/>
      <c r="CH163"/>
      <c r="CI163"/>
      <c r="CJ163"/>
      <c r="CK163"/>
      <c r="DA163" s="540"/>
      <c r="DB163" s="363" t="s">
        <v>145</v>
      </c>
      <c r="DC163" s="364"/>
      <c r="DD163" s="364"/>
      <c r="DE163" s="364"/>
      <c r="DF163" s="364"/>
      <c r="DG163" s="364"/>
      <c r="DH163" s="388"/>
      <c r="DI163" s="388"/>
      <c r="DJ163" s="388"/>
      <c r="DK163" s="364"/>
      <c r="DL163" s="364"/>
      <c r="DM163" s="364"/>
      <c r="DN163" s="364"/>
      <c r="DO163" s="364"/>
      <c r="DP163" s="364"/>
      <c r="DQ163" s="364"/>
      <c r="DR163" s="364"/>
      <c r="DS163" s="364"/>
      <c r="DT163" s="364"/>
      <c r="DU163" s="364"/>
      <c r="DV163" s="364"/>
      <c r="DW163" s="364"/>
    </row>
    <row r="164" spans="1:127" ht="14.25" customHeight="1">
      <c r="A164" s="544"/>
      <c r="B164" s="197" t="s">
        <v>65</v>
      </c>
      <c r="C164" s="156">
        <v>0</v>
      </c>
      <c r="D164" s="156">
        <v>0</v>
      </c>
      <c r="E164" s="156">
        <v>1</v>
      </c>
      <c r="F164" s="156">
        <v>0</v>
      </c>
      <c r="G164" s="156">
        <v>0</v>
      </c>
      <c r="H164" s="156">
        <v>0</v>
      </c>
      <c r="I164" s="200">
        <v>0</v>
      </c>
      <c r="K164" s="216" t="s">
        <v>65</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I164" s="216" t="s">
        <v>65</v>
      </c>
      <c r="AJ164" s="156">
        <v>0</v>
      </c>
      <c r="AK164" s="156">
        <v>0</v>
      </c>
      <c r="AL164" s="156">
        <v>0</v>
      </c>
      <c r="AM164" s="156">
        <v>0</v>
      </c>
      <c r="AN164" s="156">
        <v>0</v>
      </c>
      <c r="AO164" s="156">
        <v>0</v>
      </c>
      <c r="AP164" s="156">
        <v>0</v>
      </c>
      <c r="AQ164" s="156">
        <v>0</v>
      </c>
      <c r="AR164" s="156">
        <v>0</v>
      </c>
      <c r="AS164" s="156">
        <v>0</v>
      </c>
      <c r="AT164" s="156">
        <v>0</v>
      </c>
      <c r="AU164" s="156">
        <v>0</v>
      </c>
      <c r="AV164" s="156">
        <v>0</v>
      </c>
      <c r="AW164" s="156">
        <v>0</v>
      </c>
      <c r="AX164" s="156">
        <v>0</v>
      </c>
      <c r="AY164" s="156">
        <v>0</v>
      </c>
      <c r="AZ164" s="156">
        <v>0</v>
      </c>
      <c r="BA164" s="156">
        <v>0</v>
      </c>
      <c r="BB164" s="156">
        <v>0</v>
      </c>
      <c r="BC164" s="156">
        <v>0</v>
      </c>
      <c r="BD164" s="200">
        <v>0</v>
      </c>
      <c r="BF164" s="538"/>
      <c r="BG164" s="363" t="s">
        <v>146</v>
      </c>
      <c r="BH164" s="364">
        <v>4.9563121805918783E-7</v>
      </c>
      <c r="BI164" s="364">
        <v>4.6121163677318972E-7</v>
      </c>
      <c r="BJ164" s="364">
        <v>4.5155868687555302E-7</v>
      </c>
      <c r="BK164" s="364">
        <v>5.0830788595996921E-7</v>
      </c>
      <c r="BL164" s="364">
        <v>4.3300766800290839E-7</v>
      </c>
      <c r="BM164" s="388">
        <v>4.852301635799846E-7</v>
      </c>
      <c r="BN164" s="388">
        <v>4.852301635799846E-7</v>
      </c>
      <c r="BO164" s="388">
        <v>4.852301635799846E-7</v>
      </c>
      <c r="BP164" s="364">
        <v>4.8187392435488632E-7</v>
      </c>
      <c r="BQ164" s="364">
        <v>4.8650730393086787E-7</v>
      </c>
      <c r="BR164" s="364">
        <v>5.2987634936411E-7</v>
      </c>
      <c r="BS164" s="364">
        <v>5.0671401558072237E-7</v>
      </c>
      <c r="BT164" s="364">
        <v>4.8661935613715797E-7</v>
      </c>
      <c r="BU164" s="364">
        <v>5.0580133179316901E-7</v>
      </c>
      <c r="BV164" s="364">
        <v>7.3581056312038392E-7</v>
      </c>
      <c r="BW164" s="364">
        <v>5.1315481158984822E-7</v>
      </c>
      <c r="BX164" s="364">
        <v>5.0339266250049576E-7</v>
      </c>
      <c r="BY164" s="364">
        <v>5.0275317160797911E-7</v>
      </c>
      <c r="BZ164" s="364">
        <v>4.9350527388852399E-7</v>
      </c>
      <c r="CA164" s="364">
        <v>4.5731240851173242E-7</v>
      </c>
      <c r="CB164" s="364"/>
      <c r="CC164"/>
      <c r="CD164"/>
      <c r="CE164"/>
      <c r="CF164"/>
      <c r="CG164"/>
      <c r="CH164"/>
      <c r="CI164"/>
      <c r="CJ164"/>
      <c r="CK164"/>
      <c r="DA164" s="540"/>
      <c r="DB164" s="363" t="s">
        <v>73</v>
      </c>
      <c r="DC164" s="364"/>
      <c r="DD164" s="364"/>
      <c r="DE164" s="364"/>
      <c r="DF164" s="364"/>
      <c r="DG164" s="364"/>
      <c r="DH164" s="388"/>
      <c r="DI164" s="388"/>
      <c r="DJ164" s="388"/>
      <c r="DK164" s="364"/>
      <c r="DL164" s="364"/>
      <c r="DM164" s="364"/>
      <c r="DN164" s="364"/>
      <c r="DO164" s="364"/>
      <c r="DP164" s="364"/>
      <c r="DQ164" s="364"/>
      <c r="DR164" s="364"/>
      <c r="DS164" s="364"/>
      <c r="DT164" s="364"/>
      <c r="DU164" s="364"/>
      <c r="DV164" s="364"/>
      <c r="DW164" s="364"/>
    </row>
    <row r="165" spans="1:127" ht="14.25" customHeight="1">
      <c r="A165" s="544"/>
      <c r="B165" s="197" t="s">
        <v>67</v>
      </c>
      <c r="C165" s="156">
        <v>0</v>
      </c>
      <c r="D165" s="156">
        <v>0</v>
      </c>
      <c r="E165" s="156">
        <v>0</v>
      </c>
      <c r="F165" s="156">
        <v>0</v>
      </c>
      <c r="G165" s="156">
        <v>0</v>
      </c>
      <c r="H165" s="156">
        <v>0</v>
      </c>
      <c r="I165" s="200">
        <v>1</v>
      </c>
      <c r="K165" s="216" t="s">
        <v>67</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I165" s="216" t="s">
        <v>67</v>
      </c>
      <c r="AJ165" s="156">
        <v>0</v>
      </c>
      <c r="AK165" s="156">
        <v>0</v>
      </c>
      <c r="AL165" s="156">
        <v>0</v>
      </c>
      <c r="AM165" s="156">
        <v>0</v>
      </c>
      <c r="AN165" s="156">
        <v>0</v>
      </c>
      <c r="AO165" s="156">
        <v>0</v>
      </c>
      <c r="AP165" s="156">
        <v>0</v>
      </c>
      <c r="AQ165" s="156">
        <v>0</v>
      </c>
      <c r="AR165" s="156">
        <v>0</v>
      </c>
      <c r="AS165" s="156">
        <v>0</v>
      </c>
      <c r="AT165" s="156">
        <v>0</v>
      </c>
      <c r="AU165" s="156">
        <v>0</v>
      </c>
      <c r="AV165" s="156">
        <v>0</v>
      </c>
      <c r="AW165" s="156">
        <v>0</v>
      </c>
      <c r="AX165" s="156">
        <v>0</v>
      </c>
      <c r="AY165" s="156">
        <v>0</v>
      </c>
      <c r="AZ165" s="156">
        <v>0</v>
      </c>
      <c r="BA165" s="156">
        <v>0</v>
      </c>
      <c r="BB165" s="156">
        <v>0</v>
      </c>
      <c r="BC165" s="156">
        <v>0</v>
      </c>
      <c r="BD165" s="200">
        <v>0</v>
      </c>
      <c r="BF165" s="538"/>
      <c r="BG165" s="363" t="s">
        <v>83</v>
      </c>
      <c r="BH165" s="364">
        <v>7.9007601549363787E-7</v>
      </c>
      <c r="BI165" s="364">
        <v>9.6712191054317522E-7</v>
      </c>
      <c r="BJ165" s="364">
        <v>7.000129157509195E-7</v>
      </c>
      <c r="BK165" s="364">
        <v>1.8630601637483181E-6</v>
      </c>
      <c r="BL165" s="364">
        <v>6.5720450955706443E-7</v>
      </c>
      <c r="BM165" s="388">
        <v>1.294303413823059E-6</v>
      </c>
      <c r="BN165" s="388">
        <v>1.294303413823059E-6</v>
      </c>
      <c r="BO165" s="388">
        <v>1.294303413823059E-6</v>
      </c>
      <c r="BP165" s="364">
        <v>9.3260428348919673E-7</v>
      </c>
      <c r="BQ165" s="364">
        <v>7.445124396118742E-7</v>
      </c>
      <c r="BR165" s="364">
        <v>7.7233827843182517E-7</v>
      </c>
      <c r="BS165" s="364">
        <v>9.8993211596151704E-7</v>
      </c>
      <c r="BT165" s="364">
        <v>7.3444773549470065E-7</v>
      </c>
      <c r="BU165" s="364">
        <v>7.2952085727373979E-7</v>
      </c>
      <c r="BV165" s="364">
        <v>8.2769946584350696E-7</v>
      </c>
      <c r="BW165" s="364">
        <v>7.2311624398018489E-7</v>
      </c>
      <c r="BX165" s="364">
        <v>7.4628685231319859E-7</v>
      </c>
      <c r="BY165" s="364">
        <v>8.3042811136492586E-7</v>
      </c>
      <c r="BZ165" s="364">
        <v>7.4779159805340318E-7</v>
      </c>
      <c r="CA165" s="364">
        <v>6.6445315242082804E-7</v>
      </c>
      <c r="CB165" s="364"/>
      <c r="CC165"/>
      <c r="CD165"/>
      <c r="CE165"/>
      <c r="CF165"/>
      <c r="CG165"/>
      <c r="CH165"/>
      <c r="CI165"/>
      <c r="CJ165"/>
      <c r="CK165"/>
      <c r="DA165" s="540"/>
      <c r="DB165" s="363" t="s">
        <v>75</v>
      </c>
      <c r="DC165" s="364"/>
      <c r="DD165" s="364"/>
      <c r="DE165" s="364"/>
      <c r="DF165" s="364"/>
      <c r="DG165" s="364"/>
      <c r="DH165" s="388"/>
      <c r="DI165" s="388"/>
      <c r="DJ165" s="388"/>
      <c r="DK165" s="364"/>
      <c r="DL165" s="364"/>
      <c r="DM165" s="364"/>
      <c r="DN165" s="364"/>
      <c r="DO165" s="364"/>
      <c r="DP165" s="364"/>
      <c r="DQ165" s="364"/>
      <c r="DR165" s="364"/>
      <c r="DS165" s="364"/>
      <c r="DT165" s="364"/>
      <c r="DU165" s="364"/>
      <c r="DV165" s="364"/>
      <c r="DW165" s="364"/>
    </row>
    <row r="166" spans="1:127" ht="14.25" customHeight="1">
      <c r="A166" s="544"/>
      <c r="B166" s="197" t="s">
        <v>69</v>
      </c>
      <c r="C166" s="156">
        <v>0</v>
      </c>
      <c r="D166" s="156">
        <v>0</v>
      </c>
      <c r="E166" s="156">
        <v>0</v>
      </c>
      <c r="F166" s="156">
        <v>0</v>
      </c>
      <c r="G166" s="156">
        <v>0</v>
      </c>
      <c r="H166" s="156">
        <v>0</v>
      </c>
      <c r="I166" s="200">
        <v>0</v>
      </c>
      <c r="K166" s="216" t="s">
        <v>69</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I166" s="216" t="s">
        <v>69</v>
      </c>
      <c r="AJ166" s="156">
        <v>0</v>
      </c>
      <c r="AK166" s="156">
        <v>0</v>
      </c>
      <c r="AL166" s="156">
        <v>0</v>
      </c>
      <c r="AM166" s="156">
        <v>0</v>
      </c>
      <c r="AN166" s="156">
        <v>0</v>
      </c>
      <c r="AO166" s="156">
        <v>0</v>
      </c>
      <c r="AP166" s="156">
        <v>0</v>
      </c>
      <c r="AQ166" s="156">
        <v>0</v>
      </c>
      <c r="AR166" s="156">
        <v>0</v>
      </c>
      <c r="AS166" s="156">
        <v>0</v>
      </c>
      <c r="AT166" s="156">
        <v>0</v>
      </c>
      <c r="AU166" s="156">
        <v>0</v>
      </c>
      <c r="AV166" s="156">
        <v>0</v>
      </c>
      <c r="AW166" s="156">
        <v>0</v>
      </c>
      <c r="AX166" s="156">
        <v>0</v>
      </c>
      <c r="AY166" s="156">
        <v>0</v>
      </c>
      <c r="AZ166" s="156">
        <v>0</v>
      </c>
      <c r="BA166" s="156">
        <v>0</v>
      </c>
      <c r="BB166" s="156">
        <v>0</v>
      </c>
      <c r="BC166" s="156">
        <v>0</v>
      </c>
      <c r="BD166" s="200">
        <v>0</v>
      </c>
      <c r="BF166" s="538"/>
      <c r="BG166" s="363" t="s">
        <v>85</v>
      </c>
      <c r="BH166" s="364">
        <v>9.9233947972907722E-7</v>
      </c>
      <c r="BI166" s="364">
        <v>1.134358456238235E-6</v>
      </c>
      <c r="BJ166" s="364">
        <v>9.7846861760024462E-7</v>
      </c>
      <c r="BK166" s="364">
        <v>1.406998750294259E-6</v>
      </c>
      <c r="BL166" s="364">
        <v>9.3710275904103933E-7</v>
      </c>
      <c r="BM166" s="388">
        <v>1.2427601553844621E-6</v>
      </c>
      <c r="BN166" s="388">
        <v>1.2427601553844621E-6</v>
      </c>
      <c r="BO166" s="388">
        <v>1.2427601553844621E-6</v>
      </c>
      <c r="BP166" s="364">
        <v>1.020493997147534E-6</v>
      </c>
      <c r="BQ166" s="364">
        <v>1.0275151631756941E-6</v>
      </c>
      <c r="BR166" s="364">
        <v>1.0611597620503809E-6</v>
      </c>
      <c r="BS166" s="364">
        <v>1.348705584875301E-6</v>
      </c>
      <c r="BT166" s="364">
        <v>1.030407825783791E-6</v>
      </c>
      <c r="BU166" s="364">
        <v>1.0245392950660811E-6</v>
      </c>
      <c r="BV166" s="364">
        <v>9.5474018846950552E-7</v>
      </c>
      <c r="BW166" s="364">
        <v>9.2046807516135918E-7</v>
      </c>
      <c r="BX166" s="364">
        <v>1.172417778838506E-6</v>
      </c>
      <c r="BY166" s="364">
        <v>1.029165975395169E-6</v>
      </c>
      <c r="BZ166" s="364">
        <v>9.5063664465829526E-7</v>
      </c>
      <c r="CA166" s="364">
        <v>9.104582128502857E-7</v>
      </c>
      <c r="CB166" s="364"/>
      <c r="CC166"/>
      <c r="CD166"/>
      <c r="CE166"/>
      <c r="CF166"/>
      <c r="CG166"/>
      <c r="CH166"/>
      <c r="CI166"/>
      <c r="CJ166"/>
      <c r="CK166"/>
      <c r="DA166" s="540"/>
      <c r="DB166" s="363" t="s">
        <v>146</v>
      </c>
      <c r="DC166" s="364"/>
      <c r="DD166" s="364"/>
      <c r="DE166" s="364"/>
      <c r="DF166" s="364"/>
      <c r="DG166" s="364"/>
      <c r="DH166" s="388"/>
      <c r="DI166" s="388"/>
      <c r="DJ166" s="388"/>
      <c r="DK166" s="364"/>
      <c r="DL166" s="364"/>
      <c r="DM166" s="364"/>
      <c r="DN166" s="364"/>
      <c r="DO166" s="364"/>
      <c r="DP166" s="364"/>
      <c r="DQ166" s="364"/>
      <c r="DR166" s="364"/>
      <c r="DS166" s="364"/>
      <c r="DT166" s="364"/>
      <c r="DU166" s="364"/>
      <c r="DV166" s="364"/>
      <c r="DW166" s="364"/>
    </row>
    <row r="167" spans="1:127" ht="14.25" customHeight="1">
      <c r="A167" s="544"/>
      <c r="B167" s="197" t="s">
        <v>145</v>
      </c>
      <c r="C167" s="156">
        <v>0</v>
      </c>
      <c r="D167" s="156">
        <v>0</v>
      </c>
      <c r="E167" s="156">
        <v>0</v>
      </c>
      <c r="F167" s="156">
        <v>0</v>
      </c>
      <c r="G167" s="156">
        <v>0</v>
      </c>
      <c r="H167" s="156">
        <v>0</v>
      </c>
      <c r="I167" s="200">
        <v>0</v>
      </c>
      <c r="K167" s="216" t="s">
        <v>145</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I167" s="216" t="s">
        <v>145</v>
      </c>
      <c r="AJ167" s="156">
        <v>0</v>
      </c>
      <c r="AK167" s="156">
        <v>0</v>
      </c>
      <c r="AL167" s="156">
        <v>0</v>
      </c>
      <c r="AM167" s="156">
        <v>0</v>
      </c>
      <c r="AN167" s="156">
        <v>0</v>
      </c>
      <c r="AO167" s="156">
        <v>0</v>
      </c>
      <c r="AP167" s="156">
        <v>0</v>
      </c>
      <c r="AQ167" s="156">
        <v>0</v>
      </c>
      <c r="AR167" s="156">
        <v>0</v>
      </c>
      <c r="AS167" s="156">
        <v>0</v>
      </c>
      <c r="AT167" s="156">
        <v>0</v>
      </c>
      <c r="AU167" s="156">
        <v>0</v>
      </c>
      <c r="AV167" s="156">
        <v>0</v>
      </c>
      <c r="AW167" s="156">
        <v>0</v>
      </c>
      <c r="AX167" s="156">
        <v>0</v>
      </c>
      <c r="AY167" s="156">
        <v>0</v>
      </c>
      <c r="AZ167" s="156">
        <v>0</v>
      </c>
      <c r="BA167" s="156">
        <v>0</v>
      </c>
      <c r="BB167" s="156">
        <v>0</v>
      </c>
      <c r="BC167" s="156">
        <v>0</v>
      </c>
      <c r="BD167" s="200">
        <v>0</v>
      </c>
      <c r="BF167" s="538"/>
      <c r="BG167" s="363" t="s">
        <v>88</v>
      </c>
      <c r="BH167" s="364">
        <v>1.597788992088332E-6</v>
      </c>
      <c r="BI167" s="364">
        <v>1.6953063033006501E-6</v>
      </c>
      <c r="BJ167" s="364">
        <v>1.5040986262416501E-6</v>
      </c>
      <c r="BK167" s="364">
        <v>2.0481129474980299E-6</v>
      </c>
      <c r="BL167" s="364">
        <v>1.4206571799726509E-6</v>
      </c>
      <c r="BM167" s="388">
        <v>1.9875787117913318E-6</v>
      </c>
      <c r="BN167" s="388">
        <v>1.9875787117913318E-6</v>
      </c>
      <c r="BO167" s="388">
        <v>1.9875787117913318E-6</v>
      </c>
      <c r="BP167" s="364">
        <v>1.6617147312904199E-6</v>
      </c>
      <c r="BQ167" s="364">
        <v>1.5730137914777549E-6</v>
      </c>
      <c r="BR167" s="364">
        <v>1.677350178323816E-6</v>
      </c>
      <c r="BS167" s="364">
        <v>1.770916499887435E-6</v>
      </c>
      <c r="BT167" s="364">
        <v>1.633130969038275E-6</v>
      </c>
      <c r="BU167" s="364">
        <v>1.649340911925106E-6</v>
      </c>
      <c r="BV167" s="364">
        <v>1.8869890486688871E-6</v>
      </c>
      <c r="BW167" s="364">
        <v>1.587417209079815E-6</v>
      </c>
      <c r="BX167" s="364">
        <v>1.618377860672462E-6</v>
      </c>
      <c r="BY167" s="364">
        <v>1.726515915460471E-6</v>
      </c>
      <c r="BZ167" s="364">
        <v>1.670957025283471E-6</v>
      </c>
      <c r="CA167" s="364">
        <v>1.5395176504994531E-6</v>
      </c>
      <c r="CB167" s="364"/>
      <c r="CC167"/>
      <c r="CD167"/>
      <c r="CE167"/>
      <c r="CF167"/>
      <c r="CG167"/>
      <c r="CH167"/>
      <c r="CI167"/>
      <c r="CJ167"/>
      <c r="CK167"/>
      <c r="DA167" s="540"/>
      <c r="DB167" s="363" t="s">
        <v>83</v>
      </c>
      <c r="DC167" s="364"/>
      <c r="DD167" s="364"/>
      <c r="DE167" s="364"/>
      <c r="DF167" s="364"/>
      <c r="DG167" s="364"/>
      <c r="DH167" s="388"/>
      <c r="DI167" s="388"/>
      <c r="DJ167" s="388"/>
      <c r="DK167" s="364"/>
      <c r="DL167" s="364"/>
      <c r="DM167" s="364"/>
      <c r="DN167" s="364"/>
      <c r="DO167" s="364"/>
      <c r="DP167" s="364"/>
      <c r="DQ167" s="364"/>
      <c r="DR167" s="364"/>
      <c r="DS167" s="364"/>
      <c r="DT167" s="364"/>
      <c r="DU167" s="364"/>
      <c r="DV167" s="364"/>
      <c r="DW167" s="364"/>
    </row>
    <row r="168" spans="1:127" ht="14.25" customHeight="1">
      <c r="A168" s="544"/>
      <c r="B168" s="197" t="s">
        <v>73</v>
      </c>
      <c r="C168" s="156">
        <v>0</v>
      </c>
      <c r="D168" s="156">
        <v>0</v>
      </c>
      <c r="E168" s="156">
        <v>0</v>
      </c>
      <c r="F168" s="156">
        <v>0</v>
      </c>
      <c r="G168" s="156">
        <v>0</v>
      </c>
      <c r="H168" s="156">
        <v>0</v>
      </c>
      <c r="I168" s="200">
        <v>0</v>
      </c>
      <c r="K168" s="216" t="s">
        <v>73</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I168" s="216" t="s">
        <v>73</v>
      </c>
      <c r="AJ168" s="156">
        <v>0</v>
      </c>
      <c r="AK168" s="156">
        <v>0</v>
      </c>
      <c r="AL168" s="156">
        <v>0</v>
      </c>
      <c r="AM168" s="156">
        <v>0</v>
      </c>
      <c r="AN168" s="156">
        <v>0</v>
      </c>
      <c r="AO168" s="156">
        <v>0</v>
      </c>
      <c r="AP168" s="156">
        <v>0</v>
      </c>
      <c r="AQ168" s="156">
        <v>0</v>
      </c>
      <c r="AR168" s="156">
        <v>0</v>
      </c>
      <c r="AS168" s="156">
        <v>0</v>
      </c>
      <c r="AT168" s="156">
        <v>0</v>
      </c>
      <c r="AU168" s="156">
        <v>0</v>
      </c>
      <c r="AV168" s="156">
        <v>0</v>
      </c>
      <c r="AW168" s="156">
        <v>0</v>
      </c>
      <c r="AX168" s="156">
        <v>0</v>
      </c>
      <c r="AY168" s="156">
        <v>0</v>
      </c>
      <c r="AZ168" s="156">
        <v>0</v>
      </c>
      <c r="BA168" s="156">
        <v>0</v>
      </c>
      <c r="BB168" s="156">
        <v>0</v>
      </c>
      <c r="BC168" s="156">
        <v>0</v>
      </c>
      <c r="BD168" s="200">
        <v>0</v>
      </c>
      <c r="BF168" s="538"/>
      <c r="BG168" s="363" t="s">
        <v>147</v>
      </c>
      <c r="BH168" s="364">
        <v>1.205798865643957E-6</v>
      </c>
      <c r="BI168" s="364">
        <v>1.238761611149862E-6</v>
      </c>
      <c r="BJ168" s="364">
        <v>1.214605949539494E-6</v>
      </c>
      <c r="BK168" s="364">
        <v>1.4220400829443619E-6</v>
      </c>
      <c r="BL168" s="364">
        <v>1.1941601369909021E-6</v>
      </c>
      <c r="BM168" s="388">
        <v>1.285285666988539E-6</v>
      </c>
      <c r="BN168" s="388">
        <v>1.285285666988539E-6</v>
      </c>
      <c r="BO168" s="388">
        <v>1.285285666988539E-6</v>
      </c>
      <c r="BP168" s="364">
        <v>1.2609131110538041E-6</v>
      </c>
      <c r="BQ168" s="364">
        <v>1.2613226503188661E-6</v>
      </c>
      <c r="BR168" s="364">
        <v>1.249483145178891E-6</v>
      </c>
      <c r="BS168" s="364">
        <v>1.253917580726728E-6</v>
      </c>
      <c r="BT168" s="364">
        <v>1.2228197180324051E-6</v>
      </c>
      <c r="BU168" s="364">
        <v>1.28030016106834E-6</v>
      </c>
      <c r="BV168" s="364">
        <v>1.276951012338083E-6</v>
      </c>
      <c r="BW168" s="364">
        <v>1.220597913051828E-6</v>
      </c>
      <c r="BX168" s="364">
        <v>1.2125271538483471E-6</v>
      </c>
      <c r="BY168" s="364">
        <v>1.319633795876484E-6</v>
      </c>
      <c r="BZ168" s="364">
        <v>1.35584413938463E-6</v>
      </c>
      <c r="CA168" s="364">
        <v>1.1517168378039951E-6</v>
      </c>
      <c r="CB168" s="364"/>
      <c r="CC168"/>
      <c r="CD168"/>
      <c r="CE168"/>
      <c r="CF168"/>
      <c r="CG168"/>
      <c r="CH168"/>
      <c r="CI168"/>
      <c r="CJ168"/>
      <c r="CK168"/>
      <c r="DA168" s="540"/>
      <c r="DB168" s="363" t="s">
        <v>85</v>
      </c>
      <c r="DC168" s="364"/>
      <c r="DD168" s="364"/>
      <c r="DE168" s="364"/>
      <c r="DF168" s="364"/>
      <c r="DG168" s="364"/>
      <c r="DH168" s="388"/>
      <c r="DI168" s="388"/>
      <c r="DJ168" s="388"/>
      <c r="DK168" s="364"/>
      <c r="DL168" s="364"/>
      <c r="DM168" s="364"/>
      <c r="DN168" s="364"/>
      <c r="DO168" s="364"/>
      <c r="DP168" s="364"/>
      <c r="DQ168" s="364"/>
      <c r="DR168" s="364"/>
      <c r="DS168" s="364"/>
      <c r="DT168" s="364"/>
      <c r="DU168" s="364"/>
      <c r="DV168" s="364"/>
      <c r="DW168" s="364"/>
    </row>
    <row r="169" spans="1:127" ht="14.25" customHeight="1">
      <c r="A169" s="544"/>
      <c r="B169" s="197" t="s">
        <v>75</v>
      </c>
      <c r="C169" s="156">
        <v>0</v>
      </c>
      <c r="D169" s="156">
        <v>0</v>
      </c>
      <c r="E169" s="156">
        <v>0</v>
      </c>
      <c r="F169" s="156">
        <v>0</v>
      </c>
      <c r="G169" s="156">
        <v>0</v>
      </c>
      <c r="H169" s="156">
        <v>0</v>
      </c>
      <c r="I169" s="200">
        <v>0</v>
      </c>
      <c r="K169" s="216" t="s">
        <v>75</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I169" s="216" t="s">
        <v>75</v>
      </c>
      <c r="AJ169" s="156">
        <v>0</v>
      </c>
      <c r="AK169" s="156">
        <v>0</v>
      </c>
      <c r="AL169" s="156">
        <v>0</v>
      </c>
      <c r="AM169" s="156">
        <v>0</v>
      </c>
      <c r="AN169" s="156">
        <v>0</v>
      </c>
      <c r="AO169" s="156">
        <v>0</v>
      </c>
      <c r="AP169" s="156">
        <v>0</v>
      </c>
      <c r="AQ169" s="156">
        <v>0</v>
      </c>
      <c r="AR169" s="156">
        <v>0</v>
      </c>
      <c r="AS169" s="156">
        <v>0</v>
      </c>
      <c r="AT169" s="156">
        <v>0</v>
      </c>
      <c r="AU169" s="156">
        <v>0</v>
      </c>
      <c r="AV169" s="156">
        <v>0</v>
      </c>
      <c r="AW169" s="156">
        <v>0</v>
      </c>
      <c r="AX169" s="156">
        <v>0</v>
      </c>
      <c r="AY169" s="156">
        <v>0</v>
      </c>
      <c r="AZ169" s="156">
        <v>0</v>
      </c>
      <c r="BA169" s="156">
        <v>0</v>
      </c>
      <c r="BB169" s="156">
        <v>0</v>
      </c>
      <c r="BC169" s="156">
        <v>0</v>
      </c>
      <c r="BD169" s="200">
        <v>0</v>
      </c>
      <c r="BH169" s="364">
        <v>1.53145769567039E-6</v>
      </c>
      <c r="BI169" s="364">
        <v>1.6423930227453009E-6</v>
      </c>
      <c r="BJ169" s="364">
        <v>1.526457617410206E-6</v>
      </c>
      <c r="BK169" s="364">
        <v>2.0363074340968421E-6</v>
      </c>
      <c r="BL169" s="364">
        <v>1.496376986598629E-6</v>
      </c>
      <c r="BM169" s="364">
        <v>1.82964021110669E-6</v>
      </c>
      <c r="BN169" s="364">
        <v>1.82964021110669E-6</v>
      </c>
      <c r="BO169" s="364">
        <v>1.82964021110669E-6</v>
      </c>
      <c r="BP169" s="364">
        <v>1.550585722423834E-6</v>
      </c>
      <c r="BQ169" s="364">
        <v>1.605974224715856E-6</v>
      </c>
      <c r="BR169" s="364">
        <v>1.560132148590631E-6</v>
      </c>
      <c r="BS169" s="364">
        <v>1.6907908883354959E-6</v>
      </c>
      <c r="BT169" s="364">
        <v>1.5505384583595699E-6</v>
      </c>
      <c r="BU169" s="364">
        <v>1.6001100114894079E-6</v>
      </c>
      <c r="BV169" s="364">
        <v>1.5456720020585611E-6</v>
      </c>
      <c r="BW169" s="364">
        <v>1.4700777644421799E-6</v>
      </c>
      <c r="BX169" s="364">
        <v>1.5479174636374619E-6</v>
      </c>
      <c r="BY169" s="364">
        <v>2.195846884294884E-6</v>
      </c>
      <c r="BZ169" s="364">
        <v>1.923721779487098E-6</v>
      </c>
      <c r="CA169" s="364">
        <v>2.853101072027451E-6</v>
      </c>
      <c r="CB169" s="364"/>
      <c r="DA169" s="540"/>
      <c r="DB169" s="363" t="s">
        <v>88</v>
      </c>
      <c r="DC169" s="364"/>
      <c r="DD169" s="364"/>
      <c r="DE169" s="364"/>
      <c r="DF169" s="364"/>
      <c r="DG169" s="364"/>
      <c r="DH169" s="364"/>
      <c r="DI169" s="364"/>
      <c r="DJ169" s="364"/>
      <c r="DK169" s="364"/>
      <c r="DL169" s="364"/>
      <c r="DM169" s="364"/>
      <c r="DN169" s="364"/>
      <c r="DO169" s="364"/>
      <c r="DP169" s="364"/>
      <c r="DQ169" s="364"/>
      <c r="DR169" s="364"/>
      <c r="DS169" s="364"/>
      <c r="DT169" s="364"/>
      <c r="DU169" s="364"/>
      <c r="DV169" s="364"/>
      <c r="DW169" s="364"/>
    </row>
    <row r="170" spans="1:127" ht="14.25" customHeight="1">
      <c r="A170" s="544"/>
      <c r="B170" s="197" t="s">
        <v>146</v>
      </c>
      <c r="C170" s="156">
        <v>0</v>
      </c>
      <c r="D170" s="156">
        <v>0</v>
      </c>
      <c r="E170" s="156">
        <v>0</v>
      </c>
      <c r="F170" s="156">
        <v>0</v>
      </c>
      <c r="G170" s="156">
        <v>0.87608559350975057</v>
      </c>
      <c r="H170" s="156">
        <v>0</v>
      </c>
      <c r="I170" s="200">
        <v>0.1239144064902495</v>
      </c>
      <c r="K170" s="216" t="s">
        <v>146</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I170" s="216" t="s">
        <v>146</v>
      </c>
      <c r="AJ170" s="156">
        <v>0</v>
      </c>
      <c r="AK170" s="156">
        <v>0</v>
      </c>
      <c r="AL170" s="156">
        <v>0</v>
      </c>
      <c r="AM170" s="156">
        <v>0</v>
      </c>
      <c r="AN170" s="156">
        <v>0</v>
      </c>
      <c r="AO170" s="156">
        <v>0</v>
      </c>
      <c r="AP170" s="156">
        <v>0</v>
      </c>
      <c r="AQ170" s="156">
        <v>0</v>
      </c>
      <c r="AR170" s="156">
        <v>0</v>
      </c>
      <c r="AS170" s="156">
        <v>0</v>
      </c>
      <c r="AT170" s="156">
        <v>0</v>
      </c>
      <c r="AU170" s="156">
        <v>0</v>
      </c>
      <c r="AV170" s="156">
        <v>0</v>
      </c>
      <c r="AW170" s="156">
        <v>0</v>
      </c>
      <c r="AX170" s="156">
        <v>0</v>
      </c>
      <c r="AY170" s="156">
        <v>0</v>
      </c>
      <c r="AZ170" s="156">
        <v>0</v>
      </c>
      <c r="BA170" s="156">
        <v>0</v>
      </c>
      <c r="BB170" s="156">
        <v>0</v>
      </c>
      <c r="BC170" s="156">
        <v>0</v>
      </c>
      <c r="BD170" s="200">
        <v>0</v>
      </c>
      <c r="BH170" s="364">
        <v>1.471343079540402E-8</v>
      </c>
      <c r="BI170" s="364">
        <v>1.4774559125325279E-8</v>
      </c>
      <c r="BJ170" s="364">
        <v>1.526835828364993E-8</v>
      </c>
      <c r="BK170" s="364">
        <v>1.40112085437613E-8</v>
      </c>
      <c r="BL170" s="364">
        <v>1.5691428215979361E-8</v>
      </c>
      <c r="BM170" s="364">
        <v>1.448737658488992E-8</v>
      </c>
      <c r="BN170" s="364">
        <v>1.448737658488992E-8</v>
      </c>
      <c r="BO170" s="364">
        <v>1.448737658488992E-8</v>
      </c>
      <c r="BP170" s="364">
        <v>1.325875230072373E-8</v>
      </c>
      <c r="BQ170" s="364">
        <v>1.5524579378547349E-8</v>
      </c>
      <c r="BR170" s="364">
        <v>1.510830031361268E-8</v>
      </c>
      <c r="BS170" s="364">
        <v>1.4752977902999201E-8</v>
      </c>
      <c r="BT170" s="364">
        <v>1.478846326984638E-8</v>
      </c>
      <c r="BU170" s="364">
        <v>1.5325420543610901E-8</v>
      </c>
      <c r="BV170" s="364">
        <v>1.293074118076143E-8</v>
      </c>
      <c r="BW170" s="364">
        <v>1.5082947701703411E-8</v>
      </c>
      <c r="BX170" s="364">
        <v>1.5273603086922251E-8</v>
      </c>
      <c r="BY170" s="364">
        <v>1.48553988464694E-8</v>
      </c>
      <c r="BZ170" s="364">
        <v>1.5161098156882219E-8</v>
      </c>
      <c r="CA170" s="364">
        <v>1.5577077702579041E-8</v>
      </c>
      <c r="CB170" s="364"/>
      <c r="DA170" s="540"/>
      <c r="DB170" s="363" t="s">
        <v>147</v>
      </c>
      <c r="DC170" s="364"/>
      <c r="DD170" s="364"/>
      <c r="DE170" s="364"/>
      <c r="DF170" s="364"/>
      <c r="DG170" s="364"/>
      <c r="DH170" s="364"/>
      <c r="DI170" s="364"/>
      <c r="DJ170" s="364"/>
      <c r="DK170" s="364"/>
      <c r="DL170" s="364"/>
      <c r="DM170" s="364"/>
      <c r="DN170" s="364"/>
      <c r="DO170" s="364"/>
      <c r="DP170" s="364"/>
      <c r="DQ170" s="364"/>
      <c r="DR170" s="364"/>
      <c r="DS170" s="364"/>
      <c r="DT170" s="364"/>
      <c r="DU170" s="364"/>
      <c r="DV170" s="364"/>
      <c r="DW170" s="364"/>
    </row>
    <row r="171" spans="1:127" ht="14.25" customHeight="1">
      <c r="A171" s="544"/>
      <c r="B171" s="197" t="s">
        <v>83</v>
      </c>
      <c r="C171" s="156">
        <v>0</v>
      </c>
      <c r="D171" s="156">
        <v>0</v>
      </c>
      <c r="E171" s="156">
        <v>0</v>
      </c>
      <c r="F171" s="156">
        <v>0</v>
      </c>
      <c r="G171" s="156">
        <v>0</v>
      </c>
      <c r="H171" s="156">
        <v>0</v>
      </c>
      <c r="I171" s="200">
        <v>0</v>
      </c>
      <c r="K171" s="216" t="s">
        <v>83</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I171" s="216" t="s">
        <v>83</v>
      </c>
      <c r="AJ171" s="156">
        <v>0</v>
      </c>
      <c r="AK171" s="156">
        <v>0</v>
      </c>
      <c r="AL171" s="156">
        <v>0</v>
      </c>
      <c r="AM171" s="156">
        <v>0</v>
      </c>
      <c r="AN171" s="156">
        <v>0</v>
      </c>
      <c r="AO171" s="156">
        <v>0</v>
      </c>
      <c r="AP171" s="156">
        <v>0</v>
      </c>
      <c r="AQ171" s="156">
        <v>0</v>
      </c>
      <c r="AR171" s="156">
        <v>0</v>
      </c>
      <c r="AS171" s="156">
        <v>0</v>
      </c>
      <c r="AT171" s="156">
        <v>0</v>
      </c>
      <c r="AU171" s="156">
        <v>0</v>
      </c>
      <c r="AV171" s="156">
        <v>0</v>
      </c>
      <c r="AW171" s="156">
        <v>0</v>
      </c>
      <c r="AX171" s="156">
        <v>0</v>
      </c>
      <c r="AY171" s="156">
        <v>0</v>
      </c>
      <c r="AZ171" s="156">
        <v>0</v>
      </c>
      <c r="BA171" s="156">
        <v>0</v>
      </c>
      <c r="BB171" s="156">
        <v>0</v>
      </c>
      <c r="BC171" s="156">
        <v>0</v>
      </c>
      <c r="BD171" s="200">
        <v>0</v>
      </c>
    </row>
    <row r="172" spans="1:127" ht="14.25" customHeight="1">
      <c r="A172" s="544"/>
      <c r="B172" s="197" t="s">
        <v>85</v>
      </c>
      <c r="C172" s="156">
        <v>0</v>
      </c>
      <c r="D172" s="156">
        <v>0</v>
      </c>
      <c r="E172" s="156">
        <v>0</v>
      </c>
      <c r="F172" s="156">
        <v>0</v>
      </c>
      <c r="G172" s="156">
        <v>0</v>
      </c>
      <c r="H172" s="156">
        <v>0</v>
      </c>
      <c r="I172" s="200">
        <v>0</v>
      </c>
      <c r="K172" s="216" t="s">
        <v>85</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I172" s="216" t="s">
        <v>85</v>
      </c>
      <c r="AJ172" s="156">
        <v>0</v>
      </c>
      <c r="AK172" s="156">
        <v>0</v>
      </c>
      <c r="AL172" s="156">
        <v>0</v>
      </c>
      <c r="AM172" s="156">
        <v>0</v>
      </c>
      <c r="AN172" s="156">
        <v>0</v>
      </c>
      <c r="AO172" s="156">
        <v>0</v>
      </c>
      <c r="AP172" s="156">
        <v>0</v>
      </c>
      <c r="AQ172" s="156">
        <v>0</v>
      </c>
      <c r="AR172" s="156">
        <v>0</v>
      </c>
      <c r="AS172" s="156">
        <v>0</v>
      </c>
      <c r="AT172" s="156">
        <v>0</v>
      </c>
      <c r="AU172" s="156">
        <v>0</v>
      </c>
      <c r="AV172" s="156">
        <v>0</v>
      </c>
      <c r="AW172" s="156">
        <v>0</v>
      </c>
      <c r="AX172" s="156">
        <v>0</v>
      </c>
      <c r="AY172" s="156">
        <v>0</v>
      </c>
      <c r="AZ172" s="156">
        <v>0</v>
      </c>
      <c r="BA172" s="156">
        <v>0</v>
      </c>
      <c r="BB172" s="156">
        <v>0</v>
      </c>
      <c r="BC172" s="156">
        <v>0</v>
      </c>
      <c r="BD172" s="200">
        <v>0</v>
      </c>
    </row>
    <row r="173" spans="1:127" ht="14.25" customHeight="1">
      <c r="A173" s="544"/>
      <c r="B173" s="197" t="s">
        <v>88</v>
      </c>
      <c r="C173" s="156">
        <v>0</v>
      </c>
      <c r="D173" s="156">
        <v>0</v>
      </c>
      <c r="E173" s="156">
        <v>0</v>
      </c>
      <c r="F173" s="156">
        <v>0</v>
      </c>
      <c r="G173" s="156">
        <v>0</v>
      </c>
      <c r="H173" s="156">
        <v>0</v>
      </c>
      <c r="I173" s="200">
        <v>0</v>
      </c>
      <c r="K173" s="216" t="s">
        <v>88</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I173" s="216" t="s">
        <v>88</v>
      </c>
      <c r="AJ173" s="156">
        <v>0</v>
      </c>
      <c r="AK173" s="156">
        <v>0</v>
      </c>
      <c r="AL173" s="156">
        <v>0</v>
      </c>
      <c r="AM173" s="156">
        <v>0</v>
      </c>
      <c r="AN173" s="156">
        <v>0</v>
      </c>
      <c r="AO173" s="156">
        <v>0</v>
      </c>
      <c r="AP173" s="156">
        <v>0</v>
      </c>
      <c r="AQ173" s="156">
        <v>0</v>
      </c>
      <c r="AR173" s="156">
        <v>0</v>
      </c>
      <c r="AS173" s="156">
        <v>0</v>
      </c>
      <c r="AT173" s="156">
        <v>0</v>
      </c>
      <c r="AU173" s="156">
        <v>0</v>
      </c>
      <c r="AV173" s="156">
        <v>0</v>
      </c>
      <c r="AW173" s="156">
        <v>0</v>
      </c>
      <c r="AX173" s="156">
        <v>0</v>
      </c>
      <c r="AY173" s="156">
        <v>0</v>
      </c>
      <c r="AZ173" s="156">
        <v>0</v>
      </c>
      <c r="BA173" s="156">
        <v>0</v>
      </c>
      <c r="BB173" s="156">
        <v>0</v>
      </c>
      <c r="BC173" s="156">
        <v>0</v>
      </c>
      <c r="BD173" s="200">
        <v>0</v>
      </c>
    </row>
    <row r="174" spans="1:127" ht="14.25" customHeight="1">
      <c r="A174" s="545"/>
      <c r="B174" s="197" t="s">
        <v>147</v>
      </c>
      <c r="C174" s="156">
        <v>0</v>
      </c>
      <c r="D174" s="156">
        <v>0</v>
      </c>
      <c r="E174" s="156">
        <v>0</v>
      </c>
      <c r="F174" s="156">
        <v>0</v>
      </c>
      <c r="G174" s="156">
        <v>0</v>
      </c>
      <c r="H174" s="156">
        <v>0</v>
      </c>
      <c r="I174" s="200">
        <v>0</v>
      </c>
      <c r="K174" s="216" t="s">
        <v>147</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I174" s="216" t="s">
        <v>147</v>
      </c>
      <c r="AJ174" s="156">
        <v>0</v>
      </c>
      <c r="AK174" s="156">
        <v>0</v>
      </c>
      <c r="AL174" s="156">
        <v>0</v>
      </c>
      <c r="AM174" s="156">
        <v>0</v>
      </c>
      <c r="AN174" s="156">
        <v>0</v>
      </c>
      <c r="AO174" s="156">
        <v>0</v>
      </c>
      <c r="AP174" s="156">
        <v>0</v>
      </c>
      <c r="AQ174" s="156">
        <v>0</v>
      </c>
      <c r="AR174" s="156">
        <v>0</v>
      </c>
      <c r="AS174" s="156">
        <v>0</v>
      </c>
      <c r="AT174" s="156">
        <v>0</v>
      </c>
      <c r="AU174" s="156">
        <v>0</v>
      </c>
      <c r="AV174" s="156">
        <v>0</v>
      </c>
      <c r="AW174" s="156">
        <v>0</v>
      </c>
      <c r="AX174" s="156">
        <v>0</v>
      </c>
      <c r="AY174" s="156">
        <v>0</v>
      </c>
      <c r="AZ174" s="156">
        <v>0</v>
      </c>
      <c r="BA174" s="156">
        <v>0</v>
      </c>
      <c r="BB174" s="156">
        <v>0</v>
      </c>
      <c r="BC174" s="156">
        <v>0</v>
      </c>
      <c r="BD174" s="200">
        <v>0</v>
      </c>
      <c r="BH174"/>
      <c r="BI174" t="s">
        <v>405</v>
      </c>
      <c r="BJ174">
        <v>2010</v>
      </c>
      <c r="BK174"/>
      <c r="BL174"/>
      <c r="BM174"/>
      <c r="BN174"/>
      <c r="BO174"/>
      <c r="BP174"/>
    </row>
    <row r="175" spans="1:127" ht="14.25" customHeight="1">
      <c r="A175" s="553" t="s">
        <v>631</v>
      </c>
      <c r="B175" s="197" t="s">
        <v>139</v>
      </c>
      <c r="C175" s="156">
        <v>0</v>
      </c>
      <c r="D175" s="156">
        <v>0</v>
      </c>
      <c r="E175" s="156">
        <v>0</v>
      </c>
      <c r="F175" s="156">
        <v>0</v>
      </c>
      <c r="G175" s="156">
        <v>1</v>
      </c>
      <c r="H175" s="156">
        <v>0</v>
      </c>
      <c r="I175" s="200">
        <v>0</v>
      </c>
      <c r="K175" s="560" t="s">
        <v>152</v>
      </c>
      <c r="L175" s="561"/>
      <c r="M175" s="561"/>
      <c r="N175" s="561"/>
      <c r="O175" s="561"/>
      <c r="P175" s="561"/>
      <c r="Q175" s="561"/>
      <c r="R175" s="561"/>
      <c r="S175" s="561"/>
      <c r="T175" s="561"/>
      <c r="U175" s="561"/>
      <c r="V175" s="561"/>
      <c r="W175" s="561"/>
      <c r="X175" s="561"/>
      <c r="Y175" s="561"/>
      <c r="Z175" s="561"/>
      <c r="AA175" s="561"/>
      <c r="AB175" s="561"/>
      <c r="AC175" s="561"/>
      <c r="AD175" s="561"/>
      <c r="AE175" s="561"/>
      <c r="AF175" s="562"/>
      <c r="AI175" s="566" t="s">
        <v>152</v>
      </c>
      <c r="AJ175" s="567"/>
      <c r="AK175" s="567"/>
      <c r="AL175" s="567"/>
      <c r="AM175" s="567"/>
      <c r="AN175" s="567"/>
      <c r="AO175" s="567"/>
      <c r="AP175" s="567"/>
      <c r="AQ175" s="567"/>
      <c r="AR175" s="567"/>
      <c r="AS175" s="567"/>
      <c r="AT175" s="567"/>
      <c r="AU175" s="567"/>
      <c r="AV175" s="567"/>
      <c r="AW175" s="567"/>
      <c r="AX175" s="567"/>
      <c r="AY175" s="567"/>
      <c r="AZ175" s="567"/>
      <c r="BA175" s="567"/>
      <c r="BB175" s="567"/>
      <c r="BC175" s="567"/>
      <c r="BD175" s="568"/>
      <c r="BH175"/>
      <c r="BI175"/>
      <c r="BJ175"/>
      <c r="BK175"/>
      <c r="BL175"/>
      <c r="BM175"/>
      <c r="BN175"/>
      <c r="BO175"/>
      <c r="BP175"/>
    </row>
    <row r="176" spans="1:127" ht="14.25" customHeight="1">
      <c r="A176" s="544"/>
      <c r="B176" s="197" t="s">
        <v>37</v>
      </c>
      <c r="C176" s="156">
        <v>2.995401264606455E-4</v>
      </c>
      <c r="D176" s="156">
        <v>0.81915337047950587</v>
      </c>
      <c r="E176" s="156">
        <v>0.18054708939403341</v>
      </c>
      <c r="F176" s="156">
        <v>0</v>
      </c>
      <c r="G176" s="156">
        <v>0</v>
      </c>
      <c r="H176" s="156">
        <v>0</v>
      </c>
      <c r="I176" s="200">
        <v>0</v>
      </c>
      <c r="K176" s="198"/>
      <c r="L176" s="197" t="s">
        <v>139</v>
      </c>
      <c r="M176" s="197" t="s">
        <v>37</v>
      </c>
      <c r="N176" s="197" t="s">
        <v>140</v>
      </c>
      <c r="O176" s="197" t="s">
        <v>48</v>
      </c>
      <c r="P176" s="197" t="s">
        <v>141</v>
      </c>
      <c r="Q176" s="197" t="s">
        <v>142</v>
      </c>
      <c r="R176" s="197" t="s">
        <v>143</v>
      </c>
      <c r="S176" s="197" t="s">
        <v>144</v>
      </c>
      <c r="T176" s="197" t="s">
        <v>61</v>
      </c>
      <c r="U176" s="197" t="s">
        <v>63</v>
      </c>
      <c r="V176" s="197" t="s">
        <v>65</v>
      </c>
      <c r="W176" s="197" t="s">
        <v>67</v>
      </c>
      <c r="X176" s="197" t="s">
        <v>69</v>
      </c>
      <c r="Y176" s="197" t="s">
        <v>145</v>
      </c>
      <c r="Z176" s="197" t="s">
        <v>73</v>
      </c>
      <c r="AA176" s="197" t="s">
        <v>75</v>
      </c>
      <c r="AB176" s="197" t="s">
        <v>146</v>
      </c>
      <c r="AC176" s="197" t="s">
        <v>83</v>
      </c>
      <c r="AD176" s="197" t="s">
        <v>85</v>
      </c>
      <c r="AE176" s="197" t="s">
        <v>88</v>
      </c>
      <c r="AF176" s="199" t="s">
        <v>147</v>
      </c>
      <c r="AI176" s="198"/>
      <c r="AJ176" s="197" t="s">
        <v>139</v>
      </c>
      <c r="AK176" s="197" t="s">
        <v>37</v>
      </c>
      <c r="AL176" s="197" t="s">
        <v>140</v>
      </c>
      <c r="AM176" s="197" t="s">
        <v>48</v>
      </c>
      <c r="AN176" s="197" t="s">
        <v>141</v>
      </c>
      <c r="AO176" s="197" t="s">
        <v>142</v>
      </c>
      <c r="AP176" s="197" t="s">
        <v>143</v>
      </c>
      <c r="AQ176" s="197" t="s">
        <v>144</v>
      </c>
      <c r="AR176" s="197" t="s">
        <v>61</v>
      </c>
      <c r="AS176" s="197" t="s">
        <v>63</v>
      </c>
      <c r="AT176" s="197" t="s">
        <v>65</v>
      </c>
      <c r="AU176" s="197" t="s">
        <v>67</v>
      </c>
      <c r="AV176" s="197" t="s">
        <v>69</v>
      </c>
      <c r="AW176" s="197" t="s">
        <v>145</v>
      </c>
      <c r="AX176" s="197" t="s">
        <v>73</v>
      </c>
      <c r="AY176" s="197" t="s">
        <v>75</v>
      </c>
      <c r="AZ176" s="197" t="s">
        <v>146</v>
      </c>
      <c r="BA176" s="197" t="s">
        <v>83</v>
      </c>
      <c r="BB176" s="197" t="s">
        <v>85</v>
      </c>
      <c r="BC176" s="197" t="s">
        <v>88</v>
      </c>
      <c r="BD176" s="199" t="s">
        <v>147</v>
      </c>
      <c r="BH176"/>
      <c r="BI176"/>
      <c r="BJ176" s="176"/>
      <c r="BK176"/>
      <c r="BL176"/>
      <c r="BM176"/>
      <c r="BN176"/>
      <c r="BO176"/>
      <c r="BP176"/>
    </row>
    <row r="177" spans="1:68" ht="14.25" customHeight="1">
      <c r="A177" s="544"/>
      <c r="B177" s="197" t="s">
        <v>140</v>
      </c>
      <c r="C177" s="156">
        <v>0.30901729159901498</v>
      </c>
      <c r="D177" s="156">
        <v>0</v>
      </c>
      <c r="E177" s="156">
        <v>0.61228638074973107</v>
      </c>
      <c r="F177" s="156">
        <v>0</v>
      </c>
      <c r="G177" s="156">
        <v>7.8696327651254006E-2</v>
      </c>
      <c r="H177" s="156">
        <v>0</v>
      </c>
      <c r="I177" s="200">
        <v>0</v>
      </c>
      <c r="K177" s="216" t="s">
        <v>139</v>
      </c>
      <c r="L177">
        <v>4.8136381064101002E-6</v>
      </c>
      <c r="M177">
        <v>0</v>
      </c>
      <c r="N177">
        <v>5.5118790550999822E-5</v>
      </c>
      <c r="O177">
        <v>0</v>
      </c>
      <c r="P177">
        <v>0</v>
      </c>
      <c r="Q177">
        <v>9.7527164295923216E-2</v>
      </c>
      <c r="R177">
        <v>0</v>
      </c>
      <c r="S177">
        <v>1</v>
      </c>
      <c r="T177">
        <v>1.6225196856118919E-3</v>
      </c>
      <c r="U177">
        <v>0</v>
      </c>
      <c r="V177">
        <v>6.6774104204771098E-6</v>
      </c>
      <c r="W177">
        <v>0</v>
      </c>
      <c r="X177">
        <v>1.183757517642838E-6</v>
      </c>
      <c r="Y177">
        <v>1.531832717842695E-6</v>
      </c>
      <c r="Z177">
        <v>7.9201044073639462E-5</v>
      </c>
      <c r="AA177">
        <v>3.196566496650922E-6</v>
      </c>
      <c r="AB177">
        <v>1.1791285388046091E-7</v>
      </c>
      <c r="AC177">
        <v>0</v>
      </c>
      <c r="AD177">
        <v>1.9635729200011181E-4</v>
      </c>
      <c r="AE177">
        <v>3.9247438559438133E-5</v>
      </c>
      <c r="AF177">
        <v>0</v>
      </c>
      <c r="AI177" s="216" t="s">
        <v>139</v>
      </c>
      <c r="AJ177" s="156">
        <v>8.3622725810336591E-3</v>
      </c>
      <c r="AK177" s="156">
        <v>0</v>
      </c>
      <c r="AL177" s="156">
        <v>8.3622725810336591E-3</v>
      </c>
      <c r="AM177" s="156">
        <v>0</v>
      </c>
      <c r="AN177" s="156">
        <v>0</v>
      </c>
      <c r="AO177" s="156">
        <v>8.3622725810336609E-3</v>
      </c>
      <c r="AP177" s="156">
        <v>0</v>
      </c>
      <c r="AQ177" s="156">
        <v>8.3622725810336591E-3</v>
      </c>
      <c r="AR177" s="156">
        <v>8.3622725810336574E-3</v>
      </c>
      <c r="AS177" s="156">
        <v>0</v>
      </c>
      <c r="AT177" s="156">
        <v>8.3622725810336591E-3</v>
      </c>
      <c r="AU177" s="156">
        <v>0</v>
      </c>
      <c r="AV177" s="156">
        <v>8.3622725810336591E-3</v>
      </c>
      <c r="AW177" s="156">
        <v>8.3622725810336591E-3</v>
      </c>
      <c r="AX177" s="156">
        <v>8.3622725810336591E-3</v>
      </c>
      <c r="AY177" s="156">
        <v>8.3622725810336591E-3</v>
      </c>
      <c r="AZ177" s="156">
        <v>8.3622725810336591E-3</v>
      </c>
      <c r="BA177" s="156">
        <v>0</v>
      </c>
      <c r="BB177" s="156">
        <v>8.3622725810336574E-3</v>
      </c>
      <c r="BC177" s="156">
        <v>8.3622725810336591E-3</v>
      </c>
      <c r="BD177" s="200">
        <v>0</v>
      </c>
      <c r="BH177"/>
      <c r="BI177"/>
      <c r="BJ177" s="176"/>
      <c r="BK177"/>
      <c r="BL177"/>
      <c r="BM177"/>
      <c r="BN177"/>
      <c r="BO177"/>
      <c r="BP177"/>
    </row>
    <row r="178" spans="1:68" ht="14.25" customHeight="1">
      <c r="A178" s="544"/>
      <c r="B178" s="197" t="s">
        <v>48</v>
      </c>
      <c r="C178" s="156">
        <v>9.8567731043092718E-4</v>
      </c>
      <c r="D178" s="156">
        <v>0</v>
      </c>
      <c r="E178" s="156">
        <v>0.99901432268956913</v>
      </c>
      <c r="F178" s="156">
        <v>0</v>
      </c>
      <c r="G178" s="156">
        <v>0</v>
      </c>
      <c r="H178" s="156">
        <v>0</v>
      </c>
      <c r="I178" s="200">
        <v>0</v>
      </c>
      <c r="K178" s="216" t="s">
        <v>37</v>
      </c>
      <c r="L178">
        <v>0.12117364545430551</v>
      </c>
      <c r="M178">
        <v>0.9075880130630215</v>
      </c>
      <c r="N178">
        <v>0.21487299303747379</v>
      </c>
      <c r="O178">
        <v>0.99984512256033564</v>
      </c>
      <c r="P178">
        <v>0.1213002527129565</v>
      </c>
      <c r="Q178">
        <v>0.98859759669957492</v>
      </c>
      <c r="R178">
        <v>0</v>
      </c>
      <c r="S178">
        <v>0</v>
      </c>
      <c r="T178">
        <v>0.97686367845212185</v>
      </c>
      <c r="U178">
        <v>1.0145505288291799E-2</v>
      </c>
      <c r="V178">
        <v>6.9150883440383115E-2</v>
      </c>
      <c r="W178">
        <v>0.83051527637634381</v>
      </c>
      <c r="X178">
        <v>0.97794550515284395</v>
      </c>
      <c r="Y178">
        <v>0.94926526662434962</v>
      </c>
      <c r="Z178">
        <v>0.34252800226797858</v>
      </c>
      <c r="AA178">
        <v>0.56139039071897856</v>
      </c>
      <c r="AB178">
        <v>0.84004055225149044</v>
      </c>
      <c r="AC178">
        <v>0.5022445101132238</v>
      </c>
      <c r="AD178">
        <v>0.42971219727955617</v>
      </c>
      <c r="AE178">
        <v>0.96406391113241696</v>
      </c>
      <c r="AF178">
        <v>0</v>
      </c>
      <c r="AI178" s="216" t="s">
        <v>37</v>
      </c>
      <c r="AJ178" s="156">
        <v>2.189050771976266E-3</v>
      </c>
      <c r="AK178" s="156">
        <v>5.761337733469396E-5</v>
      </c>
      <c r="AL178" s="156">
        <v>6.0419388145761853E-4</v>
      </c>
      <c r="AM178" s="156">
        <v>1.5176582653205799E-4</v>
      </c>
      <c r="AN178" s="156">
        <v>1.2888547747038979E-3</v>
      </c>
      <c r="AO178" s="156">
        <v>9.2569275361086467E-4</v>
      </c>
      <c r="AP178" s="156">
        <v>0</v>
      </c>
      <c r="AQ178" s="156">
        <v>0</v>
      </c>
      <c r="AR178" s="156">
        <v>2.8501228209905621E-4</v>
      </c>
      <c r="AS178" s="156">
        <v>1.3653170410450551E-4</v>
      </c>
      <c r="AT178" s="156">
        <v>1.7313544535880051E-3</v>
      </c>
      <c r="AU178" s="156">
        <v>4.2484825005514762E-4</v>
      </c>
      <c r="AV178" s="156">
        <v>4.1213440138532822E-4</v>
      </c>
      <c r="AW178" s="156">
        <v>4.2891861115685508E-4</v>
      </c>
      <c r="AX178" s="156">
        <v>8.7795065804845672E-4</v>
      </c>
      <c r="AY178" s="156">
        <v>4.632818585786078E-4</v>
      </c>
      <c r="AZ178" s="156">
        <v>3.9461076319685342E-4</v>
      </c>
      <c r="BA178" s="156">
        <v>2.6603423301180382E-4</v>
      </c>
      <c r="BB178" s="156">
        <v>8.2014825863664584E-3</v>
      </c>
      <c r="BC178" s="156">
        <v>1.0313331926194141E-3</v>
      </c>
      <c r="BD178" s="200">
        <v>0</v>
      </c>
      <c r="BH178"/>
      <c r="BI178"/>
      <c r="BJ178"/>
      <c r="BK178"/>
      <c r="BL178"/>
      <c r="BM178"/>
      <c r="BN178"/>
      <c r="BO178"/>
      <c r="BP178"/>
    </row>
    <row r="179" spans="1:68" ht="14.25" customHeight="1">
      <c r="A179" s="544"/>
      <c r="B179" s="197" t="s">
        <v>141</v>
      </c>
      <c r="C179" s="156">
        <v>0</v>
      </c>
      <c r="D179" s="156">
        <v>0</v>
      </c>
      <c r="E179" s="156">
        <v>0</v>
      </c>
      <c r="F179" s="156">
        <v>0</v>
      </c>
      <c r="G179" s="156">
        <v>0</v>
      </c>
      <c r="H179" s="156">
        <v>0</v>
      </c>
      <c r="I179" s="200">
        <v>0</v>
      </c>
      <c r="K179" s="216" t="s">
        <v>140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I179" s="216" t="s">
        <v>140</v>
      </c>
      <c r="AJ179" s="156">
        <v>0</v>
      </c>
      <c r="AK179" s="156">
        <v>0</v>
      </c>
      <c r="AL179" s="156">
        <v>0</v>
      </c>
      <c r="AM179" s="156">
        <v>0</v>
      </c>
      <c r="AN179" s="156">
        <v>0</v>
      </c>
      <c r="AO179" s="156">
        <v>0</v>
      </c>
      <c r="AP179" s="156">
        <v>0</v>
      </c>
      <c r="AQ179" s="156">
        <v>0</v>
      </c>
      <c r="AR179" s="156">
        <v>0</v>
      </c>
      <c r="AS179" s="156">
        <v>0</v>
      </c>
      <c r="AT179" s="156">
        <v>0</v>
      </c>
      <c r="AU179" s="156">
        <v>0</v>
      </c>
      <c r="AV179" s="156">
        <v>0</v>
      </c>
      <c r="AW179" s="156">
        <v>0</v>
      </c>
      <c r="AX179" s="156">
        <v>0</v>
      </c>
      <c r="AY179" s="156">
        <v>0</v>
      </c>
      <c r="AZ179" s="156">
        <v>0</v>
      </c>
      <c r="BA179" s="156">
        <v>0</v>
      </c>
      <c r="BB179" s="156">
        <v>0</v>
      </c>
      <c r="BC179" s="156">
        <v>0</v>
      </c>
      <c r="BD179" s="200">
        <v>0</v>
      </c>
      <c r="BH179"/>
      <c r="BI179"/>
      <c r="BJ179" s="176"/>
      <c r="BK179"/>
      <c r="BL179"/>
      <c r="BM179"/>
      <c r="BN179"/>
      <c r="BO179"/>
      <c r="BP179"/>
    </row>
    <row r="180" spans="1:68" ht="14.25" customHeight="1">
      <c r="A180" s="544"/>
      <c r="B180" s="197" t="s">
        <v>142</v>
      </c>
      <c r="C180" s="156">
        <v>0</v>
      </c>
      <c r="D180" s="156">
        <v>0</v>
      </c>
      <c r="E180" s="156">
        <v>0</v>
      </c>
      <c r="F180" s="156">
        <v>0</v>
      </c>
      <c r="G180" s="156">
        <v>0</v>
      </c>
      <c r="H180" s="156">
        <v>1</v>
      </c>
      <c r="I180" s="200">
        <v>0</v>
      </c>
      <c r="K180" s="216" t="s">
        <v>48</v>
      </c>
      <c r="L180">
        <v>1</v>
      </c>
      <c r="M180">
        <v>1</v>
      </c>
      <c r="N180">
        <v>1</v>
      </c>
      <c r="O180">
        <v>1</v>
      </c>
      <c r="P180">
        <v>1</v>
      </c>
      <c r="Q180">
        <v>1</v>
      </c>
      <c r="R180">
        <v>1</v>
      </c>
      <c r="S180">
        <v>1</v>
      </c>
      <c r="T180">
        <v>1</v>
      </c>
      <c r="U180">
        <v>1</v>
      </c>
      <c r="V180">
        <v>1</v>
      </c>
      <c r="W180">
        <v>1</v>
      </c>
      <c r="X180">
        <v>1</v>
      </c>
      <c r="Y180">
        <v>1</v>
      </c>
      <c r="Z180">
        <v>1</v>
      </c>
      <c r="AA180">
        <v>1</v>
      </c>
      <c r="AB180">
        <v>1</v>
      </c>
      <c r="AC180">
        <v>1</v>
      </c>
      <c r="AD180">
        <v>1</v>
      </c>
      <c r="AE180">
        <v>1</v>
      </c>
      <c r="AF180">
        <v>0</v>
      </c>
      <c r="AI180" s="216" t="s">
        <v>48</v>
      </c>
      <c r="AJ180" s="156">
        <v>2.673559941994694E-5</v>
      </c>
      <c r="AK180" s="156">
        <v>2.0350584621600432E-5</v>
      </c>
      <c r="AL180" s="156">
        <v>4.5458559095335998E-5</v>
      </c>
      <c r="AM180" s="156">
        <v>1.1428451742645781E-4</v>
      </c>
      <c r="AN180" s="156">
        <v>2.121049744327053E-5</v>
      </c>
      <c r="AO180" s="156">
        <v>1.440841400129843E-4</v>
      </c>
      <c r="AP180" s="156">
        <v>1.336152059966375E-5</v>
      </c>
      <c r="AQ180" s="156">
        <v>5.5874545186220507E-6</v>
      </c>
      <c r="AR180" s="156">
        <v>8.5341602712027407E-6</v>
      </c>
      <c r="AS180" s="156">
        <v>6.0530947130560617E-5</v>
      </c>
      <c r="AT180" s="156">
        <v>6.1075831137641885E-5</v>
      </c>
      <c r="AU180" s="156">
        <v>7.9005188592409925E-5</v>
      </c>
      <c r="AV180" s="156">
        <v>8.0348298838899045E-5</v>
      </c>
      <c r="AW180" s="156">
        <v>1.896225083993395E-5</v>
      </c>
      <c r="AX180" s="156">
        <v>2.3907373106055E-5</v>
      </c>
      <c r="AY180" s="156">
        <v>8.9756941828502733E-5</v>
      </c>
      <c r="AZ180" s="156">
        <v>1.2363599248761541E-5</v>
      </c>
      <c r="BA180" s="156">
        <v>4.1300252797938562E-5</v>
      </c>
      <c r="BB180" s="156">
        <v>3.96777863014614E-4</v>
      </c>
      <c r="BC180" s="156">
        <v>7.1674323132433644E-6</v>
      </c>
      <c r="BD180" s="200">
        <v>0</v>
      </c>
      <c r="BH180"/>
      <c r="BI180"/>
      <c r="BJ180"/>
      <c r="BK180"/>
      <c r="BL180"/>
      <c r="BM180"/>
      <c r="BN180"/>
      <c r="BO180"/>
      <c r="BP180"/>
    </row>
    <row r="181" spans="1:68" ht="14.25" customHeight="1">
      <c r="A181" s="544"/>
      <c r="B181" s="197" t="s">
        <v>143</v>
      </c>
      <c r="C181" s="156">
        <v>2.5526625450270988E-3</v>
      </c>
      <c r="D181" s="156">
        <v>0.99744733745497294</v>
      </c>
      <c r="E181" s="156">
        <v>0</v>
      </c>
      <c r="F181" s="156">
        <v>0</v>
      </c>
      <c r="G181" s="156">
        <v>0</v>
      </c>
      <c r="H181" s="156">
        <v>0</v>
      </c>
      <c r="I181" s="200">
        <v>0</v>
      </c>
      <c r="K181" s="216" t="s">
        <v>141</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I181" s="216" t="s">
        <v>141</v>
      </c>
      <c r="AJ181" s="156">
        <v>0</v>
      </c>
      <c r="AK181" s="156">
        <v>0</v>
      </c>
      <c r="AL181" s="156">
        <v>0</v>
      </c>
      <c r="AM181" s="156">
        <v>0</v>
      </c>
      <c r="AN181" s="156">
        <v>0</v>
      </c>
      <c r="AO181" s="156">
        <v>0</v>
      </c>
      <c r="AP181" s="156">
        <v>0</v>
      </c>
      <c r="AQ181" s="156">
        <v>0</v>
      </c>
      <c r="AR181" s="156">
        <v>0</v>
      </c>
      <c r="AS181" s="156">
        <v>0</v>
      </c>
      <c r="AT181" s="156">
        <v>0</v>
      </c>
      <c r="AU181" s="156">
        <v>0</v>
      </c>
      <c r="AV181" s="156">
        <v>0</v>
      </c>
      <c r="AW181" s="156">
        <v>0</v>
      </c>
      <c r="AX181" s="156">
        <v>0</v>
      </c>
      <c r="AY181" s="156">
        <v>0</v>
      </c>
      <c r="AZ181" s="156">
        <v>0</v>
      </c>
      <c r="BA181" s="156">
        <v>0</v>
      </c>
      <c r="BB181" s="156">
        <v>0</v>
      </c>
      <c r="BC181" s="156">
        <v>0</v>
      </c>
      <c r="BD181" s="200">
        <v>0</v>
      </c>
      <c r="BH181" s="176">
        <v>6.7012000000000003E-6</v>
      </c>
      <c r="BI181"/>
      <c r="BJ181"/>
      <c r="BK181"/>
      <c r="BL181"/>
      <c r="BM181"/>
      <c r="BN181"/>
      <c r="BO181"/>
      <c r="BP181"/>
    </row>
    <row r="182" spans="1:68" ht="14.25" customHeight="1">
      <c r="A182" s="544"/>
      <c r="B182" s="197" t="s">
        <v>144</v>
      </c>
      <c r="C182" s="156">
        <v>0</v>
      </c>
      <c r="D182" s="156">
        <v>0</v>
      </c>
      <c r="E182" s="156">
        <v>0</v>
      </c>
      <c r="F182" s="156">
        <v>0</v>
      </c>
      <c r="G182" s="156">
        <v>0</v>
      </c>
      <c r="H182" s="156">
        <v>0</v>
      </c>
      <c r="I182" s="200">
        <v>0</v>
      </c>
      <c r="K182" s="216" t="s">
        <v>142</v>
      </c>
      <c r="L182">
        <v>1</v>
      </c>
      <c r="M182">
        <v>1</v>
      </c>
      <c r="N182">
        <v>1</v>
      </c>
      <c r="O182">
        <v>1</v>
      </c>
      <c r="P182">
        <v>1</v>
      </c>
      <c r="Q182">
        <v>0</v>
      </c>
      <c r="R182">
        <v>1</v>
      </c>
      <c r="S182">
        <v>1</v>
      </c>
      <c r="T182">
        <v>1</v>
      </c>
      <c r="U182">
        <v>1</v>
      </c>
      <c r="V182">
        <v>1</v>
      </c>
      <c r="W182">
        <v>1</v>
      </c>
      <c r="X182">
        <v>1</v>
      </c>
      <c r="Y182">
        <v>1</v>
      </c>
      <c r="Z182">
        <v>1</v>
      </c>
      <c r="AA182">
        <v>1</v>
      </c>
      <c r="AB182">
        <v>1</v>
      </c>
      <c r="AC182">
        <v>1</v>
      </c>
      <c r="AD182">
        <v>1</v>
      </c>
      <c r="AE182">
        <v>1</v>
      </c>
      <c r="AF182">
        <v>0</v>
      </c>
      <c r="AI182" s="216" t="s">
        <v>142</v>
      </c>
      <c r="AJ182" s="156">
        <v>4.6813994577961051E-4</v>
      </c>
      <c r="AK182" s="156">
        <v>2.5468884189159768E-2</v>
      </c>
      <c r="AL182" s="156">
        <v>1.4504217275883339E-3</v>
      </c>
      <c r="AM182" s="156">
        <v>4.6602645178129968E-4</v>
      </c>
      <c r="AN182" s="156">
        <v>2.0571178934881469E-4</v>
      </c>
      <c r="AO182" s="156">
        <v>0</v>
      </c>
      <c r="AP182" s="156">
        <v>1.3527632407129551E-3</v>
      </c>
      <c r="AQ182" s="156">
        <v>1.419869175265801E-3</v>
      </c>
      <c r="AR182" s="156">
        <v>7.286641983043682E-3</v>
      </c>
      <c r="AS182" s="156">
        <v>9.6206972023244548E-5</v>
      </c>
      <c r="AT182" s="156">
        <v>3.8241080407342369E-4</v>
      </c>
      <c r="AU182" s="156">
        <v>1.077242215663489E-3</v>
      </c>
      <c r="AV182" s="156">
        <v>5.0395039161432271E-3</v>
      </c>
      <c r="AW182" s="156">
        <v>1.1525448117207259E-3</v>
      </c>
      <c r="AX182" s="156">
        <v>3.6708298469473641E-4</v>
      </c>
      <c r="AY182" s="156">
        <v>1.3150268710706689E-3</v>
      </c>
      <c r="AZ182" s="156">
        <v>9.3868867375311192E-4</v>
      </c>
      <c r="BA182" s="156">
        <v>3.6749285979325528E-4</v>
      </c>
      <c r="BB182" s="156">
        <v>9.7317197290028984E-4</v>
      </c>
      <c r="BC182" s="156">
        <v>3.3280063535841521E-3</v>
      </c>
      <c r="BD182" s="200">
        <v>0</v>
      </c>
      <c r="BH182">
        <v>0</v>
      </c>
      <c r="BI182"/>
      <c r="BJ182"/>
      <c r="BK182"/>
      <c r="BL182"/>
      <c r="BM182"/>
      <c r="BN182"/>
      <c r="BO182"/>
      <c r="BP182"/>
    </row>
    <row r="183" spans="1:68" ht="14.25" customHeight="1">
      <c r="A183" s="544"/>
      <c r="B183" s="197" t="s">
        <v>61</v>
      </c>
      <c r="C183" s="156">
        <v>0</v>
      </c>
      <c r="D183" s="156">
        <v>0</v>
      </c>
      <c r="E183" s="156">
        <v>0</v>
      </c>
      <c r="F183" s="156">
        <v>0</v>
      </c>
      <c r="G183" s="156">
        <v>0</v>
      </c>
      <c r="H183" s="156">
        <v>1</v>
      </c>
      <c r="I183" s="200">
        <v>0</v>
      </c>
      <c r="K183" s="216" t="s">
        <v>143</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I183" s="216" t="s">
        <v>143</v>
      </c>
      <c r="AJ183" s="156">
        <v>0</v>
      </c>
      <c r="AK183" s="156">
        <v>0</v>
      </c>
      <c r="AL183" s="156">
        <v>0</v>
      </c>
      <c r="AM183" s="156">
        <v>0</v>
      </c>
      <c r="AN183" s="156">
        <v>0</v>
      </c>
      <c r="AO183" s="156">
        <v>0</v>
      </c>
      <c r="AP183" s="156">
        <v>0</v>
      </c>
      <c r="AQ183" s="156">
        <v>0</v>
      </c>
      <c r="AR183" s="156">
        <v>0</v>
      </c>
      <c r="AS183" s="156">
        <v>0</v>
      </c>
      <c r="AT183" s="156">
        <v>0</v>
      </c>
      <c r="AU183" s="156">
        <v>0</v>
      </c>
      <c r="AV183" s="156">
        <v>0</v>
      </c>
      <c r="AW183" s="156">
        <v>0</v>
      </c>
      <c r="AX183" s="156">
        <v>0</v>
      </c>
      <c r="AY183" s="156">
        <v>0</v>
      </c>
      <c r="AZ183" s="156">
        <v>0</v>
      </c>
      <c r="BA183" s="156">
        <v>0</v>
      </c>
      <c r="BB183" s="156">
        <v>0</v>
      </c>
      <c r="BC183" s="156">
        <v>0</v>
      </c>
      <c r="BD183" s="200">
        <v>0</v>
      </c>
      <c r="BH183" s="176">
        <v>2.64432E-24</v>
      </c>
      <c r="BI183"/>
      <c r="BJ183" s="176"/>
      <c r="BK183"/>
      <c r="BL183"/>
      <c r="BM183"/>
      <c r="BN183"/>
      <c r="BO183"/>
      <c r="BP183"/>
    </row>
    <row r="184" spans="1:68" ht="14.25" customHeight="1">
      <c r="A184" s="544"/>
      <c r="B184" s="197" t="s">
        <v>63</v>
      </c>
      <c r="C184" s="156">
        <v>0</v>
      </c>
      <c r="D184" s="156">
        <v>0</v>
      </c>
      <c r="E184" s="156">
        <v>0</v>
      </c>
      <c r="F184" s="156">
        <v>0</v>
      </c>
      <c r="G184" s="156">
        <v>0</v>
      </c>
      <c r="H184" s="156">
        <v>0</v>
      </c>
      <c r="I184" s="200">
        <v>0</v>
      </c>
      <c r="K184" s="216" t="s">
        <v>144</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I184" s="216" t="s">
        <v>144</v>
      </c>
      <c r="AJ184" s="156">
        <v>0</v>
      </c>
      <c r="AK184" s="156">
        <v>0</v>
      </c>
      <c r="AL184" s="156">
        <v>0</v>
      </c>
      <c r="AM184" s="156">
        <v>0</v>
      </c>
      <c r="AN184" s="156">
        <v>0</v>
      </c>
      <c r="AO184" s="156">
        <v>0</v>
      </c>
      <c r="AP184" s="156">
        <v>0</v>
      </c>
      <c r="AQ184" s="156">
        <v>0</v>
      </c>
      <c r="AR184" s="156">
        <v>0</v>
      </c>
      <c r="AS184" s="156">
        <v>0</v>
      </c>
      <c r="AT184" s="156">
        <v>0</v>
      </c>
      <c r="AU184" s="156">
        <v>0</v>
      </c>
      <c r="AV184" s="156">
        <v>0</v>
      </c>
      <c r="AW184" s="156">
        <v>0</v>
      </c>
      <c r="AX184" s="156">
        <v>0</v>
      </c>
      <c r="AY184" s="156">
        <v>0</v>
      </c>
      <c r="AZ184" s="156">
        <v>0</v>
      </c>
      <c r="BA184" s="156">
        <v>0</v>
      </c>
      <c r="BB184" s="156">
        <v>0</v>
      </c>
      <c r="BC184" s="156">
        <v>0</v>
      </c>
      <c r="BD184" s="200">
        <v>0</v>
      </c>
      <c r="BH184"/>
      <c r="BI184"/>
      <c r="BJ184" s="176"/>
      <c r="BK184"/>
      <c r="BL184"/>
      <c r="BM184"/>
      <c r="BN184"/>
      <c r="BO184"/>
      <c r="BP184"/>
    </row>
    <row r="185" spans="1:68" ht="14.25" customHeight="1">
      <c r="A185" s="544"/>
      <c r="B185" s="197" t="s">
        <v>65</v>
      </c>
      <c r="C185" s="156">
        <v>0</v>
      </c>
      <c r="D185" s="156">
        <v>0</v>
      </c>
      <c r="E185" s="156">
        <v>0.99999999999999989</v>
      </c>
      <c r="F185" s="156">
        <v>0</v>
      </c>
      <c r="G185" s="156">
        <v>0</v>
      </c>
      <c r="H185" s="156">
        <v>0</v>
      </c>
      <c r="I185" s="200">
        <v>0</v>
      </c>
      <c r="K185" s="216" t="s">
        <v>61</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I185" s="216" t="s">
        <v>61</v>
      </c>
      <c r="AJ185" s="156">
        <v>0</v>
      </c>
      <c r="AK185" s="156">
        <v>0</v>
      </c>
      <c r="AL185" s="156">
        <v>0</v>
      </c>
      <c r="AM185" s="156">
        <v>0</v>
      </c>
      <c r="AN185" s="156">
        <v>0</v>
      </c>
      <c r="AO185" s="156">
        <v>0</v>
      </c>
      <c r="AP185" s="156">
        <v>0</v>
      </c>
      <c r="AQ185" s="156">
        <v>0</v>
      </c>
      <c r="AR185" s="156">
        <v>0</v>
      </c>
      <c r="AS185" s="156">
        <v>0</v>
      </c>
      <c r="AT185" s="156">
        <v>0</v>
      </c>
      <c r="AU185" s="156">
        <v>0</v>
      </c>
      <c r="AV185" s="156">
        <v>0</v>
      </c>
      <c r="AW185" s="156">
        <v>0</v>
      </c>
      <c r="AX185" s="156">
        <v>0</v>
      </c>
      <c r="AY185" s="156">
        <v>0</v>
      </c>
      <c r="AZ185" s="156">
        <v>0</v>
      </c>
      <c r="BA185" s="156">
        <v>0</v>
      </c>
      <c r="BB185" s="156">
        <v>0</v>
      </c>
      <c r="BC185" s="156">
        <v>0</v>
      </c>
      <c r="BD185" s="200">
        <v>0</v>
      </c>
      <c r="BH185"/>
      <c r="BI185"/>
      <c r="BJ185"/>
      <c r="BK185"/>
      <c r="BL185"/>
      <c r="BM185"/>
      <c r="BN185"/>
      <c r="BO185"/>
      <c r="BP185"/>
    </row>
    <row r="186" spans="1:68" ht="14.25" customHeight="1">
      <c r="A186" s="544"/>
      <c r="B186" s="197" t="s">
        <v>67</v>
      </c>
      <c r="C186" s="156">
        <v>0</v>
      </c>
      <c r="D186" s="156">
        <v>0</v>
      </c>
      <c r="E186" s="156">
        <v>0</v>
      </c>
      <c r="F186" s="156">
        <v>0</v>
      </c>
      <c r="G186" s="156">
        <v>0</v>
      </c>
      <c r="H186" s="156">
        <v>0</v>
      </c>
      <c r="I186" s="200">
        <v>0</v>
      </c>
      <c r="K186" s="216" t="s">
        <v>63</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I186" s="216" t="s">
        <v>63</v>
      </c>
      <c r="AJ186" s="156">
        <v>0</v>
      </c>
      <c r="AK186" s="156">
        <v>0</v>
      </c>
      <c r="AL186" s="156">
        <v>0</v>
      </c>
      <c r="AM186" s="156">
        <v>0</v>
      </c>
      <c r="AN186" s="156">
        <v>0</v>
      </c>
      <c r="AO186" s="156">
        <v>0</v>
      </c>
      <c r="AP186" s="156">
        <v>0</v>
      </c>
      <c r="AQ186" s="156">
        <v>0</v>
      </c>
      <c r="AR186" s="156">
        <v>0</v>
      </c>
      <c r="AS186" s="156">
        <v>0</v>
      </c>
      <c r="AT186" s="156">
        <v>0</v>
      </c>
      <c r="AU186" s="156">
        <v>0</v>
      </c>
      <c r="AV186" s="156">
        <v>0</v>
      </c>
      <c r="AW186" s="156">
        <v>0</v>
      </c>
      <c r="AX186" s="156">
        <v>0</v>
      </c>
      <c r="AY186" s="156">
        <v>0</v>
      </c>
      <c r="AZ186" s="156">
        <v>0</v>
      </c>
      <c r="BA186" s="156">
        <v>0</v>
      </c>
      <c r="BB186" s="156">
        <v>0</v>
      </c>
      <c r="BC186" s="156">
        <v>0</v>
      </c>
      <c r="BD186" s="200">
        <v>0</v>
      </c>
      <c r="BH186"/>
      <c r="BI186"/>
      <c r="BJ186"/>
      <c r="BK186"/>
      <c r="BL186"/>
      <c r="BM186"/>
      <c r="BN186"/>
      <c r="BO186"/>
      <c r="BP186"/>
    </row>
    <row r="187" spans="1:68" ht="14.25" customHeight="1">
      <c r="A187" s="544"/>
      <c r="B187" s="197" t="s">
        <v>69</v>
      </c>
      <c r="C187" s="156">
        <v>0</v>
      </c>
      <c r="D187" s="156">
        <v>0</v>
      </c>
      <c r="E187" s="156">
        <v>0</v>
      </c>
      <c r="F187" s="156">
        <v>0</v>
      </c>
      <c r="G187" s="156">
        <v>0</v>
      </c>
      <c r="H187" s="156">
        <v>0</v>
      </c>
      <c r="I187" s="200">
        <v>0</v>
      </c>
      <c r="K187" s="216" t="s">
        <v>65</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I187" s="216" t="s">
        <v>65</v>
      </c>
      <c r="AJ187" s="156">
        <v>0</v>
      </c>
      <c r="AK187" s="156">
        <v>0</v>
      </c>
      <c r="AL187" s="156">
        <v>0</v>
      </c>
      <c r="AM187" s="156">
        <v>0</v>
      </c>
      <c r="AN187" s="156">
        <v>0</v>
      </c>
      <c r="AO187" s="156">
        <v>0</v>
      </c>
      <c r="AP187" s="156">
        <v>0</v>
      </c>
      <c r="AQ187" s="156">
        <v>0</v>
      </c>
      <c r="AR187" s="156">
        <v>0</v>
      </c>
      <c r="AS187" s="156">
        <v>0</v>
      </c>
      <c r="AT187" s="156">
        <v>0</v>
      </c>
      <c r="AU187" s="156">
        <v>0</v>
      </c>
      <c r="AV187" s="156">
        <v>0</v>
      </c>
      <c r="AW187" s="156">
        <v>0</v>
      </c>
      <c r="AX187" s="156">
        <v>0</v>
      </c>
      <c r="AY187" s="156">
        <v>0</v>
      </c>
      <c r="AZ187" s="156">
        <v>0</v>
      </c>
      <c r="BA187" s="156">
        <v>0</v>
      </c>
      <c r="BB187" s="156">
        <v>0</v>
      </c>
      <c r="BC187" s="156">
        <v>0</v>
      </c>
      <c r="BD187" s="200">
        <v>0</v>
      </c>
      <c r="BH187"/>
      <c r="BI187"/>
      <c r="BJ187"/>
      <c r="BK187"/>
      <c r="BL187"/>
      <c r="BM187"/>
      <c r="BN187"/>
      <c r="BO187"/>
      <c r="BP187"/>
    </row>
    <row r="188" spans="1:68" ht="14.25" customHeight="1">
      <c r="A188" s="544"/>
      <c r="B188" s="197" t="s">
        <v>145</v>
      </c>
      <c r="C188" s="156">
        <v>0</v>
      </c>
      <c r="D188" s="156">
        <v>0</v>
      </c>
      <c r="E188" s="156">
        <v>0</v>
      </c>
      <c r="F188" s="156">
        <v>0</v>
      </c>
      <c r="G188" s="156">
        <v>0</v>
      </c>
      <c r="H188" s="156">
        <v>0</v>
      </c>
      <c r="I188" s="200">
        <v>0</v>
      </c>
      <c r="K188" s="216" t="s">
        <v>67</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I188" s="216" t="s">
        <v>67</v>
      </c>
      <c r="AJ188" s="156">
        <v>0</v>
      </c>
      <c r="AK188" s="156">
        <v>0</v>
      </c>
      <c r="AL188" s="156">
        <v>0</v>
      </c>
      <c r="AM188" s="156">
        <v>0</v>
      </c>
      <c r="AN188" s="156">
        <v>0</v>
      </c>
      <c r="AO188" s="156">
        <v>0</v>
      </c>
      <c r="AP188" s="156">
        <v>0</v>
      </c>
      <c r="AQ188" s="156">
        <v>0</v>
      </c>
      <c r="AR188" s="156">
        <v>0</v>
      </c>
      <c r="AS188" s="156">
        <v>0</v>
      </c>
      <c r="AT188" s="156">
        <v>0</v>
      </c>
      <c r="AU188" s="156">
        <v>0</v>
      </c>
      <c r="AV188" s="156">
        <v>0</v>
      </c>
      <c r="AW188" s="156">
        <v>0</v>
      </c>
      <c r="AX188" s="156">
        <v>0</v>
      </c>
      <c r="AY188" s="156">
        <v>0</v>
      </c>
      <c r="AZ188" s="156">
        <v>0</v>
      </c>
      <c r="BA188" s="156">
        <v>0</v>
      </c>
      <c r="BB188" s="156">
        <v>0</v>
      </c>
      <c r="BC188" s="156">
        <v>0</v>
      </c>
      <c r="BD188" s="200">
        <v>0</v>
      </c>
      <c r="BH188"/>
      <c r="BI188"/>
      <c r="BJ188"/>
      <c r="BK188"/>
      <c r="BL188"/>
      <c r="BM188"/>
      <c r="BN188"/>
      <c r="BO188"/>
      <c r="BP188"/>
    </row>
    <row r="189" spans="1:68" ht="14.25" customHeight="1">
      <c r="A189" s="544"/>
      <c r="B189" s="197" t="s">
        <v>73</v>
      </c>
      <c r="C189" s="156">
        <v>0</v>
      </c>
      <c r="D189" s="156">
        <v>0</v>
      </c>
      <c r="E189" s="156">
        <v>0</v>
      </c>
      <c r="F189" s="156">
        <v>0</v>
      </c>
      <c r="G189" s="156">
        <v>0</v>
      </c>
      <c r="H189" s="156">
        <v>0</v>
      </c>
      <c r="I189" s="200">
        <v>0</v>
      </c>
      <c r="K189" s="216" t="s">
        <v>69</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I189" s="216" t="s">
        <v>69</v>
      </c>
      <c r="AJ189" s="156">
        <v>0</v>
      </c>
      <c r="AK189" s="156">
        <v>0</v>
      </c>
      <c r="AL189" s="156">
        <v>0</v>
      </c>
      <c r="AM189" s="156">
        <v>0</v>
      </c>
      <c r="AN189" s="156">
        <v>0</v>
      </c>
      <c r="AO189" s="156">
        <v>0</v>
      </c>
      <c r="AP189" s="156">
        <v>0</v>
      </c>
      <c r="AQ189" s="156">
        <v>0</v>
      </c>
      <c r="AR189" s="156">
        <v>0</v>
      </c>
      <c r="AS189" s="156">
        <v>0</v>
      </c>
      <c r="AT189" s="156">
        <v>0</v>
      </c>
      <c r="AU189" s="156">
        <v>0</v>
      </c>
      <c r="AV189" s="156">
        <v>0</v>
      </c>
      <c r="AW189" s="156">
        <v>0</v>
      </c>
      <c r="AX189" s="156">
        <v>0</v>
      </c>
      <c r="AY189" s="156">
        <v>0</v>
      </c>
      <c r="AZ189" s="156">
        <v>0</v>
      </c>
      <c r="BA189" s="156">
        <v>0</v>
      </c>
      <c r="BB189" s="156">
        <v>0</v>
      </c>
      <c r="BC189" s="156">
        <v>0</v>
      </c>
      <c r="BD189" s="200">
        <v>0</v>
      </c>
      <c r="BH189"/>
      <c r="BI189"/>
      <c r="BJ189" s="176"/>
      <c r="BK189"/>
      <c r="BL189"/>
      <c r="BM189"/>
      <c r="BN189"/>
      <c r="BO189"/>
      <c r="BP189"/>
    </row>
    <row r="190" spans="1:68" ht="14.25" customHeight="1">
      <c r="A190" s="544"/>
      <c r="B190" s="197" t="s">
        <v>75</v>
      </c>
      <c r="C190" s="156">
        <v>0</v>
      </c>
      <c r="D190" s="156">
        <v>0</v>
      </c>
      <c r="E190" s="156">
        <v>0</v>
      </c>
      <c r="F190" s="156">
        <v>0</v>
      </c>
      <c r="G190" s="156">
        <v>0</v>
      </c>
      <c r="H190" s="156">
        <v>0</v>
      </c>
      <c r="I190" s="200">
        <v>0</v>
      </c>
      <c r="K190" s="216" t="s">
        <v>145</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I190" s="216" t="s">
        <v>145</v>
      </c>
      <c r="AJ190" s="156">
        <v>0</v>
      </c>
      <c r="AK190" s="156">
        <v>0</v>
      </c>
      <c r="AL190" s="156">
        <v>0</v>
      </c>
      <c r="AM190" s="156">
        <v>0</v>
      </c>
      <c r="AN190" s="156">
        <v>0</v>
      </c>
      <c r="AO190" s="156">
        <v>0</v>
      </c>
      <c r="AP190" s="156">
        <v>0</v>
      </c>
      <c r="AQ190" s="156">
        <v>0</v>
      </c>
      <c r="AR190" s="156">
        <v>0</v>
      </c>
      <c r="AS190" s="156">
        <v>0</v>
      </c>
      <c r="AT190" s="156">
        <v>0</v>
      </c>
      <c r="AU190" s="156">
        <v>0</v>
      </c>
      <c r="AV190" s="156">
        <v>0</v>
      </c>
      <c r="AW190" s="156">
        <v>0</v>
      </c>
      <c r="AX190" s="156">
        <v>0</v>
      </c>
      <c r="AY190" s="156">
        <v>0</v>
      </c>
      <c r="AZ190" s="156">
        <v>0</v>
      </c>
      <c r="BA190" s="156">
        <v>0</v>
      </c>
      <c r="BB190" s="156">
        <v>0</v>
      </c>
      <c r="BC190" s="156">
        <v>0</v>
      </c>
      <c r="BD190" s="200">
        <v>0</v>
      </c>
      <c r="BH190"/>
      <c r="BI190"/>
      <c r="BJ190" s="176"/>
      <c r="BK190"/>
      <c r="BL190"/>
      <c r="BM190"/>
      <c r="BN190"/>
      <c r="BO190"/>
      <c r="BP190"/>
    </row>
    <row r="191" spans="1:68" ht="14.25" customHeight="1">
      <c r="A191" s="544"/>
      <c r="B191" s="197" t="s">
        <v>146</v>
      </c>
      <c r="C191" s="156">
        <v>0</v>
      </c>
      <c r="D191" s="156">
        <v>0</v>
      </c>
      <c r="E191" s="156">
        <v>0</v>
      </c>
      <c r="F191" s="156">
        <v>0</v>
      </c>
      <c r="G191" s="156">
        <v>1</v>
      </c>
      <c r="H191" s="156">
        <v>0</v>
      </c>
      <c r="I191" s="200">
        <v>0</v>
      </c>
      <c r="K191" s="216" t="s">
        <v>73</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I191" s="216" t="s">
        <v>73</v>
      </c>
      <c r="AJ191" s="156">
        <v>0</v>
      </c>
      <c r="AK191" s="156">
        <v>0</v>
      </c>
      <c r="AL191" s="156">
        <v>0</v>
      </c>
      <c r="AM191" s="156">
        <v>0</v>
      </c>
      <c r="AN191" s="156">
        <v>0</v>
      </c>
      <c r="AO191" s="156">
        <v>0</v>
      </c>
      <c r="AP191" s="156">
        <v>0</v>
      </c>
      <c r="AQ191" s="156">
        <v>0</v>
      </c>
      <c r="AR191" s="156">
        <v>0</v>
      </c>
      <c r="AS191" s="156">
        <v>0</v>
      </c>
      <c r="AT191" s="156">
        <v>0</v>
      </c>
      <c r="AU191" s="156">
        <v>0</v>
      </c>
      <c r="AV191" s="156">
        <v>0</v>
      </c>
      <c r="AW191" s="156">
        <v>0</v>
      </c>
      <c r="AX191" s="156">
        <v>0</v>
      </c>
      <c r="AY191" s="156">
        <v>0</v>
      </c>
      <c r="AZ191" s="156">
        <v>0</v>
      </c>
      <c r="BA191" s="156">
        <v>0</v>
      </c>
      <c r="BB191" s="156">
        <v>0</v>
      </c>
      <c r="BC191" s="156">
        <v>0</v>
      </c>
      <c r="BD191" s="200">
        <v>0</v>
      </c>
      <c r="BH191"/>
      <c r="BI191"/>
      <c r="BJ191" s="176"/>
      <c r="BK191"/>
      <c r="BL191"/>
      <c r="BM191"/>
      <c r="BN191"/>
      <c r="BO191"/>
      <c r="BP191"/>
    </row>
    <row r="192" spans="1:68" ht="14.25" customHeight="1">
      <c r="A192" s="544"/>
      <c r="B192" s="197" t="s">
        <v>83</v>
      </c>
      <c r="C192" s="156">
        <v>0</v>
      </c>
      <c r="D192" s="156">
        <v>0</v>
      </c>
      <c r="E192" s="156">
        <v>0</v>
      </c>
      <c r="F192" s="156">
        <v>0</v>
      </c>
      <c r="G192" s="156">
        <v>0</v>
      </c>
      <c r="H192" s="156">
        <v>0</v>
      </c>
      <c r="I192" s="200">
        <v>0</v>
      </c>
      <c r="K192" s="216" t="s">
        <v>75</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I192" s="216" t="s">
        <v>75</v>
      </c>
      <c r="AJ192" s="156">
        <v>0</v>
      </c>
      <c r="AK192" s="156">
        <v>0</v>
      </c>
      <c r="AL192" s="156">
        <v>0</v>
      </c>
      <c r="AM192" s="156">
        <v>0</v>
      </c>
      <c r="AN192" s="156">
        <v>0</v>
      </c>
      <c r="AO192" s="156">
        <v>0</v>
      </c>
      <c r="AP192" s="156">
        <v>0</v>
      </c>
      <c r="AQ192" s="156">
        <v>0</v>
      </c>
      <c r="AR192" s="156">
        <v>0</v>
      </c>
      <c r="AS192" s="156">
        <v>0</v>
      </c>
      <c r="AT192" s="156">
        <v>0</v>
      </c>
      <c r="AU192" s="156">
        <v>0</v>
      </c>
      <c r="AV192" s="156">
        <v>0</v>
      </c>
      <c r="AW192" s="156">
        <v>0</v>
      </c>
      <c r="AX192" s="156">
        <v>0</v>
      </c>
      <c r="AY192" s="156">
        <v>0</v>
      </c>
      <c r="AZ192" s="156">
        <v>0</v>
      </c>
      <c r="BA192" s="156">
        <v>0</v>
      </c>
      <c r="BB192" s="156">
        <v>0</v>
      </c>
      <c r="BC192" s="156">
        <v>0</v>
      </c>
      <c r="BD192" s="200">
        <v>0</v>
      </c>
      <c r="BH192"/>
      <c r="BI192"/>
      <c r="BJ192"/>
      <c r="BK192"/>
      <c r="BL192"/>
      <c r="BM192"/>
      <c r="BN192"/>
      <c r="BO192"/>
      <c r="BP192"/>
    </row>
    <row r="193" spans="1:68" ht="14.25" customHeight="1">
      <c r="A193" s="544"/>
      <c r="B193" s="197" t="s">
        <v>85</v>
      </c>
      <c r="C193" s="156">
        <v>0</v>
      </c>
      <c r="D193" s="156">
        <v>0</v>
      </c>
      <c r="E193" s="156">
        <v>0</v>
      </c>
      <c r="F193" s="156">
        <v>0</v>
      </c>
      <c r="G193" s="156">
        <v>0</v>
      </c>
      <c r="H193" s="156">
        <v>0</v>
      </c>
      <c r="I193" s="200">
        <v>0</v>
      </c>
      <c r="K193" s="216" t="s">
        <v>146</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I193" s="216" t="s">
        <v>146</v>
      </c>
      <c r="AJ193" s="156">
        <v>0</v>
      </c>
      <c r="AK193" s="156">
        <v>0</v>
      </c>
      <c r="AL193" s="156">
        <v>0</v>
      </c>
      <c r="AM193" s="156">
        <v>0</v>
      </c>
      <c r="AN193" s="156">
        <v>0</v>
      </c>
      <c r="AO193" s="156">
        <v>0</v>
      </c>
      <c r="AP193" s="156">
        <v>0</v>
      </c>
      <c r="AQ193" s="156">
        <v>0</v>
      </c>
      <c r="AR193" s="156">
        <v>0</v>
      </c>
      <c r="AS193" s="156">
        <v>0</v>
      </c>
      <c r="AT193" s="156">
        <v>0</v>
      </c>
      <c r="AU193" s="156">
        <v>0</v>
      </c>
      <c r="AV193" s="156">
        <v>0</v>
      </c>
      <c r="AW193" s="156">
        <v>0</v>
      </c>
      <c r="AX193" s="156">
        <v>0</v>
      </c>
      <c r="AY193" s="156">
        <v>0</v>
      </c>
      <c r="AZ193" s="156">
        <v>0</v>
      </c>
      <c r="BA193" s="156">
        <v>0</v>
      </c>
      <c r="BB193" s="156">
        <v>0</v>
      </c>
      <c r="BC193" s="156">
        <v>0</v>
      </c>
      <c r="BD193" s="200">
        <v>0</v>
      </c>
      <c r="BH193"/>
      <c r="BI193"/>
      <c r="BJ193" t="s">
        <v>1378</v>
      </c>
      <c r="BK193" t="s">
        <v>1379</v>
      </c>
      <c r="BL193" t="s">
        <v>1380</v>
      </c>
      <c r="BM193" t="s">
        <v>1381</v>
      </c>
      <c r="BN193" t="s">
        <v>1382</v>
      </c>
      <c r="BO193" t="s">
        <v>1383</v>
      </c>
      <c r="BP193" t="s">
        <v>1384</v>
      </c>
    </row>
    <row r="194" spans="1:68" ht="14.25" customHeight="1">
      <c r="A194" s="544"/>
      <c r="B194" s="197" t="s">
        <v>88</v>
      </c>
      <c r="C194" s="156">
        <v>0</v>
      </c>
      <c r="D194" s="156">
        <v>0</v>
      </c>
      <c r="E194" s="156">
        <v>0</v>
      </c>
      <c r="F194" s="156">
        <v>0</v>
      </c>
      <c r="G194" s="156">
        <v>0</v>
      </c>
      <c r="H194" s="156">
        <v>0</v>
      </c>
      <c r="I194" s="200">
        <v>0</v>
      </c>
      <c r="K194" s="216" t="s">
        <v>83</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I194" s="216" t="s">
        <v>83</v>
      </c>
      <c r="AJ194" s="156">
        <v>0</v>
      </c>
      <c r="AK194" s="156">
        <v>0</v>
      </c>
      <c r="AL194" s="156">
        <v>0</v>
      </c>
      <c r="AM194" s="156">
        <v>0</v>
      </c>
      <c r="AN194" s="156">
        <v>0</v>
      </c>
      <c r="AO194" s="156">
        <v>0</v>
      </c>
      <c r="AP194" s="156">
        <v>0</v>
      </c>
      <c r="AQ194" s="156">
        <v>0</v>
      </c>
      <c r="AR194" s="156">
        <v>0</v>
      </c>
      <c r="AS194" s="156">
        <v>0</v>
      </c>
      <c r="AT194" s="156">
        <v>0</v>
      </c>
      <c r="AU194" s="156">
        <v>0</v>
      </c>
      <c r="AV194" s="156">
        <v>0</v>
      </c>
      <c r="AW194" s="156">
        <v>0</v>
      </c>
      <c r="AX194" s="156">
        <v>0</v>
      </c>
      <c r="AY194" s="156">
        <v>0</v>
      </c>
      <c r="AZ194" s="156">
        <v>0</v>
      </c>
      <c r="BA194" s="156">
        <v>0</v>
      </c>
      <c r="BB194" s="156">
        <v>0</v>
      </c>
      <c r="BC194" s="156">
        <v>0</v>
      </c>
      <c r="BD194" s="200">
        <v>0</v>
      </c>
      <c r="BH194"/>
      <c r="BI194" t="s">
        <v>1385</v>
      </c>
      <c r="BJ194" s="176">
        <v>6.7012000000000003E-6</v>
      </c>
      <c r="BK194" s="176">
        <v>1.5798500000000001E-5</v>
      </c>
      <c r="BL194" s="176">
        <v>3.09928E-6</v>
      </c>
      <c r="BM194">
        <v>0</v>
      </c>
      <c r="BN194" s="176">
        <v>4.6859100000000002E-7</v>
      </c>
      <c r="BO194">
        <v>0</v>
      </c>
      <c r="BP194">
        <v>0</v>
      </c>
    </row>
    <row r="195" spans="1:68" ht="14.25" customHeight="1">
      <c r="A195" s="545"/>
      <c r="B195" s="197" t="s">
        <v>147</v>
      </c>
      <c r="C195" s="156">
        <v>0</v>
      </c>
      <c r="D195" s="156">
        <v>0</v>
      </c>
      <c r="E195" s="156">
        <v>0</v>
      </c>
      <c r="F195" s="156">
        <v>0</v>
      </c>
      <c r="G195" s="156">
        <v>0</v>
      </c>
      <c r="H195" s="156">
        <v>0</v>
      </c>
      <c r="I195" s="200">
        <v>0</v>
      </c>
      <c r="K195" s="216" t="s">
        <v>85</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I195" s="216" t="s">
        <v>85</v>
      </c>
      <c r="AJ195" s="156">
        <v>0</v>
      </c>
      <c r="AK195" s="156">
        <v>0</v>
      </c>
      <c r="AL195" s="156">
        <v>0</v>
      </c>
      <c r="AM195" s="156">
        <v>0</v>
      </c>
      <c r="AN195" s="156">
        <v>0</v>
      </c>
      <c r="AO195" s="156">
        <v>0</v>
      </c>
      <c r="AP195" s="156">
        <v>0</v>
      </c>
      <c r="AQ195" s="156">
        <v>0</v>
      </c>
      <c r="AR195" s="156">
        <v>0</v>
      </c>
      <c r="AS195" s="156">
        <v>0</v>
      </c>
      <c r="AT195" s="156">
        <v>0</v>
      </c>
      <c r="AU195" s="156">
        <v>0</v>
      </c>
      <c r="AV195" s="156">
        <v>0</v>
      </c>
      <c r="AW195" s="156">
        <v>0</v>
      </c>
      <c r="AX195" s="156">
        <v>0</v>
      </c>
      <c r="AY195" s="156">
        <v>0</v>
      </c>
      <c r="AZ195" s="156">
        <v>0</v>
      </c>
      <c r="BA195" s="156">
        <v>0</v>
      </c>
      <c r="BB195" s="156">
        <v>0</v>
      </c>
      <c r="BC195" s="156">
        <v>0</v>
      </c>
      <c r="BD195" s="200">
        <v>0</v>
      </c>
      <c r="BH195"/>
      <c r="BI195" t="s">
        <v>1379</v>
      </c>
      <c r="BJ195">
        <v>0</v>
      </c>
      <c r="BK195">
        <v>0</v>
      </c>
      <c r="BL195" s="176">
        <v>3.3166699999999997E-7</v>
      </c>
      <c r="BM195">
        <v>0</v>
      </c>
      <c r="BN195">
        <v>0</v>
      </c>
      <c r="BO195">
        <v>0</v>
      </c>
      <c r="BP195">
        <v>0</v>
      </c>
    </row>
    <row r="196" spans="1:68" ht="14.25" customHeight="1">
      <c r="A196" s="557" t="s">
        <v>154</v>
      </c>
      <c r="B196" s="558"/>
      <c r="C196" s="558"/>
      <c r="D196" s="558"/>
      <c r="E196" s="558"/>
      <c r="F196" s="558"/>
      <c r="G196" s="558"/>
      <c r="H196" s="558"/>
      <c r="I196" s="559"/>
      <c r="K196" s="216" t="s">
        <v>88</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I196" s="216" t="s">
        <v>88</v>
      </c>
      <c r="AJ196" s="156">
        <v>0</v>
      </c>
      <c r="AK196" s="156">
        <v>0</v>
      </c>
      <c r="AL196" s="156">
        <v>0</v>
      </c>
      <c r="AM196" s="156">
        <v>0</v>
      </c>
      <c r="AN196" s="156">
        <v>0</v>
      </c>
      <c r="AO196" s="156">
        <v>0</v>
      </c>
      <c r="AP196" s="156">
        <v>0</v>
      </c>
      <c r="AQ196" s="156">
        <v>0</v>
      </c>
      <c r="AR196" s="156">
        <v>0</v>
      </c>
      <c r="AS196" s="156">
        <v>0</v>
      </c>
      <c r="AT196" s="156">
        <v>0</v>
      </c>
      <c r="AU196" s="156">
        <v>0</v>
      </c>
      <c r="AV196" s="156">
        <v>0</v>
      </c>
      <c r="AW196" s="156">
        <v>0</v>
      </c>
      <c r="AX196" s="156">
        <v>0</v>
      </c>
      <c r="AY196" s="156">
        <v>0</v>
      </c>
      <c r="AZ196" s="156">
        <v>0</v>
      </c>
      <c r="BA196" s="156">
        <v>0</v>
      </c>
      <c r="BB196" s="156">
        <v>0</v>
      </c>
      <c r="BC196" s="156">
        <v>0</v>
      </c>
      <c r="BD196" s="200">
        <v>0</v>
      </c>
      <c r="BH196"/>
      <c r="BI196" t="s">
        <v>1384</v>
      </c>
      <c r="BJ196" s="176">
        <v>2.64432E-24</v>
      </c>
      <c r="BK196">
        <v>0</v>
      </c>
      <c r="BL196" s="176">
        <v>2.6836600000000001E-7</v>
      </c>
      <c r="BM196">
        <v>0</v>
      </c>
      <c r="BN196" s="176">
        <v>5.5540700000000003E-6</v>
      </c>
      <c r="BO196">
        <v>0</v>
      </c>
      <c r="BP196">
        <v>0</v>
      </c>
    </row>
    <row r="197" spans="1:68" ht="14.25" customHeight="1">
      <c r="A197" s="198"/>
      <c r="B197" s="156"/>
      <c r="C197" s="197" t="s">
        <v>608</v>
      </c>
      <c r="D197" s="197" t="s">
        <v>609</v>
      </c>
      <c r="E197" s="197" t="s">
        <v>610</v>
      </c>
      <c r="F197" s="197" t="s">
        <v>611</v>
      </c>
      <c r="G197" s="197" t="s">
        <v>612</v>
      </c>
      <c r="H197" s="197" t="s">
        <v>59</v>
      </c>
      <c r="I197" s="199" t="s">
        <v>588</v>
      </c>
      <c r="K197" s="216" t="s">
        <v>147</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I197" s="216" t="s">
        <v>147</v>
      </c>
      <c r="AJ197" s="156">
        <v>0</v>
      </c>
      <c r="AK197" s="156">
        <v>0</v>
      </c>
      <c r="AL197" s="156">
        <v>0</v>
      </c>
      <c r="AM197" s="156">
        <v>0</v>
      </c>
      <c r="AN197" s="156">
        <v>0</v>
      </c>
      <c r="AO197" s="156">
        <v>0</v>
      </c>
      <c r="AP197" s="156">
        <v>0</v>
      </c>
      <c r="AQ197" s="156">
        <v>0</v>
      </c>
      <c r="AR197" s="156">
        <v>0</v>
      </c>
      <c r="AS197" s="156">
        <v>0</v>
      </c>
      <c r="AT197" s="156">
        <v>0</v>
      </c>
      <c r="AU197" s="156">
        <v>0</v>
      </c>
      <c r="AV197" s="156">
        <v>0</v>
      </c>
      <c r="AW197" s="156">
        <v>0</v>
      </c>
      <c r="AX197" s="156">
        <v>0</v>
      </c>
      <c r="AY197" s="156">
        <v>0</v>
      </c>
      <c r="AZ197" s="156">
        <v>0</v>
      </c>
      <c r="BA197" s="156">
        <v>0</v>
      </c>
      <c r="BB197" s="156">
        <v>0</v>
      </c>
      <c r="BC197" s="156">
        <v>0</v>
      </c>
      <c r="BD197" s="200">
        <v>0</v>
      </c>
      <c r="BH197"/>
      <c r="BI197"/>
      <c r="BJ197" s="176"/>
      <c r="BK197"/>
      <c r="BL197"/>
      <c r="BM197"/>
      <c r="BN197"/>
      <c r="BO197"/>
      <c r="BP197"/>
    </row>
    <row r="198" spans="1:68" ht="14.25" customHeight="1" thickBot="1">
      <c r="A198" s="553" t="s">
        <v>67</v>
      </c>
      <c r="B198" s="197" t="s">
        <v>139</v>
      </c>
      <c r="C198" s="156">
        <v>0</v>
      </c>
      <c r="D198" s="156">
        <v>0</v>
      </c>
      <c r="E198" s="156">
        <v>0</v>
      </c>
      <c r="F198" s="156">
        <v>0</v>
      </c>
      <c r="G198" s="156">
        <v>1</v>
      </c>
      <c r="H198" s="156">
        <v>0</v>
      </c>
      <c r="I198" s="200">
        <v>0</v>
      </c>
      <c r="K198" s="563" t="s">
        <v>710</v>
      </c>
      <c r="L198" s="564"/>
      <c r="M198" s="564"/>
      <c r="N198" s="564"/>
      <c r="O198" s="564"/>
      <c r="P198" s="564"/>
      <c r="Q198" s="564"/>
      <c r="R198" s="564"/>
      <c r="S198" s="564"/>
      <c r="T198" s="564"/>
      <c r="U198" s="564"/>
      <c r="V198" s="564"/>
      <c r="W198" s="564"/>
      <c r="X198" s="564"/>
      <c r="Y198" s="564"/>
      <c r="Z198" s="564"/>
      <c r="AA198" s="564"/>
      <c r="AB198" s="564"/>
      <c r="AC198" s="564"/>
      <c r="AD198" s="564"/>
      <c r="AE198" s="564"/>
      <c r="AF198" s="565"/>
      <c r="AI198" s="569" t="s">
        <v>710</v>
      </c>
      <c r="AJ198" s="570"/>
      <c r="AK198" s="570"/>
      <c r="AL198" s="570"/>
      <c r="AM198" s="570"/>
      <c r="AN198" s="570"/>
      <c r="AO198" s="570"/>
      <c r="AP198" s="570"/>
      <c r="AQ198" s="570"/>
      <c r="AR198" s="570"/>
      <c r="AS198" s="570"/>
      <c r="AT198" s="570"/>
      <c r="AU198" s="570"/>
      <c r="AV198" s="570"/>
      <c r="AW198" s="570"/>
      <c r="AX198" s="570"/>
      <c r="AY198" s="570"/>
      <c r="AZ198" s="570"/>
      <c r="BA198" s="570"/>
      <c r="BB198" s="570"/>
      <c r="BC198" s="570"/>
      <c r="BD198" s="571"/>
      <c r="BH198"/>
      <c r="BI198"/>
      <c r="BJ198" s="176"/>
      <c r="BK198"/>
      <c r="BL198" s="176">
        <f>+BL195/BL194</f>
        <v>0.10701420975194238</v>
      </c>
      <c r="BM198"/>
      <c r="BN198"/>
      <c r="BO198"/>
      <c r="BP198"/>
    </row>
    <row r="199" spans="1:68" ht="14.25" customHeight="1">
      <c r="A199" s="544"/>
      <c r="B199" s="197" t="s">
        <v>37</v>
      </c>
      <c r="C199" s="156">
        <v>2.337540232608461E-4</v>
      </c>
      <c r="D199" s="156">
        <v>0.99976624597673924</v>
      </c>
      <c r="E199" s="156">
        <v>0</v>
      </c>
      <c r="F199" s="156">
        <v>0</v>
      </c>
      <c r="G199" s="156">
        <v>0</v>
      </c>
      <c r="H199" s="156">
        <v>0</v>
      </c>
      <c r="I199" s="200">
        <v>0</v>
      </c>
      <c r="K199" s="575" t="s">
        <v>630</v>
      </c>
      <c r="L199" s="576"/>
      <c r="M199" s="576"/>
      <c r="N199" s="576" t="s">
        <v>154</v>
      </c>
      <c r="O199" s="577"/>
      <c r="P199"/>
      <c r="Q199"/>
      <c r="R199"/>
      <c r="S199"/>
      <c r="T199"/>
      <c r="U199"/>
      <c r="V199"/>
      <c r="W199"/>
      <c r="X199"/>
      <c r="Y199"/>
      <c r="Z199"/>
      <c r="AA199"/>
      <c r="AB199"/>
      <c r="AC199"/>
      <c r="AD199"/>
      <c r="AE199"/>
      <c r="AF199"/>
      <c r="AI199" s="572" t="s">
        <v>719</v>
      </c>
      <c r="AJ199" s="573"/>
      <c r="AK199" s="573"/>
      <c r="AL199" s="573" t="s">
        <v>720</v>
      </c>
      <c r="AM199" s="574"/>
      <c r="AN199"/>
      <c r="AO199"/>
      <c r="AP199"/>
      <c r="AQ199"/>
      <c r="AR199"/>
      <c r="AS199"/>
      <c r="AT199"/>
      <c r="AU199"/>
      <c r="AV199"/>
      <c r="AW199"/>
      <c r="AX199"/>
      <c r="AY199"/>
      <c r="AZ199"/>
      <c r="BA199"/>
      <c r="BB199"/>
      <c r="BC199"/>
      <c r="BD199"/>
      <c r="BH199"/>
      <c r="BI199"/>
      <c r="BJ199"/>
      <c r="BK199"/>
      <c r="BL199" s="176">
        <f>+BL196/BL194</f>
        <v>8.6589788596061021E-2</v>
      </c>
      <c r="BM199"/>
      <c r="BN199"/>
      <c r="BO199"/>
      <c r="BP199"/>
    </row>
    <row r="200" spans="1:68" ht="14.25" customHeight="1">
      <c r="A200" s="544"/>
      <c r="B200" s="197" t="s">
        <v>140</v>
      </c>
      <c r="C200" s="156">
        <v>2.9164414419742291E-5</v>
      </c>
      <c r="D200" s="156">
        <v>0</v>
      </c>
      <c r="E200" s="156">
        <v>2.665484070892191E-2</v>
      </c>
      <c r="F200" s="156">
        <v>0</v>
      </c>
      <c r="G200" s="156">
        <v>0.97331599487665832</v>
      </c>
      <c r="H200" s="156">
        <v>0</v>
      </c>
      <c r="I200" s="200">
        <v>0</v>
      </c>
      <c r="K200" s="198"/>
      <c r="L200" s="197" t="s">
        <v>67</v>
      </c>
      <c r="M200" s="197" t="s">
        <v>631</v>
      </c>
      <c r="N200" s="156"/>
      <c r="O200" s="199" t="s">
        <v>67</v>
      </c>
      <c r="P200"/>
      <c r="Q200"/>
      <c r="R200"/>
      <c r="S200"/>
      <c r="T200"/>
      <c r="U200"/>
      <c r="V200"/>
      <c r="W200"/>
      <c r="X200"/>
      <c r="Y200"/>
      <c r="Z200"/>
      <c r="AA200"/>
      <c r="AB200"/>
      <c r="AC200"/>
      <c r="AD200"/>
      <c r="AE200"/>
      <c r="AF200"/>
      <c r="AI200" s="198"/>
      <c r="AJ200" s="197" t="s">
        <v>67</v>
      </c>
      <c r="AK200" s="197" t="s">
        <v>631</v>
      </c>
      <c r="AL200" s="156"/>
      <c r="AM200" s="199" t="s">
        <v>67</v>
      </c>
      <c r="AN200"/>
      <c r="AO200"/>
      <c r="AP200"/>
      <c r="AQ200"/>
      <c r="AR200"/>
      <c r="AS200"/>
      <c r="AT200"/>
      <c r="AU200"/>
      <c r="AV200"/>
      <c r="AW200"/>
      <c r="AX200"/>
      <c r="AY200"/>
      <c r="AZ200"/>
      <c r="BA200"/>
      <c r="BB200"/>
      <c r="BC200"/>
      <c r="BD200"/>
      <c r="BH200"/>
      <c r="BI200"/>
      <c r="BJ200"/>
      <c r="BK200"/>
      <c r="BL200"/>
      <c r="BM200"/>
      <c r="BN200"/>
      <c r="BO200"/>
      <c r="BP200"/>
    </row>
    <row r="201" spans="1:68" ht="14.25" customHeight="1">
      <c r="A201" s="544"/>
      <c r="B201" s="197" t="s">
        <v>48</v>
      </c>
      <c r="C201" s="156">
        <v>2.6507275881415539E-7</v>
      </c>
      <c r="D201" s="156">
        <v>0</v>
      </c>
      <c r="E201" s="156">
        <v>0.99999973492724115</v>
      </c>
      <c r="F201" s="156">
        <v>0</v>
      </c>
      <c r="G201" s="156">
        <v>0</v>
      </c>
      <c r="H201" s="156">
        <v>0</v>
      </c>
      <c r="I201" s="200">
        <v>0</v>
      </c>
      <c r="K201" s="216" t="s">
        <v>139</v>
      </c>
      <c r="L201" s="156">
        <v>5.9620763354348823E-3</v>
      </c>
      <c r="M201" s="156">
        <v>2.8847807044585471E-5</v>
      </c>
      <c r="N201" s="197" t="s">
        <v>139</v>
      </c>
      <c r="O201" s="200">
        <v>9.4934731239236666E-4</v>
      </c>
      <c r="P201"/>
      <c r="Q201"/>
      <c r="R201"/>
      <c r="S201"/>
      <c r="T201"/>
      <c r="U201"/>
      <c r="V201"/>
      <c r="W201"/>
      <c r="X201"/>
      <c r="Y201"/>
      <c r="Z201"/>
      <c r="AA201"/>
      <c r="AB201"/>
      <c r="AC201"/>
      <c r="AD201"/>
      <c r="AE201"/>
      <c r="AF201"/>
      <c r="AI201" s="216" t="s">
        <v>139</v>
      </c>
      <c r="AJ201" s="156">
        <v>3.020660656710463E-3</v>
      </c>
      <c r="AK201" s="156">
        <v>3.020660656710463E-3</v>
      </c>
      <c r="AL201" s="197" t="s">
        <v>139</v>
      </c>
      <c r="AM201" s="200">
        <v>8.6126565968877734E-3</v>
      </c>
      <c r="AN201"/>
      <c r="AO201"/>
      <c r="AP201"/>
      <c r="AQ201"/>
      <c r="AR201"/>
      <c r="AS201"/>
      <c r="AT201"/>
      <c r="AU201"/>
      <c r="AV201"/>
      <c r="AW201"/>
      <c r="AX201"/>
      <c r="AY201"/>
      <c r="AZ201"/>
      <c r="BA201"/>
      <c r="BB201"/>
      <c r="BC201"/>
      <c r="BD201"/>
    </row>
    <row r="202" spans="1:68" ht="14.25" customHeight="1">
      <c r="A202" s="544"/>
      <c r="B202" s="197" t="s">
        <v>141</v>
      </c>
      <c r="C202" s="156">
        <v>0</v>
      </c>
      <c r="D202" s="156">
        <v>0</v>
      </c>
      <c r="E202" s="156">
        <v>0</v>
      </c>
      <c r="F202" s="156">
        <v>0</v>
      </c>
      <c r="G202" s="156">
        <v>0</v>
      </c>
      <c r="H202" s="156">
        <v>0</v>
      </c>
      <c r="I202" s="200">
        <v>0</v>
      </c>
      <c r="K202" s="216" t="s">
        <v>37</v>
      </c>
      <c r="L202" s="156">
        <v>0.78245304040491193</v>
      </c>
      <c r="M202" s="156">
        <v>0.63503328399599968</v>
      </c>
      <c r="N202" s="197" t="s">
        <v>37</v>
      </c>
      <c r="O202" s="200">
        <v>0.65503666778778691</v>
      </c>
      <c r="P202"/>
      <c r="Q202"/>
      <c r="R202"/>
      <c r="S202"/>
      <c r="T202"/>
      <c r="U202"/>
      <c r="V202"/>
      <c r="W202"/>
      <c r="X202"/>
      <c r="Y202"/>
      <c r="Z202"/>
      <c r="AA202"/>
      <c r="AB202"/>
      <c r="AC202"/>
      <c r="AD202"/>
      <c r="AE202"/>
      <c r="AF202"/>
      <c r="AI202" s="216" t="s">
        <v>37</v>
      </c>
      <c r="AJ202" s="156">
        <v>7.1541507825024475E-5</v>
      </c>
      <c r="AK202" s="156">
        <v>9.4323243494858823E-6</v>
      </c>
      <c r="AL202" s="197" t="s">
        <v>37</v>
      </c>
      <c r="AM202" s="200">
        <v>1.3372163240158859E-4</v>
      </c>
      <c r="AN202"/>
      <c r="AO202"/>
      <c r="AP202"/>
      <c r="AQ202"/>
      <c r="AR202"/>
      <c r="AS202"/>
      <c r="AT202"/>
      <c r="AU202"/>
      <c r="AV202"/>
      <c r="AW202"/>
      <c r="AX202"/>
      <c r="AY202"/>
      <c r="AZ202"/>
      <c r="BA202"/>
      <c r="BB202"/>
      <c r="BC202"/>
      <c r="BD202"/>
    </row>
    <row r="203" spans="1:68" ht="14.25" customHeight="1">
      <c r="A203" s="544"/>
      <c r="B203" s="197" t="s">
        <v>142</v>
      </c>
      <c r="C203" s="156">
        <v>0</v>
      </c>
      <c r="D203" s="156">
        <v>0</v>
      </c>
      <c r="E203" s="156">
        <v>0</v>
      </c>
      <c r="F203" s="156">
        <v>0</v>
      </c>
      <c r="G203" s="156">
        <v>0</v>
      </c>
      <c r="H203" s="156">
        <v>1</v>
      </c>
      <c r="I203" s="200">
        <v>0</v>
      </c>
      <c r="K203" s="216" t="s">
        <v>140</v>
      </c>
      <c r="L203" s="156">
        <v>0</v>
      </c>
      <c r="M203" s="156">
        <v>0</v>
      </c>
      <c r="N203" s="197" t="s">
        <v>140</v>
      </c>
      <c r="O203" s="200">
        <v>0</v>
      </c>
      <c r="P203"/>
      <c r="Q203"/>
      <c r="R203"/>
      <c r="S203"/>
      <c r="T203"/>
      <c r="U203"/>
      <c r="V203"/>
      <c r="W203"/>
      <c r="X203"/>
      <c r="Y203"/>
      <c r="Z203"/>
      <c r="AA203"/>
      <c r="AB203"/>
      <c r="AC203"/>
      <c r="AD203"/>
      <c r="AE203"/>
      <c r="AF203"/>
      <c r="AI203" s="216" t="s">
        <v>140</v>
      </c>
      <c r="AJ203" s="156">
        <v>0</v>
      </c>
      <c r="AK203" s="156">
        <v>0</v>
      </c>
      <c r="AL203" s="197" t="s">
        <v>140</v>
      </c>
      <c r="AM203" s="200">
        <v>0</v>
      </c>
      <c r="AN203"/>
      <c r="AO203"/>
      <c r="AP203"/>
      <c r="AQ203"/>
      <c r="AR203"/>
      <c r="AS203"/>
      <c r="AT203"/>
      <c r="AU203"/>
      <c r="AV203"/>
      <c r="AW203"/>
      <c r="AX203"/>
      <c r="AY203"/>
      <c r="AZ203"/>
      <c r="BA203"/>
      <c r="BB203"/>
      <c r="BC203"/>
      <c r="BD203"/>
    </row>
    <row r="204" spans="1:68" ht="14.25" customHeight="1">
      <c r="A204" s="544"/>
      <c r="B204" s="197" t="s">
        <v>143</v>
      </c>
      <c r="C204" s="156">
        <v>5.5907308082908668E-8</v>
      </c>
      <c r="D204" s="156">
        <v>0.99999994409269188</v>
      </c>
      <c r="E204" s="156">
        <v>0</v>
      </c>
      <c r="F204" s="156">
        <v>0</v>
      </c>
      <c r="G204" s="156">
        <v>0</v>
      </c>
      <c r="H204" s="156">
        <v>0</v>
      </c>
      <c r="I204" s="200">
        <v>0</v>
      </c>
      <c r="K204" s="216" t="s">
        <v>48</v>
      </c>
      <c r="L204" s="156">
        <v>1</v>
      </c>
      <c r="M204" s="156">
        <v>1</v>
      </c>
      <c r="N204" s="197" t="s">
        <v>48</v>
      </c>
      <c r="O204" s="200">
        <v>1</v>
      </c>
      <c r="P204"/>
      <c r="Q204"/>
      <c r="R204"/>
      <c r="S204"/>
      <c r="T204"/>
      <c r="U204"/>
      <c r="V204"/>
      <c r="W204"/>
      <c r="X204"/>
      <c r="Y204"/>
      <c r="Z204"/>
      <c r="AA204"/>
      <c r="AB204"/>
      <c r="AC204"/>
      <c r="AD204"/>
      <c r="AE204"/>
      <c r="AF204"/>
      <c r="AI204" s="216" t="s">
        <v>48</v>
      </c>
      <c r="AJ204" s="156">
        <v>6.2690106009704431E-5</v>
      </c>
      <c r="AK204" s="156">
        <v>9.5102751218269053E-5</v>
      </c>
      <c r="AL204" s="197" t="s">
        <v>48</v>
      </c>
      <c r="AM204" s="200">
        <v>3.8955253447415841E-5</v>
      </c>
      <c r="AN204"/>
      <c r="AO204"/>
      <c r="AP204"/>
      <c r="AQ204"/>
      <c r="AR204"/>
      <c r="AS204"/>
      <c r="AT204"/>
      <c r="AU204"/>
      <c r="AV204"/>
      <c r="AW204"/>
      <c r="AX204"/>
      <c r="AY204"/>
      <c r="AZ204"/>
      <c r="BA204"/>
      <c r="BB204"/>
      <c r="BC204"/>
      <c r="BD204"/>
    </row>
    <row r="205" spans="1:68" ht="14.25" customHeight="1">
      <c r="A205" s="544"/>
      <c r="B205" s="197" t="s">
        <v>144</v>
      </c>
      <c r="C205" s="156">
        <v>0</v>
      </c>
      <c r="D205" s="156">
        <v>0</v>
      </c>
      <c r="E205" s="156">
        <v>0</v>
      </c>
      <c r="F205" s="156">
        <v>0</v>
      </c>
      <c r="G205" s="156">
        <v>0</v>
      </c>
      <c r="H205" s="156">
        <v>0</v>
      </c>
      <c r="I205" s="200">
        <v>0</v>
      </c>
      <c r="K205" s="216" t="s">
        <v>141</v>
      </c>
      <c r="L205" s="156">
        <v>0</v>
      </c>
      <c r="M205" s="156">
        <v>0</v>
      </c>
      <c r="N205" s="197" t="s">
        <v>141</v>
      </c>
      <c r="O205" s="200">
        <v>0</v>
      </c>
      <c r="P205"/>
      <c r="Q205"/>
      <c r="R205"/>
      <c r="S205"/>
      <c r="T205"/>
      <c r="U205"/>
      <c r="V205"/>
      <c r="W205"/>
      <c r="X205"/>
      <c r="Y205"/>
      <c r="Z205"/>
      <c r="AA205"/>
      <c r="AB205"/>
      <c r="AC205"/>
      <c r="AD205"/>
      <c r="AE205"/>
      <c r="AF205"/>
      <c r="AI205" s="216" t="s">
        <v>141</v>
      </c>
      <c r="AJ205" s="156">
        <v>0</v>
      </c>
      <c r="AK205" s="156">
        <v>0</v>
      </c>
      <c r="AL205" s="197" t="s">
        <v>141</v>
      </c>
      <c r="AM205" s="200">
        <v>0</v>
      </c>
      <c r="AN205"/>
      <c r="AO205"/>
      <c r="AP205"/>
      <c r="AQ205"/>
      <c r="AR205"/>
      <c r="AS205"/>
      <c r="AT205"/>
      <c r="AU205"/>
      <c r="AV205"/>
      <c r="AW205"/>
      <c r="AX205"/>
      <c r="AY205"/>
      <c r="AZ205"/>
      <c r="BA205"/>
      <c r="BB205"/>
      <c r="BC205"/>
      <c r="BD205"/>
    </row>
    <row r="206" spans="1:68" ht="14.25" customHeight="1">
      <c r="A206" s="544"/>
      <c r="B206" s="197" t="s">
        <v>61</v>
      </c>
      <c r="C206" s="156">
        <v>0</v>
      </c>
      <c r="D206" s="156">
        <v>0</v>
      </c>
      <c r="E206" s="156">
        <v>0</v>
      </c>
      <c r="F206" s="156">
        <v>0</v>
      </c>
      <c r="G206" s="156">
        <v>0</v>
      </c>
      <c r="H206" s="156">
        <v>1</v>
      </c>
      <c r="I206" s="200">
        <v>0</v>
      </c>
      <c r="K206" s="216" t="s">
        <v>142</v>
      </c>
      <c r="L206" s="156">
        <v>1</v>
      </c>
      <c r="M206" s="156">
        <v>1</v>
      </c>
      <c r="N206" s="197" t="s">
        <v>142</v>
      </c>
      <c r="O206" s="200">
        <v>1</v>
      </c>
      <c r="P206"/>
      <c r="Q206"/>
      <c r="R206"/>
      <c r="S206"/>
      <c r="T206"/>
      <c r="U206"/>
      <c r="V206"/>
      <c r="W206"/>
      <c r="X206"/>
      <c r="Y206"/>
      <c r="Z206"/>
      <c r="AA206"/>
      <c r="AB206"/>
      <c r="AC206"/>
      <c r="AD206"/>
      <c r="AE206"/>
      <c r="AF206"/>
      <c r="AI206" s="216" t="s">
        <v>142</v>
      </c>
      <c r="AJ206" s="156">
        <v>2.9471039549448859E-5</v>
      </c>
      <c r="AK206" s="156">
        <v>1.139486401804365E-5</v>
      </c>
      <c r="AL206" s="197" t="s">
        <v>142</v>
      </c>
      <c r="AM206" s="200">
        <v>3.9823100375890468E-4</v>
      </c>
      <c r="AN206"/>
      <c r="AO206"/>
      <c r="AP206"/>
      <c r="AQ206"/>
      <c r="AR206"/>
      <c r="AS206"/>
      <c r="AT206"/>
      <c r="AU206"/>
      <c r="AV206"/>
      <c r="AW206"/>
      <c r="AX206"/>
      <c r="AY206"/>
      <c r="AZ206"/>
      <c r="BA206"/>
      <c r="BB206"/>
      <c r="BC206"/>
      <c r="BD206"/>
    </row>
    <row r="207" spans="1:68" ht="14.25" customHeight="1">
      <c r="A207" s="544"/>
      <c r="B207" s="197" t="s">
        <v>63</v>
      </c>
      <c r="C207" s="156">
        <v>0</v>
      </c>
      <c r="D207" s="156">
        <v>0</v>
      </c>
      <c r="E207" s="156">
        <v>0</v>
      </c>
      <c r="F207" s="156">
        <v>0</v>
      </c>
      <c r="G207" s="156">
        <v>0</v>
      </c>
      <c r="H207" s="156">
        <v>0</v>
      </c>
      <c r="I207" s="200">
        <v>0</v>
      </c>
      <c r="K207" s="216" t="s">
        <v>143</v>
      </c>
      <c r="L207" s="156">
        <v>0</v>
      </c>
      <c r="M207" s="156">
        <v>0</v>
      </c>
      <c r="N207" s="197" t="s">
        <v>143</v>
      </c>
      <c r="O207" s="200">
        <v>0</v>
      </c>
      <c r="P207"/>
      <c r="Q207"/>
      <c r="R207"/>
      <c r="S207"/>
      <c r="T207"/>
      <c r="U207"/>
      <c r="V207"/>
      <c r="W207"/>
      <c r="X207"/>
      <c r="Y207"/>
      <c r="Z207"/>
      <c r="AA207"/>
      <c r="AB207"/>
      <c r="AC207"/>
      <c r="AD207"/>
      <c r="AE207"/>
      <c r="AF207"/>
      <c r="AI207" s="216" t="s">
        <v>143</v>
      </c>
      <c r="AJ207" s="156">
        <v>0</v>
      </c>
      <c r="AK207" s="156">
        <v>0</v>
      </c>
      <c r="AL207" s="197" t="s">
        <v>143</v>
      </c>
      <c r="AM207" s="200">
        <v>0</v>
      </c>
      <c r="AN207"/>
      <c r="AO207"/>
      <c r="AP207"/>
      <c r="AQ207"/>
      <c r="AR207"/>
      <c r="AS207"/>
      <c r="AT207"/>
      <c r="AU207"/>
      <c r="AV207"/>
      <c r="AW207"/>
      <c r="AX207"/>
      <c r="AY207"/>
      <c r="AZ207"/>
      <c r="BA207"/>
      <c r="BB207"/>
      <c r="BC207"/>
      <c r="BD207"/>
    </row>
    <row r="208" spans="1:68" ht="14.25" customHeight="1">
      <c r="A208" s="544"/>
      <c r="B208" s="197" t="s">
        <v>65</v>
      </c>
      <c r="C208" s="156">
        <v>0</v>
      </c>
      <c r="D208" s="156">
        <v>0</v>
      </c>
      <c r="E208" s="156">
        <v>0.99999999999999989</v>
      </c>
      <c r="F208" s="156">
        <v>0</v>
      </c>
      <c r="G208" s="156">
        <v>0</v>
      </c>
      <c r="H208" s="156">
        <v>0</v>
      </c>
      <c r="I208" s="200">
        <v>0</v>
      </c>
      <c r="K208" s="216" t="s">
        <v>144</v>
      </c>
      <c r="L208" s="156">
        <v>0</v>
      </c>
      <c r="M208" s="156">
        <v>0</v>
      </c>
      <c r="N208" s="197" t="s">
        <v>144</v>
      </c>
      <c r="O208" s="200">
        <v>0</v>
      </c>
      <c r="P208"/>
      <c r="Q208"/>
      <c r="R208"/>
      <c r="S208"/>
      <c r="T208"/>
      <c r="U208"/>
      <c r="V208"/>
      <c r="W208"/>
      <c r="X208"/>
      <c r="Y208"/>
      <c r="Z208"/>
      <c r="AA208"/>
      <c r="AB208"/>
      <c r="AC208"/>
      <c r="AD208"/>
      <c r="AE208"/>
      <c r="AF208"/>
      <c r="AI208" s="216" t="s">
        <v>144</v>
      </c>
      <c r="AJ208" s="156">
        <v>0</v>
      </c>
      <c r="AK208" s="156">
        <v>0</v>
      </c>
      <c r="AL208" s="197" t="s">
        <v>144</v>
      </c>
      <c r="AM208" s="200">
        <v>0</v>
      </c>
      <c r="AN208"/>
      <c r="AO208"/>
      <c r="AP208"/>
      <c r="AQ208"/>
      <c r="AR208"/>
      <c r="AS208"/>
      <c r="AT208"/>
      <c r="AU208"/>
      <c r="AV208"/>
      <c r="AW208"/>
      <c r="AX208"/>
      <c r="AY208"/>
      <c r="AZ208"/>
      <c r="BA208"/>
      <c r="BB208"/>
      <c r="BC208"/>
      <c r="BD208"/>
    </row>
    <row r="209" spans="1:56" ht="14.25" customHeight="1">
      <c r="A209" s="544"/>
      <c r="B209" s="197" t="s">
        <v>67</v>
      </c>
      <c r="C209" s="156">
        <v>0</v>
      </c>
      <c r="D209" s="156">
        <v>0</v>
      </c>
      <c r="E209" s="156">
        <v>0</v>
      </c>
      <c r="F209" s="156">
        <v>0</v>
      </c>
      <c r="G209" s="156">
        <v>0</v>
      </c>
      <c r="H209" s="156">
        <v>0</v>
      </c>
      <c r="I209" s="200">
        <v>0</v>
      </c>
      <c r="K209" s="216" t="s">
        <v>61</v>
      </c>
      <c r="L209" s="156">
        <v>0</v>
      </c>
      <c r="M209" s="156">
        <v>0</v>
      </c>
      <c r="N209" s="197" t="s">
        <v>61</v>
      </c>
      <c r="O209" s="200">
        <v>0</v>
      </c>
      <c r="P209"/>
      <c r="Q209"/>
      <c r="R209"/>
      <c r="S209"/>
      <c r="T209"/>
      <c r="U209"/>
      <c r="V209"/>
      <c r="W209"/>
      <c r="X209"/>
      <c r="Y209"/>
      <c r="Z209"/>
      <c r="AA209"/>
      <c r="AB209"/>
      <c r="AC209"/>
      <c r="AD209"/>
      <c r="AE209"/>
      <c r="AF209"/>
      <c r="AI209" s="216" t="s">
        <v>61</v>
      </c>
      <c r="AJ209" s="156">
        <v>0</v>
      </c>
      <c r="AK209" s="156">
        <v>0</v>
      </c>
      <c r="AL209" s="197" t="s">
        <v>61</v>
      </c>
      <c r="AM209" s="200">
        <v>0</v>
      </c>
      <c r="AN209"/>
      <c r="AO209"/>
      <c r="AP209"/>
      <c r="AQ209"/>
      <c r="AR209"/>
      <c r="AS209"/>
      <c r="AT209"/>
      <c r="AU209"/>
      <c r="AV209"/>
      <c r="AW209"/>
      <c r="AX209"/>
      <c r="AY209"/>
      <c r="AZ209"/>
      <c r="BA209"/>
      <c r="BB209"/>
      <c r="BC209"/>
      <c r="BD209"/>
    </row>
    <row r="210" spans="1:56" ht="14.25" customHeight="1">
      <c r="A210" s="544"/>
      <c r="B210" s="197" t="s">
        <v>69</v>
      </c>
      <c r="C210" s="156">
        <v>0</v>
      </c>
      <c r="D210" s="156">
        <v>0</v>
      </c>
      <c r="E210" s="156">
        <v>0</v>
      </c>
      <c r="F210" s="156">
        <v>0</v>
      </c>
      <c r="G210" s="156">
        <v>0</v>
      </c>
      <c r="H210" s="156">
        <v>0</v>
      </c>
      <c r="I210" s="200">
        <v>0</v>
      </c>
      <c r="K210" s="216" t="s">
        <v>63</v>
      </c>
      <c r="L210" s="156">
        <v>0</v>
      </c>
      <c r="M210" s="156">
        <v>0</v>
      </c>
      <c r="N210" s="197" t="s">
        <v>63</v>
      </c>
      <c r="O210" s="200">
        <v>0</v>
      </c>
      <c r="P210"/>
      <c r="Q210"/>
      <c r="R210"/>
      <c r="S210"/>
      <c r="T210"/>
      <c r="U210"/>
      <c r="V210"/>
      <c r="W210"/>
      <c r="X210"/>
      <c r="Y210"/>
      <c r="Z210"/>
      <c r="AA210"/>
      <c r="AB210"/>
      <c r="AC210"/>
      <c r="AD210"/>
      <c r="AE210"/>
      <c r="AF210"/>
      <c r="AI210" s="216" t="s">
        <v>63</v>
      </c>
      <c r="AJ210" s="156">
        <v>0</v>
      </c>
      <c r="AK210" s="156">
        <v>0</v>
      </c>
      <c r="AL210" s="197" t="s">
        <v>63</v>
      </c>
      <c r="AM210" s="200">
        <v>0</v>
      </c>
      <c r="AN210"/>
      <c r="AO210"/>
      <c r="AP210"/>
      <c r="AQ210"/>
      <c r="AR210"/>
      <c r="AS210"/>
      <c r="AT210"/>
      <c r="AU210"/>
      <c r="AV210"/>
      <c r="AW210"/>
      <c r="AX210"/>
      <c r="AY210"/>
      <c r="AZ210"/>
      <c r="BA210"/>
      <c r="BB210"/>
      <c r="BC210"/>
      <c r="BD210"/>
    </row>
    <row r="211" spans="1:56" ht="14.25" customHeight="1">
      <c r="A211" s="544"/>
      <c r="B211" s="197" t="s">
        <v>145</v>
      </c>
      <c r="C211" s="156">
        <v>0</v>
      </c>
      <c r="D211" s="156">
        <v>0</v>
      </c>
      <c r="E211" s="156">
        <v>0</v>
      </c>
      <c r="F211" s="156">
        <v>0</v>
      </c>
      <c r="G211" s="156">
        <v>0</v>
      </c>
      <c r="H211" s="156">
        <v>0</v>
      </c>
      <c r="I211" s="200">
        <v>0</v>
      </c>
      <c r="K211" s="216" t="s">
        <v>65</v>
      </c>
      <c r="L211" s="156">
        <v>0</v>
      </c>
      <c r="M211" s="156">
        <v>0</v>
      </c>
      <c r="N211" s="197" t="s">
        <v>65</v>
      </c>
      <c r="O211" s="200">
        <v>0</v>
      </c>
      <c r="P211"/>
      <c r="Q211"/>
      <c r="R211"/>
      <c r="S211"/>
      <c r="T211"/>
      <c r="U211"/>
      <c r="V211"/>
      <c r="W211"/>
      <c r="X211"/>
      <c r="Y211"/>
      <c r="Z211"/>
      <c r="AA211"/>
      <c r="AB211"/>
      <c r="AC211"/>
      <c r="AD211"/>
      <c r="AE211"/>
      <c r="AF211"/>
      <c r="AI211" s="216" t="s">
        <v>65</v>
      </c>
      <c r="AJ211" s="156">
        <v>0</v>
      </c>
      <c r="AK211" s="156">
        <v>0</v>
      </c>
      <c r="AL211" s="197" t="s">
        <v>65</v>
      </c>
      <c r="AM211" s="200">
        <v>0</v>
      </c>
      <c r="AN211"/>
      <c r="AO211"/>
      <c r="AP211"/>
      <c r="AQ211"/>
      <c r="AR211"/>
      <c r="AS211"/>
      <c r="AT211"/>
      <c r="AU211"/>
      <c r="AV211"/>
      <c r="AW211"/>
      <c r="AX211"/>
      <c r="AY211"/>
      <c r="AZ211"/>
      <c r="BA211"/>
      <c r="BB211"/>
      <c r="BC211"/>
      <c r="BD211"/>
    </row>
    <row r="212" spans="1:56" ht="14.25" customHeight="1">
      <c r="A212" s="544"/>
      <c r="B212" s="197" t="s">
        <v>73</v>
      </c>
      <c r="C212" s="156">
        <v>0</v>
      </c>
      <c r="D212" s="156">
        <v>0</v>
      </c>
      <c r="E212" s="156">
        <v>0</v>
      </c>
      <c r="F212" s="156">
        <v>0</v>
      </c>
      <c r="G212" s="156">
        <v>0</v>
      </c>
      <c r="H212" s="156">
        <v>0</v>
      </c>
      <c r="I212" s="200">
        <v>0</v>
      </c>
      <c r="K212" s="216" t="s">
        <v>67</v>
      </c>
      <c r="L212" s="156">
        <v>0</v>
      </c>
      <c r="M212" s="156">
        <v>0</v>
      </c>
      <c r="N212" s="197" t="s">
        <v>67</v>
      </c>
      <c r="O212" s="200">
        <v>0</v>
      </c>
      <c r="P212"/>
      <c r="Q212"/>
      <c r="R212"/>
      <c r="S212"/>
      <c r="T212"/>
      <c r="U212"/>
      <c r="V212"/>
      <c r="W212"/>
      <c r="X212"/>
      <c r="Y212"/>
      <c r="Z212"/>
      <c r="AA212"/>
      <c r="AB212"/>
      <c r="AC212"/>
      <c r="AD212"/>
      <c r="AE212"/>
      <c r="AF212"/>
      <c r="AI212" s="216" t="s">
        <v>67</v>
      </c>
      <c r="AJ212" s="156">
        <v>0</v>
      </c>
      <c r="AK212" s="156">
        <v>0</v>
      </c>
      <c r="AL212" s="197" t="s">
        <v>67</v>
      </c>
      <c r="AM212" s="200">
        <v>0</v>
      </c>
      <c r="AN212"/>
      <c r="AO212"/>
      <c r="AP212"/>
      <c r="AQ212"/>
      <c r="AR212"/>
      <c r="AS212"/>
      <c r="AT212"/>
      <c r="AU212"/>
      <c r="AV212"/>
      <c r="AW212"/>
      <c r="AX212"/>
      <c r="AY212"/>
      <c r="AZ212"/>
      <c r="BA212"/>
      <c r="BB212"/>
      <c r="BC212"/>
      <c r="BD212"/>
    </row>
    <row r="213" spans="1:56" ht="14.25" customHeight="1">
      <c r="A213" s="544"/>
      <c r="B213" s="197" t="s">
        <v>75</v>
      </c>
      <c r="C213" s="156">
        <v>0</v>
      </c>
      <c r="D213" s="156">
        <v>0</v>
      </c>
      <c r="E213" s="156">
        <v>0</v>
      </c>
      <c r="F213" s="156">
        <v>0</v>
      </c>
      <c r="G213" s="156">
        <v>0</v>
      </c>
      <c r="H213" s="156">
        <v>0</v>
      </c>
      <c r="I213" s="200">
        <v>0</v>
      </c>
      <c r="K213" s="216" t="s">
        <v>69</v>
      </c>
      <c r="L213" s="156">
        <v>0</v>
      </c>
      <c r="M213" s="156">
        <v>0</v>
      </c>
      <c r="N213" s="197" t="s">
        <v>69</v>
      </c>
      <c r="O213" s="200">
        <v>0</v>
      </c>
      <c r="P213"/>
      <c r="Q213"/>
      <c r="R213"/>
      <c r="S213"/>
      <c r="T213"/>
      <c r="U213"/>
      <c r="V213"/>
      <c r="W213"/>
      <c r="X213"/>
      <c r="Y213"/>
      <c r="Z213"/>
      <c r="AA213"/>
      <c r="AB213"/>
      <c r="AC213"/>
      <c r="AD213"/>
      <c r="AE213"/>
      <c r="AF213"/>
      <c r="AI213" s="216" t="s">
        <v>69</v>
      </c>
      <c r="AJ213" s="156">
        <v>0</v>
      </c>
      <c r="AK213" s="156">
        <v>0</v>
      </c>
      <c r="AL213" s="197" t="s">
        <v>69</v>
      </c>
      <c r="AM213" s="200">
        <v>0</v>
      </c>
      <c r="AN213"/>
      <c r="AO213"/>
      <c r="AP213"/>
      <c r="AQ213"/>
      <c r="AR213"/>
      <c r="AS213"/>
      <c r="AT213"/>
      <c r="AU213"/>
      <c r="AV213"/>
      <c r="AW213"/>
      <c r="AX213"/>
      <c r="AY213"/>
      <c r="AZ213"/>
      <c r="BA213"/>
      <c r="BB213"/>
      <c r="BC213"/>
      <c r="BD213"/>
    </row>
    <row r="214" spans="1:56" ht="14.25" customHeight="1">
      <c r="A214" s="544"/>
      <c r="B214" s="197" t="s">
        <v>146</v>
      </c>
      <c r="C214" s="156">
        <v>0</v>
      </c>
      <c r="D214" s="156">
        <v>0</v>
      </c>
      <c r="E214" s="156">
        <v>0</v>
      </c>
      <c r="F214" s="156">
        <v>0</v>
      </c>
      <c r="G214" s="156">
        <v>1</v>
      </c>
      <c r="H214" s="156">
        <v>0</v>
      </c>
      <c r="I214" s="200">
        <v>0</v>
      </c>
      <c r="K214" s="216" t="s">
        <v>145</v>
      </c>
      <c r="L214" s="156">
        <v>0</v>
      </c>
      <c r="M214" s="156">
        <v>0</v>
      </c>
      <c r="N214" s="197" t="s">
        <v>145</v>
      </c>
      <c r="O214" s="200">
        <v>0</v>
      </c>
      <c r="P214"/>
      <c r="Q214"/>
      <c r="R214"/>
      <c r="S214"/>
      <c r="T214"/>
      <c r="U214"/>
      <c r="V214"/>
      <c r="W214"/>
      <c r="X214"/>
      <c r="Y214"/>
      <c r="Z214"/>
      <c r="AA214"/>
      <c r="AB214"/>
      <c r="AC214"/>
      <c r="AD214"/>
      <c r="AE214"/>
      <c r="AF214"/>
      <c r="AI214" s="216" t="s">
        <v>145</v>
      </c>
      <c r="AJ214" s="156">
        <v>0</v>
      </c>
      <c r="AK214" s="156">
        <v>0</v>
      </c>
      <c r="AL214" s="197" t="s">
        <v>145</v>
      </c>
      <c r="AM214" s="200">
        <v>0</v>
      </c>
      <c r="AN214"/>
      <c r="AO214"/>
      <c r="AP214"/>
      <c r="AQ214"/>
      <c r="AR214"/>
      <c r="AS214"/>
      <c r="AT214"/>
      <c r="AU214"/>
      <c r="AV214"/>
      <c r="AW214"/>
      <c r="AX214"/>
      <c r="AY214"/>
      <c r="AZ214"/>
      <c r="BA214"/>
      <c r="BB214"/>
      <c r="BC214"/>
      <c r="BD214"/>
    </row>
    <row r="215" spans="1:56" ht="14.25" customHeight="1">
      <c r="A215" s="544"/>
      <c r="B215" s="197" t="s">
        <v>83</v>
      </c>
      <c r="C215" s="156">
        <v>0</v>
      </c>
      <c r="D215" s="156">
        <v>0</v>
      </c>
      <c r="E215" s="156">
        <v>0</v>
      </c>
      <c r="F215" s="156">
        <v>0</v>
      </c>
      <c r="G215" s="156">
        <v>0</v>
      </c>
      <c r="H215" s="156">
        <v>0</v>
      </c>
      <c r="I215" s="200">
        <v>0</v>
      </c>
      <c r="K215" s="216" t="s">
        <v>73</v>
      </c>
      <c r="L215" s="156">
        <v>0</v>
      </c>
      <c r="M215" s="156">
        <v>0</v>
      </c>
      <c r="N215" s="197" t="s">
        <v>73</v>
      </c>
      <c r="O215" s="200">
        <v>0</v>
      </c>
      <c r="P215"/>
      <c r="Q215"/>
      <c r="R215"/>
      <c r="S215"/>
      <c r="T215"/>
      <c r="U215"/>
      <c r="V215"/>
      <c r="W215"/>
      <c r="X215"/>
      <c r="Y215"/>
      <c r="Z215"/>
      <c r="AA215"/>
      <c r="AB215"/>
      <c r="AC215"/>
      <c r="AD215"/>
      <c r="AE215"/>
      <c r="AF215"/>
      <c r="AI215" s="216" t="s">
        <v>73</v>
      </c>
      <c r="AJ215" s="156">
        <v>0</v>
      </c>
      <c r="AK215" s="156">
        <v>0</v>
      </c>
      <c r="AL215" s="197" t="s">
        <v>73</v>
      </c>
      <c r="AM215" s="200">
        <v>0</v>
      </c>
      <c r="AN215"/>
      <c r="AO215"/>
      <c r="AP215"/>
      <c r="AQ215"/>
      <c r="AR215"/>
      <c r="AS215"/>
      <c r="AT215"/>
      <c r="AU215"/>
      <c r="AV215"/>
      <c r="AW215"/>
      <c r="AX215"/>
      <c r="AY215"/>
      <c r="AZ215"/>
      <c r="BA215"/>
      <c r="BB215"/>
      <c r="BC215"/>
      <c r="BD215"/>
    </row>
    <row r="216" spans="1:56" ht="14.25" customHeight="1">
      <c r="A216" s="544"/>
      <c r="B216" s="197" t="s">
        <v>85</v>
      </c>
      <c r="C216" s="156">
        <v>0</v>
      </c>
      <c r="D216" s="156">
        <v>0</v>
      </c>
      <c r="E216" s="156">
        <v>0</v>
      </c>
      <c r="F216" s="156">
        <v>0</v>
      </c>
      <c r="G216" s="156">
        <v>0</v>
      </c>
      <c r="H216" s="156">
        <v>0</v>
      </c>
      <c r="I216" s="200">
        <v>0</v>
      </c>
      <c r="K216" s="216" t="s">
        <v>75</v>
      </c>
      <c r="L216" s="156">
        <v>0</v>
      </c>
      <c r="M216" s="156">
        <v>0</v>
      </c>
      <c r="N216" s="197" t="s">
        <v>75</v>
      </c>
      <c r="O216" s="200">
        <v>0</v>
      </c>
      <c r="P216"/>
      <c r="Q216"/>
      <c r="R216"/>
      <c r="S216"/>
      <c r="T216"/>
      <c r="U216"/>
      <c r="V216"/>
      <c r="W216"/>
      <c r="X216"/>
      <c r="Y216"/>
      <c r="Z216"/>
      <c r="AA216"/>
      <c r="AB216"/>
      <c r="AC216"/>
      <c r="AD216"/>
      <c r="AE216"/>
      <c r="AF216"/>
      <c r="AI216" s="216" t="s">
        <v>75</v>
      </c>
      <c r="AJ216" s="156">
        <v>0</v>
      </c>
      <c r="AK216" s="156">
        <v>0</v>
      </c>
      <c r="AL216" s="197" t="s">
        <v>75</v>
      </c>
      <c r="AM216" s="200">
        <v>0</v>
      </c>
      <c r="AN216"/>
      <c r="AO216"/>
      <c r="AP216"/>
      <c r="AQ216"/>
      <c r="AR216"/>
      <c r="AS216"/>
      <c r="AT216"/>
      <c r="AU216"/>
      <c r="AV216"/>
      <c r="AW216"/>
      <c r="AX216"/>
      <c r="AY216"/>
      <c r="AZ216"/>
      <c r="BA216"/>
      <c r="BB216"/>
      <c r="BC216"/>
      <c r="BD216"/>
    </row>
    <row r="217" spans="1:56" ht="14.25" customHeight="1">
      <c r="A217" s="544"/>
      <c r="B217" s="197" t="s">
        <v>88</v>
      </c>
      <c r="C217" s="156">
        <v>0</v>
      </c>
      <c r="D217" s="156">
        <v>0</v>
      </c>
      <c r="E217" s="156">
        <v>0</v>
      </c>
      <c r="F217" s="156">
        <v>0</v>
      </c>
      <c r="G217" s="156">
        <v>0</v>
      </c>
      <c r="H217" s="156">
        <v>0</v>
      </c>
      <c r="I217" s="200">
        <v>0</v>
      </c>
      <c r="K217" s="216" t="s">
        <v>146</v>
      </c>
      <c r="L217" s="156">
        <v>0</v>
      </c>
      <c r="M217" s="156">
        <v>0</v>
      </c>
      <c r="N217" s="197" t="s">
        <v>146</v>
      </c>
      <c r="O217" s="200">
        <v>0</v>
      </c>
      <c r="P217"/>
      <c r="Q217"/>
      <c r="R217"/>
      <c r="S217"/>
      <c r="T217"/>
      <c r="U217"/>
      <c r="V217"/>
      <c r="W217"/>
      <c r="X217"/>
      <c r="Y217"/>
      <c r="Z217"/>
      <c r="AA217"/>
      <c r="AB217"/>
      <c r="AC217"/>
      <c r="AD217"/>
      <c r="AE217"/>
      <c r="AF217"/>
      <c r="AI217" s="216" t="s">
        <v>146</v>
      </c>
      <c r="AJ217" s="156">
        <v>0</v>
      </c>
      <c r="AK217" s="156">
        <v>0</v>
      </c>
      <c r="AL217" s="197" t="s">
        <v>146</v>
      </c>
      <c r="AM217" s="200">
        <v>0</v>
      </c>
      <c r="AN217"/>
      <c r="AO217"/>
      <c r="AP217"/>
      <c r="AQ217"/>
      <c r="AR217"/>
      <c r="AS217"/>
      <c r="AT217"/>
      <c r="AU217"/>
      <c r="AV217"/>
      <c r="AW217"/>
      <c r="AX217"/>
      <c r="AY217"/>
      <c r="AZ217"/>
      <c r="BA217"/>
      <c r="BB217"/>
      <c r="BC217"/>
      <c r="BD217"/>
    </row>
    <row r="218" spans="1:56" ht="14.25" customHeight="1">
      <c r="A218" s="545"/>
      <c r="B218" s="197" t="s">
        <v>147</v>
      </c>
      <c r="C218" s="156">
        <v>0</v>
      </c>
      <c r="D218" s="156">
        <v>0</v>
      </c>
      <c r="E218" s="156">
        <v>0</v>
      </c>
      <c r="F218" s="156">
        <v>0</v>
      </c>
      <c r="G218" s="156">
        <v>0</v>
      </c>
      <c r="H218" s="156">
        <v>0</v>
      </c>
      <c r="I218" s="200">
        <v>0</v>
      </c>
      <c r="K218" s="216" t="s">
        <v>83</v>
      </c>
      <c r="L218" s="156">
        <v>0</v>
      </c>
      <c r="M218" s="156">
        <v>0</v>
      </c>
      <c r="N218" s="197" t="s">
        <v>83</v>
      </c>
      <c r="O218" s="200">
        <v>0</v>
      </c>
      <c r="P218"/>
      <c r="Q218"/>
      <c r="R218"/>
      <c r="S218"/>
      <c r="T218"/>
      <c r="U218"/>
      <c r="V218"/>
      <c r="W218"/>
      <c r="X218"/>
      <c r="Y218"/>
      <c r="Z218"/>
      <c r="AA218"/>
      <c r="AB218"/>
      <c r="AC218"/>
      <c r="AD218"/>
      <c r="AE218"/>
      <c r="AF218"/>
      <c r="AI218" s="216" t="s">
        <v>83</v>
      </c>
      <c r="AJ218" s="156">
        <v>0</v>
      </c>
      <c r="AK218" s="156">
        <v>0</v>
      </c>
      <c r="AL218" s="197" t="s">
        <v>83</v>
      </c>
      <c r="AM218" s="200">
        <v>0</v>
      </c>
      <c r="AN218"/>
      <c r="AO218"/>
      <c r="AP218"/>
      <c r="AQ218"/>
      <c r="AR218"/>
      <c r="AS218"/>
      <c r="AT218"/>
      <c r="AU218"/>
      <c r="AV218"/>
      <c r="AW218"/>
      <c r="AX218"/>
      <c r="AY218"/>
      <c r="AZ218"/>
      <c r="BA218"/>
      <c r="BB218"/>
      <c r="BC218"/>
      <c r="BD218"/>
    </row>
    <row r="219" spans="1:56" ht="14.25" customHeight="1">
      <c r="A219" s="553" t="s">
        <v>631</v>
      </c>
      <c r="B219" s="197" t="s">
        <v>139</v>
      </c>
      <c r="C219" s="156">
        <v>0</v>
      </c>
      <c r="D219" s="156">
        <v>0</v>
      </c>
      <c r="E219" s="156">
        <v>0</v>
      </c>
      <c r="F219" s="156">
        <v>0</v>
      </c>
      <c r="G219" s="156">
        <v>1</v>
      </c>
      <c r="H219" s="156">
        <v>0</v>
      </c>
      <c r="I219" s="200">
        <v>0</v>
      </c>
      <c r="K219" s="216" t="s">
        <v>85</v>
      </c>
      <c r="L219" s="156">
        <v>0</v>
      </c>
      <c r="M219" s="156">
        <v>0</v>
      </c>
      <c r="N219" s="197" t="s">
        <v>85</v>
      </c>
      <c r="O219" s="200">
        <v>0</v>
      </c>
      <c r="P219"/>
      <c r="Q219"/>
      <c r="R219"/>
      <c r="S219"/>
      <c r="T219"/>
      <c r="U219"/>
      <c r="V219"/>
      <c r="W219"/>
      <c r="X219"/>
      <c r="Y219"/>
      <c r="Z219"/>
      <c r="AA219"/>
      <c r="AB219"/>
      <c r="AC219"/>
      <c r="AD219"/>
      <c r="AE219"/>
      <c r="AF219"/>
      <c r="AI219" s="216" t="s">
        <v>85</v>
      </c>
      <c r="AJ219" s="156">
        <v>0</v>
      </c>
      <c r="AK219" s="156">
        <v>0</v>
      </c>
      <c r="AL219" s="197" t="s">
        <v>85</v>
      </c>
      <c r="AM219" s="200">
        <v>0</v>
      </c>
      <c r="AN219"/>
      <c r="AO219"/>
      <c r="AP219"/>
      <c r="AQ219"/>
      <c r="AR219"/>
      <c r="AS219"/>
      <c r="AT219"/>
      <c r="AU219"/>
      <c r="AV219"/>
      <c r="AW219"/>
      <c r="AX219"/>
      <c r="AY219"/>
      <c r="AZ219"/>
      <c r="BA219"/>
      <c r="BB219"/>
      <c r="BC219"/>
      <c r="BD219"/>
    </row>
    <row r="220" spans="1:56" ht="14.25" customHeight="1">
      <c r="A220" s="544"/>
      <c r="B220" s="197" t="s">
        <v>37</v>
      </c>
      <c r="C220" s="156">
        <v>5.8792085267888464E-3</v>
      </c>
      <c r="D220" s="156">
        <v>0.73613814621485962</v>
      </c>
      <c r="E220" s="156">
        <v>0.25798264525835152</v>
      </c>
      <c r="F220" s="156">
        <v>0</v>
      </c>
      <c r="G220" s="156">
        <v>0</v>
      </c>
      <c r="H220" s="156">
        <v>0</v>
      </c>
      <c r="I220" s="200">
        <v>0</v>
      </c>
      <c r="K220" s="216" t="s">
        <v>88</v>
      </c>
      <c r="L220" s="156">
        <v>0</v>
      </c>
      <c r="M220" s="156">
        <v>0</v>
      </c>
      <c r="N220" s="197" t="s">
        <v>88</v>
      </c>
      <c r="O220" s="200">
        <v>0</v>
      </c>
      <c r="P220"/>
      <c r="Q220"/>
      <c r="R220"/>
      <c r="S220"/>
      <c r="T220"/>
      <c r="U220"/>
      <c r="V220"/>
      <c r="W220"/>
      <c r="X220"/>
      <c r="Y220"/>
      <c r="Z220"/>
      <c r="AA220"/>
      <c r="AB220"/>
      <c r="AC220"/>
      <c r="AD220"/>
      <c r="AE220"/>
      <c r="AF220"/>
      <c r="AI220" s="216" t="s">
        <v>88</v>
      </c>
      <c r="AJ220" s="156">
        <v>0</v>
      </c>
      <c r="AK220" s="156">
        <v>0</v>
      </c>
      <c r="AL220" s="197" t="s">
        <v>88</v>
      </c>
      <c r="AM220" s="200">
        <v>0</v>
      </c>
      <c r="AN220"/>
      <c r="AO220"/>
      <c r="AP220"/>
      <c r="AQ220"/>
      <c r="AR220"/>
      <c r="AS220"/>
      <c r="AT220"/>
      <c r="AU220"/>
      <c r="AV220"/>
      <c r="AW220"/>
      <c r="AX220"/>
      <c r="AY220"/>
      <c r="AZ220"/>
      <c r="BA220"/>
      <c r="BB220"/>
      <c r="BC220"/>
      <c r="BD220"/>
    </row>
    <row r="221" spans="1:56" ht="14.25" customHeight="1" thickBot="1">
      <c r="A221" s="544"/>
      <c r="B221" s="197" t="s">
        <v>140</v>
      </c>
      <c r="C221" s="156">
        <v>2.4668949840174551E-3</v>
      </c>
      <c r="D221" s="156">
        <v>0</v>
      </c>
      <c r="E221" s="156">
        <v>0.77432469975063789</v>
      </c>
      <c r="F221" s="156">
        <v>0</v>
      </c>
      <c r="G221" s="156">
        <v>0.22320840526534461</v>
      </c>
      <c r="H221" s="156">
        <v>0</v>
      </c>
      <c r="I221" s="200">
        <v>0</v>
      </c>
      <c r="K221" s="217" t="s">
        <v>147</v>
      </c>
      <c r="L221" s="202">
        <v>0</v>
      </c>
      <c r="M221" s="202">
        <v>0</v>
      </c>
      <c r="N221" s="201" t="s">
        <v>147</v>
      </c>
      <c r="O221" s="203">
        <v>0</v>
      </c>
      <c r="P221"/>
      <c r="Q221"/>
      <c r="R221"/>
      <c r="S221"/>
      <c r="T221"/>
      <c r="U221"/>
      <c r="V221"/>
      <c r="W221"/>
      <c r="X221"/>
      <c r="Y221"/>
      <c r="Z221"/>
      <c r="AA221"/>
      <c r="AB221"/>
      <c r="AC221"/>
      <c r="AD221"/>
      <c r="AE221"/>
      <c r="AF221"/>
      <c r="AI221" s="217" t="s">
        <v>147</v>
      </c>
      <c r="AJ221" s="202">
        <v>0</v>
      </c>
      <c r="AK221" s="202">
        <v>0</v>
      </c>
      <c r="AL221" s="201" t="s">
        <v>147</v>
      </c>
      <c r="AM221" s="203">
        <v>0</v>
      </c>
      <c r="AN221"/>
      <c r="AO221"/>
      <c r="AP221"/>
      <c r="AQ221"/>
      <c r="AR221"/>
      <c r="AS221"/>
      <c r="AT221"/>
      <c r="AU221"/>
      <c r="AV221"/>
      <c r="AW221"/>
      <c r="AX221"/>
      <c r="AY221"/>
      <c r="AZ221"/>
      <c r="BA221"/>
      <c r="BB221"/>
      <c r="BC221"/>
      <c r="BD221"/>
    </row>
    <row r="222" spans="1:56" ht="14.25" customHeight="1">
      <c r="A222" s="544"/>
      <c r="B222" s="197" t="s">
        <v>48</v>
      </c>
      <c r="C222" s="156">
        <v>2.7648946021277991E-5</v>
      </c>
      <c r="D222" s="156">
        <v>0</v>
      </c>
      <c r="E222" s="156">
        <v>0.99997235105397864</v>
      </c>
      <c r="F222" s="156">
        <v>0</v>
      </c>
      <c r="G222" s="156">
        <v>0</v>
      </c>
      <c r="H222" s="156">
        <v>0</v>
      </c>
      <c r="I222" s="200">
        <v>0</v>
      </c>
    </row>
    <row r="223" spans="1:56" ht="14.25" customHeight="1">
      <c r="A223" s="544"/>
      <c r="B223" s="197" t="s">
        <v>141</v>
      </c>
      <c r="C223" s="156">
        <v>0</v>
      </c>
      <c r="D223" s="156">
        <v>0</v>
      </c>
      <c r="E223" s="156">
        <v>0</v>
      </c>
      <c r="F223" s="156">
        <v>0</v>
      </c>
      <c r="G223" s="156">
        <v>0</v>
      </c>
      <c r="H223" s="156">
        <v>0</v>
      </c>
      <c r="I223" s="200">
        <v>0</v>
      </c>
    </row>
    <row r="224" spans="1:56" ht="14.25" customHeight="1">
      <c r="A224" s="544"/>
      <c r="B224" s="197" t="s">
        <v>142</v>
      </c>
      <c r="C224" s="156">
        <v>0</v>
      </c>
      <c r="D224" s="156">
        <v>0</v>
      </c>
      <c r="E224" s="156">
        <v>0</v>
      </c>
      <c r="F224" s="156">
        <v>0</v>
      </c>
      <c r="G224" s="156">
        <v>0</v>
      </c>
      <c r="H224" s="156">
        <v>1</v>
      </c>
      <c r="I224" s="200">
        <v>0</v>
      </c>
    </row>
    <row r="225" spans="1:9" ht="14.25" customHeight="1">
      <c r="A225" s="544"/>
      <c r="B225" s="197" t="s">
        <v>143</v>
      </c>
      <c r="C225" s="156">
        <v>6.6171566221812211E-7</v>
      </c>
      <c r="D225" s="156">
        <v>0.99999933828433785</v>
      </c>
      <c r="E225" s="156">
        <v>0</v>
      </c>
      <c r="F225" s="156">
        <v>0</v>
      </c>
      <c r="G225" s="156">
        <v>0</v>
      </c>
      <c r="H225" s="156">
        <v>0</v>
      </c>
      <c r="I225" s="200">
        <v>0</v>
      </c>
    </row>
    <row r="226" spans="1:9" ht="14.25" customHeight="1">
      <c r="A226" s="544"/>
      <c r="B226" s="197" t="s">
        <v>144</v>
      </c>
      <c r="C226" s="156">
        <v>0</v>
      </c>
      <c r="D226" s="156">
        <v>0</v>
      </c>
      <c r="E226" s="156">
        <v>0</v>
      </c>
      <c r="F226" s="156">
        <v>0</v>
      </c>
      <c r="G226" s="156">
        <v>0</v>
      </c>
      <c r="H226" s="156">
        <v>0</v>
      </c>
      <c r="I226" s="200">
        <v>0</v>
      </c>
    </row>
    <row r="227" spans="1:9" ht="14.25" customHeight="1">
      <c r="A227" s="544"/>
      <c r="B227" s="197" t="s">
        <v>61</v>
      </c>
      <c r="C227" s="156">
        <v>0</v>
      </c>
      <c r="D227" s="156">
        <v>0</v>
      </c>
      <c r="E227" s="156">
        <v>0</v>
      </c>
      <c r="F227" s="156">
        <v>0</v>
      </c>
      <c r="G227" s="156">
        <v>0</v>
      </c>
      <c r="H227" s="156">
        <v>1</v>
      </c>
      <c r="I227" s="200">
        <v>0</v>
      </c>
    </row>
    <row r="228" spans="1:9" ht="14.25" customHeight="1">
      <c r="A228" s="544"/>
      <c r="B228" s="197" t="s">
        <v>63</v>
      </c>
      <c r="C228" s="156">
        <v>0</v>
      </c>
      <c r="D228" s="156">
        <v>0</v>
      </c>
      <c r="E228" s="156">
        <v>0</v>
      </c>
      <c r="F228" s="156">
        <v>0</v>
      </c>
      <c r="G228" s="156">
        <v>0</v>
      </c>
      <c r="H228" s="156">
        <v>0</v>
      </c>
      <c r="I228" s="200">
        <v>0</v>
      </c>
    </row>
    <row r="229" spans="1:9" ht="14.25" customHeight="1">
      <c r="A229" s="544"/>
      <c r="B229" s="197" t="s">
        <v>65</v>
      </c>
      <c r="C229" s="156">
        <v>0</v>
      </c>
      <c r="D229" s="156">
        <v>0</v>
      </c>
      <c r="E229" s="156">
        <v>0.99999999999999978</v>
      </c>
      <c r="F229" s="156">
        <v>0</v>
      </c>
      <c r="G229" s="156">
        <v>0</v>
      </c>
      <c r="H229" s="156">
        <v>0</v>
      </c>
      <c r="I229" s="200">
        <v>0</v>
      </c>
    </row>
    <row r="230" spans="1:9" ht="14.25" customHeight="1">
      <c r="A230" s="544"/>
      <c r="B230" s="197" t="s">
        <v>67</v>
      </c>
      <c r="C230" s="156">
        <v>0</v>
      </c>
      <c r="D230" s="156">
        <v>0</v>
      </c>
      <c r="E230" s="156">
        <v>0</v>
      </c>
      <c r="F230" s="156">
        <v>0</v>
      </c>
      <c r="G230" s="156">
        <v>0</v>
      </c>
      <c r="H230" s="156">
        <v>0</v>
      </c>
      <c r="I230" s="200">
        <v>0</v>
      </c>
    </row>
    <row r="231" spans="1:9" ht="14.25" customHeight="1">
      <c r="A231" s="544"/>
      <c r="B231" s="197" t="s">
        <v>69</v>
      </c>
      <c r="C231" s="156">
        <v>0</v>
      </c>
      <c r="D231" s="156">
        <v>0</v>
      </c>
      <c r="E231" s="156">
        <v>0</v>
      </c>
      <c r="F231" s="156">
        <v>0</v>
      </c>
      <c r="G231" s="156">
        <v>0</v>
      </c>
      <c r="H231" s="156">
        <v>0</v>
      </c>
      <c r="I231" s="200">
        <v>0</v>
      </c>
    </row>
    <row r="232" spans="1:9" ht="14.25" customHeight="1">
      <c r="A232" s="544"/>
      <c r="B232" s="197" t="s">
        <v>145</v>
      </c>
      <c r="C232" s="156">
        <v>0</v>
      </c>
      <c r="D232" s="156">
        <v>0</v>
      </c>
      <c r="E232" s="156">
        <v>0</v>
      </c>
      <c r="F232" s="156">
        <v>0</v>
      </c>
      <c r="G232" s="156">
        <v>0</v>
      </c>
      <c r="H232" s="156">
        <v>0</v>
      </c>
      <c r="I232" s="200">
        <v>0</v>
      </c>
    </row>
    <row r="233" spans="1:9" ht="14.25" customHeight="1">
      <c r="A233" s="544"/>
      <c r="B233" s="197" t="s">
        <v>73</v>
      </c>
      <c r="C233" s="156">
        <v>0</v>
      </c>
      <c r="D233" s="156">
        <v>0</v>
      </c>
      <c r="E233" s="156">
        <v>0</v>
      </c>
      <c r="F233" s="156">
        <v>0</v>
      </c>
      <c r="G233" s="156">
        <v>0</v>
      </c>
      <c r="H233" s="156">
        <v>0</v>
      </c>
      <c r="I233" s="200">
        <v>0</v>
      </c>
    </row>
    <row r="234" spans="1:9" ht="14.25" customHeight="1">
      <c r="A234" s="544"/>
      <c r="B234" s="197" t="s">
        <v>75</v>
      </c>
      <c r="C234" s="156">
        <v>0</v>
      </c>
      <c r="D234" s="156">
        <v>0</v>
      </c>
      <c r="E234" s="156">
        <v>0</v>
      </c>
      <c r="F234" s="156">
        <v>0</v>
      </c>
      <c r="G234" s="156">
        <v>0</v>
      </c>
      <c r="H234" s="156">
        <v>0</v>
      </c>
      <c r="I234" s="200">
        <v>0</v>
      </c>
    </row>
    <row r="235" spans="1:9" ht="14.25" customHeight="1">
      <c r="A235" s="544"/>
      <c r="B235" s="197" t="s">
        <v>146</v>
      </c>
      <c r="C235" s="156">
        <v>0</v>
      </c>
      <c r="D235" s="156">
        <v>0</v>
      </c>
      <c r="E235" s="156">
        <v>0</v>
      </c>
      <c r="F235" s="156">
        <v>0</v>
      </c>
      <c r="G235" s="156">
        <v>1</v>
      </c>
      <c r="H235" s="156">
        <v>0</v>
      </c>
      <c r="I235" s="200">
        <v>0</v>
      </c>
    </row>
    <row r="236" spans="1:9" ht="14.25" customHeight="1">
      <c r="A236" s="544"/>
      <c r="B236" s="197" t="s">
        <v>83</v>
      </c>
      <c r="C236" s="156">
        <v>0</v>
      </c>
      <c r="D236" s="156">
        <v>0</v>
      </c>
      <c r="E236" s="156">
        <v>0</v>
      </c>
      <c r="F236" s="156">
        <v>0</v>
      </c>
      <c r="G236" s="156">
        <v>0</v>
      </c>
      <c r="H236" s="156">
        <v>0</v>
      </c>
      <c r="I236" s="200">
        <v>0</v>
      </c>
    </row>
    <row r="237" spans="1:9" ht="14.25" customHeight="1">
      <c r="A237" s="544"/>
      <c r="B237" s="197" t="s">
        <v>85</v>
      </c>
      <c r="C237" s="156">
        <v>0</v>
      </c>
      <c r="D237" s="156">
        <v>0</v>
      </c>
      <c r="E237" s="156">
        <v>0</v>
      </c>
      <c r="F237" s="156">
        <v>0</v>
      </c>
      <c r="G237" s="156">
        <v>0</v>
      </c>
      <c r="H237" s="156">
        <v>0</v>
      </c>
      <c r="I237" s="200">
        <v>0</v>
      </c>
    </row>
    <row r="238" spans="1:9" ht="14.25" customHeight="1">
      <c r="A238" s="544"/>
      <c r="B238" s="197" t="s">
        <v>88</v>
      </c>
      <c r="C238" s="156">
        <v>0</v>
      </c>
      <c r="D238" s="156">
        <v>0</v>
      </c>
      <c r="E238" s="156">
        <v>0</v>
      </c>
      <c r="F238" s="156">
        <v>0</v>
      </c>
      <c r="G238" s="156">
        <v>0</v>
      </c>
      <c r="H238" s="156">
        <v>0</v>
      </c>
      <c r="I238" s="200">
        <v>0</v>
      </c>
    </row>
    <row r="239" spans="1:9" ht="14.25" customHeight="1" thickBot="1">
      <c r="A239" s="546"/>
      <c r="B239" s="201" t="s">
        <v>147</v>
      </c>
      <c r="C239" s="202">
        <v>0</v>
      </c>
      <c r="D239" s="202">
        <v>0</v>
      </c>
      <c r="E239" s="202">
        <v>0</v>
      </c>
      <c r="F239" s="202">
        <v>0</v>
      </c>
      <c r="G239" s="202">
        <v>0</v>
      </c>
      <c r="H239" s="202">
        <v>0</v>
      </c>
      <c r="I239" s="203">
        <v>0</v>
      </c>
    </row>
    <row r="240" spans="1:9" ht="14.25" customHeight="1" thickBot="1"/>
    <row r="241" spans="1:18" ht="14.25" customHeight="1">
      <c r="A241" s="221"/>
      <c r="B241" s="554" t="s">
        <v>730</v>
      </c>
      <c r="C241" s="555"/>
      <c r="D241" s="555"/>
      <c r="E241" s="555"/>
      <c r="F241" s="555"/>
      <c r="G241" s="555"/>
      <c r="H241" s="555"/>
      <c r="I241" s="556"/>
      <c r="K241" s="554" t="s">
        <v>734</v>
      </c>
      <c r="L241" s="555"/>
      <c r="M241" s="555"/>
      <c r="N241" s="555"/>
      <c r="O241" s="555"/>
      <c r="P241" s="555"/>
      <c r="Q241" s="555"/>
      <c r="R241" s="556"/>
    </row>
    <row r="242" spans="1:18" ht="14.25" customHeight="1">
      <c r="B242" s="566" t="s">
        <v>731</v>
      </c>
      <c r="C242" s="567"/>
      <c r="D242" s="567"/>
      <c r="E242" s="567"/>
      <c r="F242" s="567"/>
      <c r="G242" s="567"/>
      <c r="H242" s="567"/>
      <c r="I242" s="568"/>
      <c r="K242" s="566" t="s">
        <v>731</v>
      </c>
      <c r="L242" s="567"/>
      <c r="M242" s="567"/>
      <c r="N242" s="567"/>
      <c r="O242" s="567"/>
      <c r="P242" s="567"/>
      <c r="Q242" s="567"/>
      <c r="R242" s="568"/>
    </row>
    <row r="243" spans="1:18" ht="14.25" customHeight="1">
      <c r="B243" s="198"/>
      <c r="C243" s="197" t="s">
        <v>608</v>
      </c>
      <c r="D243" s="197" t="s">
        <v>609</v>
      </c>
      <c r="E243" s="197" t="s">
        <v>610</v>
      </c>
      <c r="F243" s="197" t="s">
        <v>611</v>
      </c>
      <c r="G243" s="197" t="s">
        <v>612</v>
      </c>
      <c r="H243" s="197" t="s">
        <v>59</v>
      </c>
      <c r="I243" s="199" t="s">
        <v>588</v>
      </c>
      <c r="K243" s="198"/>
      <c r="L243" s="196" t="s">
        <v>608</v>
      </c>
      <c r="M243" s="196" t="s">
        <v>609</v>
      </c>
      <c r="N243" s="196" t="s">
        <v>610</v>
      </c>
      <c r="O243" s="196" t="s">
        <v>611</v>
      </c>
      <c r="P243" s="196" t="s">
        <v>612</v>
      </c>
      <c r="Q243" s="196" t="s">
        <v>59</v>
      </c>
      <c r="R243" s="218" t="s">
        <v>588</v>
      </c>
    </row>
    <row r="244" spans="1:18" ht="14.25" customHeight="1">
      <c r="B244" s="216" t="s">
        <v>139</v>
      </c>
      <c r="C244" s="156">
        <v>0</v>
      </c>
      <c r="D244" s="156">
        <v>1</v>
      </c>
      <c r="E244" s="156">
        <v>0.98595986849406281</v>
      </c>
      <c r="F244" s="156">
        <v>0</v>
      </c>
      <c r="G244" s="156">
        <v>0.94868462704720014</v>
      </c>
      <c r="H244" s="156">
        <v>0</v>
      </c>
      <c r="I244" s="200">
        <v>0</v>
      </c>
      <c r="K244" s="219" t="s">
        <v>139</v>
      </c>
      <c r="L244" s="156">
        <v>0</v>
      </c>
      <c r="M244" s="156">
        <v>1</v>
      </c>
      <c r="N244" s="156">
        <v>1</v>
      </c>
      <c r="O244" s="156">
        <v>0</v>
      </c>
      <c r="P244" s="156">
        <v>0.19016677496209661</v>
      </c>
      <c r="Q244" s="156">
        <v>1</v>
      </c>
      <c r="R244" s="200">
        <v>1</v>
      </c>
    </row>
    <row r="245" spans="1:18" ht="14.25" customHeight="1">
      <c r="B245" s="216" t="s">
        <v>37</v>
      </c>
      <c r="C245" s="156">
        <v>0</v>
      </c>
      <c r="D245" s="156">
        <v>1</v>
      </c>
      <c r="E245" s="156">
        <v>0.88546190231948485</v>
      </c>
      <c r="F245" s="156">
        <v>0</v>
      </c>
      <c r="G245" s="156">
        <v>1</v>
      </c>
      <c r="H245" s="156">
        <v>0</v>
      </c>
      <c r="I245" s="200">
        <v>0</v>
      </c>
      <c r="K245" s="219" t="s">
        <v>37</v>
      </c>
      <c r="L245" s="156">
        <v>0</v>
      </c>
      <c r="M245" s="156">
        <v>0.84604330930037863</v>
      </c>
      <c r="N245" s="156">
        <v>1</v>
      </c>
      <c r="O245" s="156">
        <v>0</v>
      </c>
      <c r="P245" s="156">
        <v>1</v>
      </c>
      <c r="Q245" s="156">
        <v>1</v>
      </c>
      <c r="R245" s="200">
        <v>1</v>
      </c>
    </row>
    <row r="246" spans="1:18" ht="14.25" customHeight="1">
      <c r="B246" s="216" t="s">
        <v>140</v>
      </c>
      <c r="C246" s="156">
        <v>0.61137581314574985</v>
      </c>
      <c r="D246" s="156">
        <v>0.96634317759473343</v>
      </c>
      <c r="E246" s="156">
        <v>0.43806234561906698</v>
      </c>
      <c r="F246" s="156">
        <v>0</v>
      </c>
      <c r="G246" s="156">
        <v>0.98946479085215477</v>
      </c>
      <c r="H246" s="156">
        <v>0</v>
      </c>
      <c r="I246" s="200">
        <v>0</v>
      </c>
      <c r="K246" s="219" t="s">
        <v>140</v>
      </c>
      <c r="L246" s="156">
        <v>0.40253341249378788</v>
      </c>
      <c r="M246" s="156">
        <v>0.76409768481677198</v>
      </c>
      <c r="N246" s="156">
        <v>0.78668994780013501</v>
      </c>
      <c r="O246" s="156">
        <v>0</v>
      </c>
      <c r="P246" s="156">
        <v>0.40687798654366458</v>
      </c>
      <c r="Q246" s="156">
        <v>1</v>
      </c>
      <c r="R246" s="200">
        <v>1</v>
      </c>
    </row>
    <row r="247" spans="1:18" ht="14.25" customHeight="1">
      <c r="B247" s="216" t="s">
        <v>48</v>
      </c>
      <c r="C247" s="156">
        <v>0.73849122827140468</v>
      </c>
      <c r="D247" s="156">
        <v>1</v>
      </c>
      <c r="E247" s="156">
        <v>6.6320129153243812E-2</v>
      </c>
      <c r="F247" s="156">
        <v>0</v>
      </c>
      <c r="G247" s="156">
        <v>1</v>
      </c>
      <c r="H247" s="156">
        <v>0</v>
      </c>
      <c r="I247" s="200">
        <v>0</v>
      </c>
      <c r="K247" s="219" t="s">
        <v>48</v>
      </c>
      <c r="L247" s="156">
        <v>2.207986602969599E-4</v>
      </c>
      <c r="M247" s="156">
        <v>1</v>
      </c>
      <c r="N247" s="156">
        <v>6.1937686775987141E-2</v>
      </c>
      <c r="O247" s="156">
        <v>0</v>
      </c>
      <c r="P247" s="156">
        <v>1</v>
      </c>
      <c r="Q247" s="156">
        <v>1</v>
      </c>
      <c r="R247" s="200">
        <v>1</v>
      </c>
    </row>
    <row r="248" spans="1:18" ht="14.25" customHeight="1">
      <c r="B248" s="216" t="s">
        <v>141</v>
      </c>
      <c r="C248" s="156">
        <v>0.91354466858789629</v>
      </c>
      <c r="D248" s="156">
        <v>1</v>
      </c>
      <c r="E248" s="156">
        <v>0.87159397724072818</v>
      </c>
      <c r="F248" s="156">
        <v>0</v>
      </c>
      <c r="G248" s="156">
        <v>1</v>
      </c>
      <c r="H248" s="156">
        <v>0</v>
      </c>
      <c r="I248" s="200">
        <v>0</v>
      </c>
      <c r="K248" s="219" t="s">
        <v>141</v>
      </c>
      <c r="L248" s="156">
        <v>1</v>
      </c>
      <c r="M248" s="156">
        <v>5.8527449373756292E-2</v>
      </c>
      <c r="N248" s="156">
        <v>0.58427059349687771</v>
      </c>
      <c r="O248" s="156">
        <v>0</v>
      </c>
      <c r="P248" s="156">
        <v>1</v>
      </c>
      <c r="Q248" s="156">
        <v>1</v>
      </c>
      <c r="R248" s="200">
        <v>1</v>
      </c>
    </row>
    <row r="249" spans="1:18" ht="14.25" customHeight="1">
      <c r="B249" s="216" t="s">
        <v>142</v>
      </c>
      <c r="C249" s="156">
        <v>0.99922159777202346</v>
      </c>
      <c r="D249" s="156">
        <v>0.97942796288673661</v>
      </c>
      <c r="E249" s="156">
        <v>0.99994986609690251</v>
      </c>
      <c r="F249" s="156">
        <v>0</v>
      </c>
      <c r="G249" s="156">
        <v>1</v>
      </c>
      <c r="H249" s="156">
        <v>0</v>
      </c>
      <c r="I249" s="200">
        <v>0</v>
      </c>
      <c r="K249" s="219" t="s">
        <v>142</v>
      </c>
      <c r="L249" s="156">
        <v>0</v>
      </c>
      <c r="M249" s="156">
        <v>2.2013170101851581E-2</v>
      </c>
      <c r="N249" s="156">
        <v>2.4514567089189129E-2</v>
      </c>
      <c r="O249" s="156">
        <v>0</v>
      </c>
      <c r="P249" s="156">
        <v>8.0087296784601047E-4</v>
      </c>
      <c r="Q249" s="156">
        <v>1</v>
      </c>
      <c r="R249" s="200">
        <v>8.2517580755476119E-2</v>
      </c>
    </row>
    <row r="250" spans="1:18" ht="14.25" customHeight="1">
      <c r="B250" s="216" t="s">
        <v>143</v>
      </c>
      <c r="C250" s="156">
        <v>0.99922159777202346</v>
      </c>
      <c r="D250" s="156">
        <v>0.97942796288673661</v>
      </c>
      <c r="E250" s="156">
        <v>0.99994986609690251</v>
      </c>
      <c r="F250" s="156">
        <v>0</v>
      </c>
      <c r="G250" s="156">
        <v>1</v>
      </c>
      <c r="H250" s="156">
        <v>0</v>
      </c>
      <c r="I250" s="200">
        <v>0</v>
      </c>
      <c r="K250" s="219" t="s">
        <v>143</v>
      </c>
      <c r="L250" s="156">
        <v>0</v>
      </c>
      <c r="M250" s="156">
        <v>2.2013170101851581E-2</v>
      </c>
      <c r="N250" s="156">
        <v>2.4514567089189129E-2</v>
      </c>
      <c r="O250" s="156">
        <v>0</v>
      </c>
      <c r="P250" s="156">
        <v>8.0087296784601047E-4</v>
      </c>
      <c r="Q250" s="156">
        <v>1</v>
      </c>
      <c r="R250" s="200">
        <v>1</v>
      </c>
    </row>
    <row r="251" spans="1:18" ht="14.25" customHeight="1">
      <c r="B251" s="216" t="s">
        <v>144</v>
      </c>
      <c r="C251" s="156">
        <v>0.99922159777202346</v>
      </c>
      <c r="D251" s="156">
        <v>0.97942796288673661</v>
      </c>
      <c r="E251" s="156">
        <v>0.99994986609690251</v>
      </c>
      <c r="F251" s="156">
        <v>0</v>
      </c>
      <c r="G251" s="156">
        <v>1</v>
      </c>
      <c r="H251" s="156">
        <v>0</v>
      </c>
      <c r="I251" s="200">
        <v>0</v>
      </c>
      <c r="K251" s="219" t="s">
        <v>144</v>
      </c>
      <c r="L251" s="156">
        <v>0</v>
      </c>
      <c r="M251" s="156">
        <v>2.2013170101851581E-2</v>
      </c>
      <c r="N251" s="156">
        <v>2.4514567089189129E-2</v>
      </c>
      <c r="O251" s="156">
        <v>0</v>
      </c>
      <c r="P251" s="156">
        <v>8.0087296784601047E-4</v>
      </c>
      <c r="Q251" s="156">
        <v>1</v>
      </c>
      <c r="R251" s="200">
        <v>1</v>
      </c>
    </row>
    <row r="252" spans="1:18" ht="14.25" customHeight="1">
      <c r="B252" s="216" t="s">
        <v>61</v>
      </c>
      <c r="C252" s="156">
        <v>0.91368421052631565</v>
      </c>
      <c r="D252" s="156">
        <v>1</v>
      </c>
      <c r="E252" s="156">
        <v>0.99546247818499134</v>
      </c>
      <c r="F252" s="156">
        <v>0</v>
      </c>
      <c r="G252" s="156">
        <v>1</v>
      </c>
      <c r="H252" s="156">
        <v>0</v>
      </c>
      <c r="I252" s="200">
        <v>0</v>
      </c>
      <c r="K252" s="219" t="s">
        <v>61</v>
      </c>
      <c r="L252" s="156">
        <v>1</v>
      </c>
      <c r="M252" s="156">
        <v>0.96799872176749413</v>
      </c>
      <c r="N252" s="156">
        <v>0.98740614472989963</v>
      </c>
      <c r="O252" s="156">
        <v>0</v>
      </c>
      <c r="P252" s="156">
        <v>0.5</v>
      </c>
      <c r="Q252" s="156">
        <v>1</v>
      </c>
      <c r="R252" s="200">
        <v>1</v>
      </c>
    </row>
    <row r="253" spans="1:18" ht="14.25" customHeight="1">
      <c r="B253" s="216" t="s">
        <v>63</v>
      </c>
      <c r="C253" s="156">
        <v>1</v>
      </c>
      <c r="D253" s="156">
        <v>1</v>
      </c>
      <c r="E253" s="156">
        <v>0.4798028434808026</v>
      </c>
      <c r="F253" s="156">
        <v>0</v>
      </c>
      <c r="G253" s="156">
        <v>1</v>
      </c>
      <c r="H253" s="156">
        <v>0</v>
      </c>
      <c r="I253" s="200">
        <v>0</v>
      </c>
      <c r="K253" s="219" t="s">
        <v>63</v>
      </c>
      <c r="L253" s="156">
        <v>1</v>
      </c>
      <c r="M253" s="156">
        <v>0.92882121521200656</v>
      </c>
      <c r="N253" s="156">
        <v>1</v>
      </c>
      <c r="O253" s="156">
        <v>0</v>
      </c>
      <c r="P253" s="156">
        <v>1</v>
      </c>
      <c r="Q253" s="156">
        <v>1</v>
      </c>
      <c r="R253" s="200">
        <v>1</v>
      </c>
    </row>
    <row r="254" spans="1:18" ht="14.25" customHeight="1">
      <c r="B254" s="216" t="s">
        <v>65</v>
      </c>
      <c r="C254" s="156">
        <v>0</v>
      </c>
      <c r="D254" s="156">
        <v>1</v>
      </c>
      <c r="E254" s="156">
        <v>0.37392592026822208</v>
      </c>
      <c r="F254" s="156">
        <v>0</v>
      </c>
      <c r="G254" s="156">
        <v>1</v>
      </c>
      <c r="H254" s="156">
        <v>0</v>
      </c>
      <c r="I254" s="200">
        <v>0</v>
      </c>
      <c r="K254" s="219" t="s">
        <v>65</v>
      </c>
      <c r="L254" s="156">
        <v>0</v>
      </c>
      <c r="M254" s="156">
        <v>0.99940474441692406</v>
      </c>
      <c r="N254" s="156">
        <v>0.37509366304480962</v>
      </c>
      <c r="O254" s="156">
        <v>0</v>
      </c>
      <c r="P254" s="156">
        <v>0.99966972855815861</v>
      </c>
      <c r="Q254" s="156">
        <v>1</v>
      </c>
      <c r="R254" s="200">
        <v>1</v>
      </c>
    </row>
    <row r="255" spans="1:18" ht="14.25" customHeight="1">
      <c r="B255" s="216" t="s">
        <v>67</v>
      </c>
      <c r="C255" s="156">
        <v>0</v>
      </c>
      <c r="D255" s="156">
        <v>1</v>
      </c>
      <c r="E255" s="156">
        <v>0.95020866441690777</v>
      </c>
      <c r="F255" s="156">
        <v>0</v>
      </c>
      <c r="G255" s="156">
        <v>1</v>
      </c>
      <c r="H255" s="156">
        <v>0</v>
      </c>
      <c r="I255" s="200">
        <v>0</v>
      </c>
      <c r="K255" s="219" t="s">
        <v>67</v>
      </c>
      <c r="L255" s="156">
        <v>0</v>
      </c>
      <c r="M255" s="156">
        <v>0.91510234682453417</v>
      </c>
      <c r="N255" s="156">
        <v>1</v>
      </c>
      <c r="O255" s="156">
        <v>0</v>
      </c>
      <c r="P255" s="156">
        <v>1</v>
      </c>
      <c r="Q255" s="156">
        <v>1</v>
      </c>
      <c r="R255" s="200">
        <v>1</v>
      </c>
    </row>
    <row r="256" spans="1:18" ht="14.25" customHeight="1">
      <c r="B256" s="216" t="s">
        <v>69</v>
      </c>
      <c r="C256" s="156">
        <v>0</v>
      </c>
      <c r="D256" s="156">
        <v>1</v>
      </c>
      <c r="E256" s="156">
        <v>0.99967928159076325</v>
      </c>
      <c r="F256" s="156">
        <v>0</v>
      </c>
      <c r="G256" s="156">
        <v>1</v>
      </c>
      <c r="H256" s="156">
        <v>0</v>
      </c>
      <c r="I256" s="200">
        <v>0</v>
      </c>
      <c r="K256" s="219" t="s">
        <v>69</v>
      </c>
      <c r="L256" s="156">
        <v>0</v>
      </c>
      <c r="M256" s="156">
        <v>0.99955818117509132</v>
      </c>
      <c r="N256" s="156">
        <v>1</v>
      </c>
      <c r="O256" s="156">
        <v>0</v>
      </c>
      <c r="P256" s="156">
        <v>0.98505387556482438</v>
      </c>
      <c r="Q256" s="156">
        <v>1</v>
      </c>
      <c r="R256" s="200">
        <v>1</v>
      </c>
    </row>
    <row r="257" spans="2:18" ht="14.25" customHeight="1">
      <c r="B257" s="216" t="s">
        <v>145</v>
      </c>
      <c r="C257" s="156">
        <v>0</v>
      </c>
      <c r="D257" s="156">
        <v>1</v>
      </c>
      <c r="E257" s="156">
        <v>0.99595089776474888</v>
      </c>
      <c r="F257" s="156">
        <v>0</v>
      </c>
      <c r="G257" s="156">
        <v>1</v>
      </c>
      <c r="H257" s="156">
        <v>0</v>
      </c>
      <c r="I257" s="200">
        <v>0</v>
      </c>
      <c r="K257" s="219" t="s">
        <v>145</v>
      </c>
      <c r="L257" s="156">
        <v>0</v>
      </c>
      <c r="M257" s="156">
        <v>0.95301820528787851</v>
      </c>
      <c r="N257" s="156">
        <v>1</v>
      </c>
      <c r="O257" s="156">
        <v>0</v>
      </c>
      <c r="P257" s="156">
        <v>1</v>
      </c>
      <c r="Q257" s="156">
        <v>1</v>
      </c>
      <c r="R257" s="200">
        <v>1</v>
      </c>
    </row>
    <row r="258" spans="2:18" ht="14.25" customHeight="1">
      <c r="B258" s="216" t="s">
        <v>73</v>
      </c>
      <c r="C258" s="156">
        <v>0</v>
      </c>
      <c r="D258" s="156">
        <v>1</v>
      </c>
      <c r="E258" s="156">
        <v>0.99571754555968872</v>
      </c>
      <c r="F258" s="156">
        <v>0</v>
      </c>
      <c r="G258" s="156">
        <v>1</v>
      </c>
      <c r="H258" s="156">
        <v>0</v>
      </c>
      <c r="I258" s="200">
        <v>0</v>
      </c>
      <c r="K258" s="219" t="s">
        <v>73</v>
      </c>
      <c r="L258" s="156">
        <v>0</v>
      </c>
      <c r="M258" s="156">
        <v>0.99613252775847017</v>
      </c>
      <c r="N258" s="156">
        <v>1</v>
      </c>
      <c r="O258" s="156">
        <v>0</v>
      </c>
      <c r="P258" s="156">
        <v>1</v>
      </c>
      <c r="Q258" s="156">
        <v>1</v>
      </c>
      <c r="R258" s="200">
        <v>1</v>
      </c>
    </row>
    <row r="259" spans="2:18" ht="14.25" customHeight="1">
      <c r="B259" s="216" t="s">
        <v>75</v>
      </c>
      <c r="C259" s="156">
        <v>0</v>
      </c>
      <c r="D259" s="156">
        <v>1</v>
      </c>
      <c r="E259" s="156">
        <v>0.99997392913940086</v>
      </c>
      <c r="F259" s="156">
        <v>0</v>
      </c>
      <c r="G259" s="156">
        <v>1</v>
      </c>
      <c r="H259" s="156">
        <v>0</v>
      </c>
      <c r="I259" s="200">
        <v>0</v>
      </c>
      <c r="K259" s="219" t="s">
        <v>75</v>
      </c>
      <c r="L259" s="156">
        <v>0</v>
      </c>
      <c r="M259" s="156">
        <v>1</v>
      </c>
      <c r="N259" s="156">
        <v>1</v>
      </c>
      <c r="O259" s="156">
        <v>0</v>
      </c>
      <c r="P259" s="156">
        <v>0.99621621621621625</v>
      </c>
      <c r="Q259" s="156">
        <v>1</v>
      </c>
      <c r="R259" s="200">
        <v>1</v>
      </c>
    </row>
    <row r="260" spans="2:18" ht="14.25" customHeight="1">
      <c r="B260" s="216" t="s">
        <v>146</v>
      </c>
      <c r="C260" s="156">
        <v>0</v>
      </c>
      <c r="D260" s="156">
        <v>1</v>
      </c>
      <c r="E260" s="156">
        <v>0.99369267517277149</v>
      </c>
      <c r="F260" s="156">
        <v>0</v>
      </c>
      <c r="G260" s="156">
        <v>1</v>
      </c>
      <c r="H260" s="156">
        <v>0</v>
      </c>
      <c r="I260" s="200">
        <v>0</v>
      </c>
      <c r="K260" s="219" t="s">
        <v>146</v>
      </c>
      <c r="L260" s="156">
        <v>0</v>
      </c>
      <c r="M260" s="156">
        <v>0.97209549024915765</v>
      </c>
      <c r="N260" s="156">
        <v>1</v>
      </c>
      <c r="O260" s="156">
        <v>0</v>
      </c>
      <c r="P260" s="156">
        <v>1</v>
      </c>
      <c r="Q260" s="156">
        <v>1</v>
      </c>
      <c r="R260" s="200">
        <v>1</v>
      </c>
    </row>
    <row r="261" spans="2:18" ht="14.25" customHeight="1">
      <c r="B261" s="216" t="s">
        <v>83</v>
      </c>
      <c r="C261" s="156">
        <v>0</v>
      </c>
      <c r="D261" s="156">
        <v>1</v>
      </c>
      <c r="E261" s="156">
        <v>0.98030663017339126</v>
      </c>
      <c r="F261" s="156">
        <v>0</v>
      </c>
      <c r="G261" s="156">
        <v>1</v>
      </c>
      <c r="H261" s="156">
        <v>0</v>
      </c>
      <c r="I261" s="200">
        <v>0</v>
      </c>
      <c r="K261" s="219" t="s">
        <v>83</v>
      </c>
      <c r="L261" s="156">
        <v>0</v>
      </c>
      <c r="M261" s="156">
        <v>1</v>
      </c>
      <c r="N261" s="156">
        <v>1</v>
      </c>
      <c r="O261" s="156">
        <v>0</v>
      </c>
      <c r="P261" s="156">
        <v>1</v>
      </c>
      <c r="Q261" s="156">
        <v>1</v>
      </c>
      <c r="R261" s="200">
        <v>1</v>
      </c>
    </row>
    <row r="262" spans="2:18" ht="14.25" customHeight="1">
      <c r="B262" s="216" t="s">
        <v>85</v>
      </c>
      <c r="C262" s="156">
        <v>0</v>
      </c>
      <c r="D262" s="156">
        <v>1</v>
      </c>
      <c r="E262" s="156">
        <v>0.99986387862161408</v>
      </c>
      <c r="F262" s="156">
        <v>0</v>
      </c>
      <c r="G262" s="156">
        <v>1</v>
      </c>
      <c r="H262" s="156">
        <v>0</v>
      </c>
      <c r="I262" s="200">
        <v>0</v>
      </c>
      <c r="K262" s="219" t="s">
        <v>85</v>
      </c>
      <c r="L262" s="156">
        <v>0</v>
      </c>
      <c r="M262" s="156">
        <v>0.97000550535962948</v>
      </c>
      <c r="N262" s="156">
        <v>1</v>
      </c>
      <c r="O262" s="156">
        <v>0</v>
      </c>
      <c r="P262" s="156">
        <v>1</v>
      </c>
      <c r="Q262" s="156">
        <v>1</v>
      </c>
      <c r="R262" s="200">
        <v>1</v>
      </c>
    </row>
    <row r="263" spans="2:18" ht="14.25" customHeight="1">
      <c r="B263" s="216" t="s">
        <v>88</v>
      </c>
      <c r="C263" s="156">
        <v>0</v>
      </c>
      <c r="D263" s="156">
        <v>1</v>
      </c>
      <c r="E263" s="156">
        <v>1</v>
      </c>
      <c r="F263" s="156">
        <v>0</v>
      </c>
      <c r="G263" s="156">
        <v>1</v>
      </c>
      <c r="H263" s="156">
        <v>0</v>
      </c>
      <c r="I263" s="200">
        <v>0</v>
      </c>
      <c r="K263" s="219" t="s">
        <v>88</v>
      </c>
      <c r="L263" s="156">
        <v>0</v>
      </c>
      <c r="M263" s="156">
        <v>0.98958738322287021</v>
      </c>
      <c r="N263" s="156">
        <v>1</v>
      </c>
      <c r="O263" s="156">
        <v>0</v>
      </c>
      <c r="P263" s="156">
        <v>1</v>
      </c>
      <c r="Q263" s="156">
        <v>1</v>
      </c>
      <c r="R263" s="200">
        <v>1</v>
      </c>
    </row>
    <row r="264" spans="2:18" ht="14.25" customHeight="1">
      <c r="B264" s="216" t="s">
        <v>147</v>
      </c>
      <c r="C264" s="156">
        <v>0</v>
      </c>
      <c r="D264" s="156">
        <v>0</v>
      </c>
      <c r="E264" s="156">
        <v>0</v>
      </c>
      <c r="F264" s="156">
        <v>0</v>
      </c>
      <c r="G264" s="156">
        <v>0</v>
      </c>
      <c r="H264" s="156">
        <v>0</v>
      </c>
      <c r="I264" s="200">
        <v>0</v>
      </c>
      <c r="K264" s="219" t="s">
        <v>147</v>
      </c>
      <c r="L264" s="156">
        <v>0</v>
      </c>
      <c r="M264" s="156">
        <v>0</v>
      </c>
      <c r="N264" s="156">
        <v>0</v>
      </c>
      <c r="O264" s="156">
        <v>0</v>
      </c>
      <c r="P264" s="156">
        <v>0</v>
      </c>
      <c r="Q264" s="156">
        <v>0</v>
      </c>
      <c r="R264" s="200">
        <v>0</v>
      </c>
    </row>
    <row r="265" spans="2:18" ht="14.25" customHeight="1" thickBot="1">
      <c r="B265" s="569" t="s">
        <v>732</v>
      </c>
      <c r="C265" s="570"/>
      <c r="D265" s="570"/>
      <c r="E265" s="570"/>
      <c r="F265" s="570"/>
      <c r="G265" s="570"/>
      <c r="H265" s="570"/>
      <c r="I265" s="571"/>
      <c r="K265" s="569" t="s">
        <v>735</v>
      </c>
      <c r="L265" s="570"/>
      <c r="M265" s="570"/>
      <c r="N265" s="570"/>
      <c r="O265" s="570"/>
      <c r="P265" s="570"/>
      <c r="Q265" s="570"/>
      <c r="R265" s="571"/>
    </row>
    <row r="266" spans="2:18" ht="14.25" customHeight="1">
      <c r="B266" s="222"/>
      <c r="C266" s="223" t="s">
        <v>733</v>
      </c>
      <c r="D266" s="156"/>
      <c r="E266" s="156"/>
      <c r="F266" s="156"/>
      <c r="G266" s="156"/>
      <c r="H266" s="156"/>
      <c r="I266" s="156"/>
      <c r="K266" s="222"/>
      <c r="L266" s="224" t="s">
        <v>733</v>
      </c>
      <c r="M266" s="156"/>
      <c r="N266" s="156"/>
      <c r="O266" s="156"/>
      <c r="P266" s="156"/>
      <c r="Q266" s="156"/>
      <c r="R266" s="156"/>
    </row>
    <row r="267" spans="2:18" ht="14.25" customHeight="1">
      <c r="B267" s="216" t="s">
        <v>608</v>
      </c>
      <c r="C267" s="200">
        <v>1</v>
      </c>
      <c r="D267"/>
      <c r="E267"/>
      <c r="F267"/>
      <c r="G267"/>
      <c r="H267"/>
      <c r="I267"/>
      <c r="K267" s="219" t="s">
        <v>608</v>
      </c>
      <c r="L267" s="200">
        <v>1</v>
      </c>
      <c r="M267"/>
      <c r="N267"/>
      <c r="O267"/>
      <c r="P267"/>
      <c r="Q267"/>
      <c r="R267"/>
    </row>
    <row r="268" spans="2:18" ht="14.25" customHeight="1">
      <c r="B268" s="216" t="s">
        <v>609</v>
      </c>
      <c r="C268" s="200">
        <v>1</v>
      </c>
      <c r="D268"/>
      <c r="E268"/>
      <c r="F268"/>
      <c r="G268"/>
      <c r="H268"/>
      <c r="I268"/>
      <c r="K268" s="219" t="s">
        <v>609</v>
      </c>
      <c r="L268" s="200">
        <v>1</v>
      </c>
      <c r="M268"/>
      <c r="N268"/>
      <c r="O268"/>
      <c r="P268"/>
      <c r="Q268"/>
      <c r="R268"/>
    </row>
    <row r="269" spans="2:18" ht="14.25" customHeight="1">
      <c r="B269" s="216" t="s">
        <v>610</v>
      </c>
      <c r="C269" s="200">
        <v>0.99280724423397115</v>
      </c>
      <c r="D269"/>
      <c r="E269"/>
      <c r="F269"/>
      <c r="G269"/>
      <c r="H269"/>
      <c r="I269"/>
      <c r="K269" s="219" t="s">
        <v>610</v>
      </c>
      <c r="L269" s="200">
        <v>1</v>
      </c>
      <c r="M269"/>
      <c r="N269"/>
      <c r="O269"/>
      <c r="P269"/>
      <c r="Q269"/>
      <c r="R269"/>
    </row>
    <row r="270" spans="2:18" ht="14.25" customHeight="1">
      <c r="B270" s="216" t="s">
        <v>611</v>
      </c>
      <c r="C270" s="200">
        <v>0</v>
      </c>
      <c r="D270"/>
      <c r="E270"/>
      <c r="F270"/>
      <c r="G270"/>
      <c r="H270"/>
      <c r="I270"/>
      <c r="K270" s="219" t="s">
        <v>611</v>
      </c>
      <c r="L270" s="200">
        <v>0</v>
      </c>
      <c r="M270"/>
      <c r="N270"/>
      <c r="O270"/>
      <c r="P270"/>
      <c r="Q270"/>
      <c r="R270"/>
    </row>
    <row r="271" spans="2:18" ht="14.25" customHeight="1">
      <c r="B271" s="216" t="s">
        <v>612</v>
      </c>
      <c r="C271" s="200">
        <v>1</v>
      </c>
      <c r="D271"/>
      <c r="E271"/>
      <c r="F271"/>
      <c r="G271"/>
      <c r="H271"/>
      <c r="I271"/>
      <c r="K271" s="219" t="s">
        <v>612</v>
      </c>
      <c r="L271" s="200">
        <v>1</v>
      </c>
      <c r="M271"/>
      <c r="N271"/>
      <c r="O271"/>
      <c r="P271"/>
      <c r="Q271"/>
      <c r="R271"/>
    </row>
    <row r="272" spans="2:18" ht="14.25" customHeight="1">
      <c r="B272" s="216" t="s">
        <v>59</v>
      </c>
      <c r="C272" s="200">
        <v>0</v>
      </c>
      <c r="D272"/>
      <c r="E272"/>
      <c r="F272"/>
      <c r="G272"/>
      <c r="H272"/>
      <c r="I272"/>
      <c r="K272" s="219" t="s">
        <v>59</v>
      </c>
      <c r="L272" s="200">
        <v>1</v>
      </c>
      <c r="M272"/>
      <c r="N272"/>
      <c r="O272"/>
      <c r="P272"/>
      <c r="Q272"/>
      <c r="R272"/>
    </row>
    <row r="273" spans="2:18" ht="14.25" customHeight="1" thickBot="1">
      <c r="B273" s="217" t="s">
        <v>588</v>
      </c>
      <c r="C273" s="203">
        <v>0</v>
      </c>
      <c r="D273"/>
      <c r="E273"/>
      <c r="F273"/>
      <c r="G273"/>
      <c r="H273"/>
      <c r="I273"/>
      <c r="K273" s="225" t="s">
        <v>588</v>
      </c>
      <c r="L273" s="203">
        <v>1</v>
      </c>
      <c r="M273"/>
      <c r="N273"/>
      <c r="O273"/>
      <c r="P273"/>
      <c r="Q273"/>
      <c r="R273"/>
    </row>
    <row r="274" spans="2:18" ht="14.25" customHeight="1"/>
    <row r="275" spans="2:18" ht="14.25" customHeight="1"/>
    <row r="276" spans="2:18" ht="14.25" customHeight="1"/>
    <row r="277" spans="2:18" ht="14.25" customHeight="1"/>
    <row r="278" spans="2:18" ht="14.25" customHeight="1"/>
    <row r="279" spans="2:18" ht="14.25" customHeight="1"/>
    <row r="280" spans="2:18" ht="14.25" customHeight="1"/>
    <row r="281" spans="2:18" ht="14.25" customHeight="1"/>
    <row r="282" spans="2:18" ht="14.25" customHeight="1"/>
    <row r="283" spans="2:18" ht="14.25" customHeight="1"/>
    <row r="284" spans="2:18" ht="14.25" customHeight="1"/>
    <row r="285" spans="2:18" ht="14.25" customHeight="1"/>
    <row r="286" spans="2:18" ht="14.25" customHeight="1"/>
    <row r="287" spans="2:18" ht="14.25" customHeight="1"/>
    <row r="288" spans="2:1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sheetData>
  <mergeCells count="63">
    <mergeCell ref="BF87:BF107"/>
    <mergeCell ref="BF108:BF128"/>
    <mergeCell ref="BF129:BF149"/>
    <mergeCell ref="BF150:BF168"/>
    <mergeCell ref="BF1:CB1"/>
    <mergeCell ref="BF3:BF23"/>
    <mergeCell ref="BF24:BF44"/>
    <mergeCell ref="BF45:BF65"/>
    <mergeCell ref="BF66:BF86"/>
    <mergeCell ref="B242:I242"/>
    <mergeCell ref="B265:I265"/>
    <mergeCell ref="B241:I241"/>
    <mergeCell ref="AI199:AK199"/>
    <mergeCell ref="AL199:AM199"/>
    <mergeCell ref="K241:R241"/>
    <mergeCell ref="K242:R242"/>
    <mergeCell ref="K265:R265"/>
    <mergeCell ref="K199:M199"/>
    <mergeCell ref="N199:O199"/>
    <mergeCell ref="AI151:BD151"/>
    <mergeCell ref="K152:AF152"/>
    <mergeCell ref="K175:AF175"/>
    <mergeCell ref="K198:AF198"/>
    <mergeCell ref="AI152:BD152"/>
    <mergeCell ref="AI175:BD175"/>
    <mergeCell ref="AI198:BD198"/>
    <mergeCell ref="K151:AF151"/>
    <mergeCell ref="A219:A239"/>
    <mergeCell ref="A151:I151"/>
    <mergeCell ref="A152:I152"/>
    <mergeCell ref="A154:A174"/>
    <mergeCell ref="A175:A195"/>
    <mergeCell ref="A196:I196"/>
    <mergeCell ref="A198:A218"/>
    <mergeCell ref="A108:A128"/>
    <mergeCell ref="A129:A149"/>
    <mergeCell ref="AA1:AW1"/>
    <mergeCell ref="AA3:AA23"/>
    <mergeCell ref="AA24:AA44"/>
    <mergeCell ref="AA45:AA65"/>
    <mergeCell ref="AA66:AA86"/>
    <mergeCell ref="AA87:AA107"/>
    <mergeCell ref="AA108:AA128"/>
    <mergeCell ref="AA129:AA149"/>
    <mergeCell ref="A1:W1"/>
    <mergeCell ref="A3:A23"/>
    <mergeCell ref="A24:A44"/>
    <mergeCell ref="A45:A65"/>
    <mergeCell ref="A66:A86"/>
    <mergeCell ref="A87:A107"/>
    <mergeCell ref="DA1:DW1"/>
    <mergeCell ref="DA3:DA23"/>
    <mergeCell ref="DA24:DA44"/>
    <mergeCell ref="DA45:DA65"/>
    <mergeCell ref="DA66:DA86"/>
    <mergeCell ref="DA87:DA107"/>
    <mergeCell ref="DA108:DA128"/>
    <mergeCell ref="DA129:DA149"/>
    <mergeCell ref="DA150:DA170"/>
    <mergeCell ref="CE64:CL64"/>
    <mergeCell ref="CE89:CL89"/>
    <mergeCell ref="CE115:CY115"/>
    <mergeCell ref="CE139:CY139"/>
  </mergeCells>
  <conditionalFormatting sqref="BI193:BP196">
    <cfRule type="colorScale" priority="1">
      <colorScale>
        <cfvo type="min"/>
        <cfvo type="percentile" val="50"/>
        <cfvo type="max"/>
        <color rgb="FFF8696B"/>
        <color rgb="FFFFEB84"/>
        <color rgb="FF63BE7B"/>
      </colorScale>
    </cfRule>
  </conditionalFormatting>
  <pageMargins left="0.7" right="0.7" top="0.75" bottom="0.75" header="0" footer="0"/>
  <pageSetup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8C9D0-898C-4758-9CE0-6F15B0970F7C}">
  <sheetPr codeName="Sheet17">
    <tabColor theme="9" tint="0.39997558519241921"/>
  </sheetPr>
  <dimension ref="A1:AJ373"/>
  <sheetViews>
    <sheetView tabSelected="1" topLeftCell="A21" zoomScale="70" zoomScaleNormal="70" workbookViewId="0">
      <selection activeCell="E74" sqref="E74"/>
    </sheetView>
  </sheetViews>
  <sheetFormatPr defaultColWidth="8.83203125" defaultRowHeight="14"/>
  <cols>
    <col min="1" max="1" width="20.58203125" customWidth="1"/>
    <col min="2" max="2" width="40.25" customWidth="1"/>
    <col min="3" max="3" width="12.33203125" bestFit="1" customWidth="1"/>
    <col min="5" max="5" width="10.58203125" bestFit="1" customWidth="1"/>
    <col min="6" max="6" width="45.83203125" customWidth="1"/>
    <col min="7" max="7" width="13" bestFit="1" customWidth="1"/>
    <col min="8" max="8" width="11.25" bestFit="1" customWidth="1"/>
  </cols>
  <sheetData>
    <row r="1" spans="1:17">
      <c r="B1" t="s">
        <v>447</v>
      </c>
    </row>
    <row r="3" spans="1:17" ht="14.5">
      <c r="B3" s="206" t="s">
        <v>448</v>
      </c>
      <c r="C3" s="206" t="s">
        <v>449</v>
      </c>
      <c r="D3" s="207" t="s">
        <v>350</v>
      </c>
      <c r="E3" s="206" t="s">
        <v>450</v>
      </c>
      <c r="F3" s="206" t="s">
        <v>451</v>
      </c>
      <c r="G3" s="206" t="s">
        <v>452</v>
      </c>
      <c r="H3" s="206" t="s">
        <v>453</v>
      </c>
    </row>
    <row r="4" spans="1:17" ht="14.5">
      <c r="A4" s="578" t="s">
        <v>639</v>
      </c>
      <c r="B4" s="208" t="s">
        <v>454</v>
      </c>
      <c r="C4" t="s">
        <v>455</v>
      </c>
      <c r="D4" t="s">
        <v>455</v>
      </c>
      <c r="E4" s="176">
        <v>492663660.07728601</v>
      </c>
      <c r="F4" s="151" t="s">
        <v>456</v>
      </c>
      <c r="G4" t="s">
        <v>457</v>
      </c>
    </row>
    <row r="5" spans="1:17" ht="14.5">
      <c r="A5" s="578"/>
      <c r="B5" s="208" t="s">
        <v>640</v>
      </c>
      <c r="C5" t="s">
        <v>455</v>
      </c>
      <c r="E5" s="176">
        <v>1664301607.05897</v>
      </c>
      <c r="F5" s="151" t="s">
        <v>641</v>
      </c>
      <c r="G5" s="209" t="s">
        <v>642</v>
      </c>
    </row>
    <row r="6" spans="1:17" ht="14.5">
      <c r="A6" s="578"/>
      <c r="B6" s="208" t="s">
        <v>458</v>
      </c>
      <c r="C6" t="s">
        <v>455</v>
      </c>
      <c r="D6" t="s">
        <v>455</v>
      </c>
      <c r="E6">
        <v>1.3</v>
      </c>
      <c r="F6" s="210" t="s">
        <v>643</v>
      </c>
      <c r="G6" t="s">
        <v>459</v>
      </c>
    </row>
    <row r="7" spans="1:17" ht="14.5">
      <c r="A7" s="578"/>
      <c r="B7" s="208" t="s">
        <v>644</v>
      </c>
      <c r="E7">
        <v>1.3</v>
      </c>
      <c r="F7" s="210" t="s">
        <v>643</v>
      </c>
    </row>
    <row r="8" spans="1:17">
      <c r="A8" s="578"/>
      <c r="B8" s="208" t="s">
        <v>645</v>
      </c>
      <c r="E8">
        <v>0.5</v>
      </c>
      <c r="F8" t="s">
        <v>643</v>
      </c>
    </row>
    <row r="9" spans="1:17" ht="14.5">
      <c r="A9" s="578"/>
      <c r="B9" s="578" t="s">
        <v>460</v>
      </c>
      <c r="C9" t="s">
        <v>455</v>
      </c>
      <c r="D9" t="s">
        <v>455</v>
      </c>
      <c r="E9" t="s">
        <v>461</v>
      </c>
      <c r="F9" s="580" t="s">
        <v>462</v>
      </c>
      <c r="G9" s="581"/>
      <c r="I9" s="206">
        <v>2015</v>
      </c>
      <c r="J9" s="206">
        <v>2020</v>
      </c>
      <c r="K9" s="206">
        <v>2025</v>
      </c>
      <c r="L9" s="206">
        <v>2030</v>
      </c>
      <c r="M9" s="206">
        <v>2035</v>
      </c>
      <c r="N9" s="206">
        <v>2040</v>
      </c>
      <c r="O9" s="206">
        <v>2045</v>
      </c>
      <c r="P9" s="206">
        <v>2050</v>
      </c>
    </row>
    <row r="10" spans="1:17">
      <c r="A10" s="578"/>
      <c r="B10" s="578"/>
      <c r="C10" t="s">
        <v>455</v>
      </c>
      <c r="D10" t="s">
        <v>455</v>
      </c>
      <c r="E10" t="s">
        <v>461</v>
      </c>
      <c r="F10" s="580"/>
      <c r="G10" s="581"/>
      <c r="H10" t="s">
        <v>460</v>
      </c>
      <c r="I10">
        <v>1</v>
      </c>
      <c r="J10">
        <v>0.55000000000000004</v>
      </c>
      <c r="K10">
        <v>0.34</v>
      </c>
      <c r="L10">
        <v>0.23</v>
      </c>
      <c r="M10">
        <v>0.18</v>
      </c>
      <c r="N10">
        <v>0.16</v>
      </c>
      <c r="O10">
        <v>0.15</v>
      </c>
      <c r="P10">
        <v>0.14000000000000001</v>
      </c>
    </row>
    <row r="11" spans="1:17" ht="14.5">
      <c r="A11" s="578"/>
      <c r="B11" s="208" t="s">
        <v>646</v>
      </c>
      <c r="C11" t="s">
        <v>455</v>
      </c>
      <c r="D11" t="s">
        <v>455</v>
      </c>
      <c r="E11" s="211" t="s">
        <v>647</v>
      </c>
      <c r="F11" s="151" t="s">
        <v>641</v>
      </c>
      <c r="G11" s="209" t="s">
        <v>648</v>
      </c>
      <c r="H11" s="209"/>
    </row>
    <row r="12" spans="1:17" ht="14.5">
      <c r="A12" s="578"/>
      <c r="B12" t="s">
        <v>463</v>
      </c>
      <c r="C12" t="s">
        <v>455</v>
      </c>
      <c r="D12" t="s">
        <v>455</v>
      </c>
      <c r="E12">
        <v>-0.51457299999999995</v>
      </c>
      <c r="F12" s="151" t="s">
        <v>456</v>
      </c>
      <c r="G12" t="s">
        <v>464</v>
      </c>
    </row>
    <row r="13" spans="1:17" ht="14.5">
      <c r="A13" s="578"/>
      <c r="B13" t="s">
        <v>465</v>
      </c>
      <c r="C13" t="s">
        <v>455</v>
      </c>
      <c r="D13" t="s">
        <v>455</v>
      </c>
      <c r="E13">
        <v>3.0000000000000001E-3</v>
      </c>
      <c r="F13" s="151" t="s">
        <v>456</v>
      </c>
    </row>
    <row r="14" spans="1:17" ht="14.5">
      <c r="A14" s="578"/>
      <c r="B14" t="s">
        <v>466</v>
      </c>
      <c r="C14" t="s">
        <v>455</v>
      </c>
      <c r="D14" t="s">
        <v>455</v>
      </c>
      <c r="E14">
        <v>1</v>
      </c>
      <c r="F14" s="151" t="s">
        <v>467</v>
      </c>
      <c r="G14" t="s">
        <v>468</v>
      </c>
      <c r="I14" t="s">
        <v>481</v>
      </c>
      <c r="J14" t="s">
        <v>482</v>
      </c>
    </row>
    <row r="15" spans="1:17" ht="14.5">
      <c r="A15" s="578"/>
      <c r="B15" t="s">
        <v>649</v>
      </c>
      <c r="C15" t="s">
        <v>455</v>
      </c>
      <c r="D15" t="s">
        <v>455</v>
      </c>
      <c r="E15">
        <v>2</v>
      </c>
      <c r="F15" t="s">
        <v>650</v>
      </c>
      <c r="I15" s="206">
        <v>2010</v>
      </c>
      <c r="J15" s="206">
        <v>2011</v>
      </c>
      <c r="K15" s="206">
        <v>2012</v>
      </c>
      <c r="L15" s="206">
        <v>2013</v>
      </c>
      <c r="M15" s="206">
        <v>2014</v>
      </c>
      <c r="N15" s="206">
        <v>2015</v>
      </c>
      <c r="O15" s="206">
        <v>2016</v>
      </c>
      <c r="P15" s="206">
        <v>2017</v>
      </c>
      <c r="Q15" s="206">
        <v>2018</v>
      </c>
    </row>
    <row r="16" spans="1:17">
      <c r="A16" s="578"/>
      <c r="B16" s="578" t="s">
        <v>651</v>
      </c>
      <c r="C16" t="s">
        <v>652</v>
      </c>
      <c r="D16" t="s">
        <v>455</v>
      </c>
      <c r="E16">
        <v>0.12846432482520428</v>
      </c>
      <c r="F16" t="s">
        <v>653</v>
      </c>
      <c r="I16">
        <v>7.3247455812080323E-2</v>
      </c>
      <c r="J16">
        <v>7.7574796643829894E-2</v>
      </c>
      <c r="K16">
        <v>7.1978102501433799E-2</v>
      </c>
      <c r="L16">
        <v>6.6767348043364094E-2</v>
      </c>
      <c r="M16">
        <v>5.4726864497544887E-2</v>
      </c>
      <c r="N16">
        <v>7.0752174740670914E-2</v>
      </c>
      <c r="O16">
        <v>7.1793889289726395E-2</v>
      </c>
      <c r="P16">
        <v>6.6988155953064898E-2</v>
      </c>
      <c r="Q16">
        <v>7.1534718124328031E-2</v>
      </c>
    </row>
    <row r="17" spans="1:21" ht="14.5">
      <c r="A17" s="578"/>
      <c r="B17" s="578"/>
      <c r="C17" t="s">
        <v>654</v>
      </c>
      <c r="D17" t="s">
        <v>455</v>
      </c>
      <c r="E17">
        <v>0.13634666645780633</v>
      </c>
      <c r="F17" s="151" t="s">
        <v>469</v>
      </c>
      <c r="G17" t="s">
        <v>470</v>
      </c>
      <c r="I17">
        <v>0.13634666645780633</v>
      </c>
      <c r="J17">
        <v>0.13634666645780633</v>
      </c>
      <c r="K17">
        <v>0.13634666645780633</v>
      </c>
      <c r="L17">
        <v>0.13634666645780633</v>
      </c>
      <c r="M17">
        <v>0.13634666645780633</v>
      </c>
      <c r="N17">
        <v>0.13634666645780633</v>
      </c>
      <c r="O17">
        <v>0.13634666645780633</v>
      </c>
      <c r="P17">
        <v>0.13634666645780633</v>
      </c>
      <c r="Q17">
        <v>0.13634666645780633</v>
      </c>
    </row>
    <row r="18" spans="1:21" ht="14.5">
      <c r="A18" s="578"/>
      <c r="B18" s="578"/>
      <c r="C18" t="s">
        <v>655</v>
      </c>
      <c r="D18" t="s">
        <v>455</v>
      </c>
      <c r="E18">
        <v>0.20880545690286936</v>
      </c>
      <c r="F18" s="151" t="s">
        <v>469</v>
      </c>
      <c r="G18" t="s">
        <v>470</v>
      </c>
      <c r="I18">
        <v>0.20880545690286936</v>
      </c>
      <c r="J18">
        <v>0.20880545690286936</v>
      </c>
      <c r="K18">
        <v>0.20880545690286936</v>
      </c>
      <c r="L18">
        <v>0.20880545690286936</v>
      </c>
      <c r="M18">
        <v>0.20880545690286936</v>
      </c>
      <c r="N18">
        <v>0.20880545690286936</v>
      </c>
      <c r="O18">
        <v>0.20880545690286936</v>
      </c>
      <c r="P18">
        <v>0.20880545690286936</v>
      </c>
      <c r="Q18">
        <v>0.20880545690286936</v>
      </c>
    </row>
    <row r="19" spans="1:21" ht="14.5">
      <c r="A19" s="578"/>
      <c r="B19" s="578" t="s">
        <v>656</v>
      </c>
      <c r="C19" t="s">
        <v>652</v>
      </c>
      <c r="D19" t="s">
        <v>455</v>
      </c>
      <c r="E19">
        <v>0.34774373729513874</v>
      </c>
      <c r="F19" s="151" t="s">
        <v>469</v>
      </c>
    </row>
    <row r="20" spans="1:21" ht="14.5">
      <c r="A20" s="578"/>
      <c r="B20" s="578"/>
      <c r="C20" t="s">
        <v>654</v>
      </c>
      <c r="D20" t="s">
        <v>455</v>
      </c>
      <c r="E20">
        <v>0.13634666645780633</v>
      </c>
      <c r="F20" s="151" t="s">
        <v>469</v>
      </c>
    </row>
    <row r="21" spans="1:21" ht="14.5">
      <c r="A21" s="578"/>
      <c r="B21" s="578"/>
      <c r="C21" t="s">
        <v>655</v>
      </c>
      <c r="D21" t="s">
        <v>455</v>
      </c>
      <c r="E21">
        <v>0.20880545690286936</v>
      </c>
      <c r="F21" s="151" t="s">
        <v>469</v>
      </c>
    </row>
    <row r="22" spans="1:21">
      <c r="A22" s="578"/>
      <c r="B22" s="578" t="s">
        <v>657</v>
      </c>
      <c r="C22" t="s">
        <v>652</v>
      </c>
      <c r="D22" t="s">
        <v>455</v>
      </c>
      <c r="E22">
        <v>3.9569999999999999</v>
      </c>
      <c r="F22" t="s">
        <v>504</v>
      </c>
      <c r="G22" t="s">
        <v>500</v>
      </c>
    </row>
    <row r="23" spans="1:21">
      <c r="A23" s="578"/>
      <c r="B23" s="578"/>
      <c r="C23" t="s">
        <v>654</v>
      </c>
      <c r="D23" t="s">
        <v>455</v>
      </c>
      <c r="E23">
        <v>0</v>
      </c>
      <c r="F23" t="s">
        <v>455</v>
      </c>
    </row>
    <row r="24" spans="1:21">
      <c r="A24" s="578"/>
      <c r="B24" s="578"/>
      <c r="C24" t="s">
        <v>655</v>
      </c>
      <c r="D24" t="s">
        <v>455</v>
      </c>
      <c r="E24">
        <v>0</v>
      </c>
    </row>
    <row r="25" spans="1:21" ht="14.5">
      <c r="A25" s="578"/>
      <c r="B25" t="s">
        <v>471</v>
      </c>
      <c r="C25" t="s">
        <v>455</v>
      </c>
      <c r="D25" t="s">
        <v>455</v>
      </c>
      <c r="E25">
        <v>10</v>
      </c>
      <c r="F25" s="151" t="s">
        <v>472</v>
      </c>
      <c r="I25" t="s">
        <v>481</v>
      </c>
      <c r="J25" t="s">
        <v>482</v>
      </c>
    </row>
    <row r="26" spans="1:21" ht="14.5">
      <c r="A26" s="578"/>
      <c r="B26" t="s">
        <v>658</v>
      </c>
      <c r="C26" t="s">
        <v>455</v>
      </c>
      <c r="D26" t="s">
        <v>455</v>
      </c>
      <c r="E26">
        <v>20</v>
      </c>
      <c r="F26" s="151" t="s">
        <v>469</v>
      </c>
      <c r="I26" s="206">
        <v>2010</v>
      </c>
      <c r="J26" s="206">
        <v>2011</v>
      </c>
      <c r="K26" s="206">
        <v>2012</v>
      </c>
      <c r="L26" s="206">
        <v>2013</v>
      </c>
      <c r="M26" s="206">
        <v>2014</v>
      </c>
      <c r="N26" s="206">
        <v>2015</v>
      </c>
      <c r="O26" s="206">
        <v>2016</v>
      </c>
      <c r="P26" s="206">
        <v>2017</v>
      </c>
      <c r="Q26" s="206">
        <v>2018</v>
      </c>
      <c r="R26" s="206">
        <v>2019</v>
      </c>
      <c r="S26" s="206">
        <v>2020</v>
      </c>
      <c r="T26" s="206">
        <v>2021</v>
      </c>
    </row>
    <row r="27" spans="1:21" ht="14.5">
      <c r="A27" s="578"/>
      <c r="B27" t="s">
        <v>659</v>
      </c>
      <c r="C27" t="s">
        <v>455</v>
      </c>
      <c r="D27" t="s">
        <v>455</v>
      </c>
      <c r="E27">
        <v>1.7132969499547599E-2</v>
      </c>
      <c r="F27" s="151" t="s">
        <v>488</v>
      </c>
      <c r="I27">
        <v>9.5133883499188658E-3</v>
      </c>
      <c r="J27">
        <v>9.9535446343648314E-3</v>
      </c>
      <c r="K27">
        <v>9.53958010018356E-3</v>
      </c>
      <c r="L27">
        <v>9.2565292801250441E-3</v>
      </c>
      <c r="M27">
        <v>7.5422151193440959E-3</v>
      </c>
      <c r="N27">
        <v>9.5558657030249822E-3</v>
      </c>
      <c r="O27">
        <v>9.4220712761612195E-3</v>
      </c>
      <c r="P27">
        <v>9.0783964283427439E-3</v>
      </c>
      <c r="Q27">
        <v>9.5425091002511418E-3</v>
      </c>
      <c r="R27">
        <v>1.0810632939391145E-2</v>
      </c>
      <c r="S27">
        <v>1.2911011604622574E-2</v>
      </c>
      <c r="T27">
        <v>1.1845083066146308E-2</v>
      </c>
    </row>
    <row r="28" spans="1:21" ht="14.5">
      <c r="A28" s="578"/>
      <c r="B28" t="s">
        <v>660</v>
      </c>
      <c r="C28" t="s">
        <v>455</v>
      </c>
      <c r="D28" t="s">
        <v>455</v>
      </c>
      <c r="E28">
        <v>0.3509410130099786</v>
      </c>
      <c r="F28" s="151" t="s">
        <v>469</v>
      </c>
    </row>
    <row r="29" spans="1:21" ht="14.5">
      <c r="A29" s="578"/>
      <c r="B29" s="578" t="s">
        <v>661</v>
      </c>
      <c r="C29" t="s">
        <v>652</v>
      </c>
      <c r="D29" t="s">
        <v>455</v>
      </c>
      <c r="E29">
        <v>1</v>
      </c>
      <c r="F29" s="151" t="s">
        <v>488</v>
      </c>
      <c r="I29">
        <v>1</v>
      </c>
      <c r="J29">
        <v>1</v>
      </c>
      <c r="K29">
        <v>1</v>
      </c>
      <c r="L29">
        <v>1</v>
      </c>
      <c r="M29">
        <v>1</v>
      </c>
      <c r="N29">
        <v>1</v>
      </c>
      <c r="O29">
        <v>1</v>
      </c>
      <c r="P29">
        <v>1</v>
      </c>
      <c r="Q29">
        <v>1</v>
      </c>
      <c r="R29">
        <v>1</v>
      </c>
      <c r="S29">
        <v>1</v>
      </c>
      <c r="T29">
        <v>0.99049557579738101</v>
      </c>
    </row>
    <row r="30" spans="1:21" ht="14.5">
      <c r="A30" s="578"/>
      <c r="B30" s="578"/>
      <c r="C30" t="s">
        <v>654</v>
      </c>
      <c r="D30" t="s">
        <v>455</v>
      </c>
      <c r="E30">
        <v>0</v>
      </c>
      <c r="F30" s="151" t="s">
        <v>488</v>
      </c>
      <c r="G30" t="s">
        <v>662</v>
      </c>
      <c r="I30">
        <v>0</v>
      </c>
      <c r="J30">
        <v>0</v>
      </c>
      <c r="K30">
        <v>0</v>
      </c>
      <c r="L30">
        <v>0</v>
      </c>
      <c r="M30">
        <v>0</v>
      </c>
      <c r="N30">
        <v>0</v>
      </c>
      <c r="O30">
        <v>0</v>
      </c>
      <c r="P30">
        <v>0</v>
      </c>
      <c r="Q30">
        <v>0</v>
      </c>
      <c r="R30">
        <v>0</v>
      </c>
      <c r="S30">
        <v>0</v>
      </c>
      <c r="T30">
        <v>9.5044242026189885E-3</v>
      </c>
    </row>
    <row r="31" spans="1:21" ht="14.5">
      <c r="A31" s="578"/>
      <c r="B31" s="578"/>
      <c r="C31" t="s">
        <v>655</v>
      </c>
      <c r="D31" t="s">
        <v>455</v>
      </c>
      <c r="E31">
        <v>0</v>
      </c>
      <c r="F31" s="151" t="s">
        <v>488</v>
      </c>
      <c r="I31">
        <v>0</v>
      </c>
      <c r="J31">
        <v>0</v>
      </c>
      <c r="K31">
        <v>0</v>
      </c>
      <c r="L31">
        <v>0</v>
      </c>
      <c r="M31">
        <v>0</v>
      </c>
      <c r="N31">
        <v>0</v>
      </c>
      <c r="O31">
        <v>0</v>
      </c>
      <c r="P31">
        <v>0</v>
      </c>
      <c r="Q31">
        <v>0</v>
      </c>
      <c r="R31">
        <v>0</v>
      </c>
      <c r="S31">
        <v>0</v>
      </c>
      <c r="T31">
        <v>0</v>
      </c>
    </row>
    <row r="32" spans="1:21" ht="14.5">
      <c r="A32" s="578"/>
      <c r="B32" t="s">
        <v>663</v>
      </c>
      <c r="C32" t="s">
        <v>455</v>
      </c>
      <c r="D32" t="s">
        <v>455</v>
      </c>
      <c r="E32">
        <v>0.221083529792447</v>
      </c>
      <c r="F32" s="151" t="s">
        <v>469</v>
      </c>
      <c r="G32" s="442">
        <v>0.32108352979244681</v>
      </c>
      <c r="I32" s="206"/>
      <c r="J32" s="206"/>
      <c r="K32" s="206"/>
      <c r="L32" s="206"/>
      <c r="M32" s="206"/>
      <c r="N32" s="206"/>
      <c r="O32" s="206"/>
      <c r="P32" s="206"/>
      <c r="Q32" s="206"/>
      <c r="R32" s="206"/>
      <c r="S32" s="206"/>
      <c r="T32" s="206"/>
      <c r="U32" s="206"/>
    </row>
    <row r="33" spans="1:28" ht="14.5">
      <c r="A33" s="578"/>
      <c r="B33" s="208" t="s">
        <v>664</v>
      </c>
      <c r="C33" t="s">
        <v>455</v>
      </c>
      <c r="D33" t="s">
        <v>455</v>
      </c>
      <c r="E33">
        <v>0.01</v>
      </c>
      <c r="F33" s="151" t="s">
        <v>488</v>
      </c>
      <c r="G33" t="s">
        <v>665</v>
      </c>
    </row>
    <row r="34" spans="1:28" ht="14.5">
      <c r="A34" s="578"/>
      <c r="B34" s="578" t="s">
        <v>666</v>
      </c>
      <c r="C34" t="s">
        <v>652</v>
      </c>
      <c r="D34" t="s">
        <v>455</v>
      </c>
      <c r="E34">
        <v>0.1659948171609559</v>
      </c>
      <c r="F34" s="151" t="s">
        <v>469</v>
      </c>
    </row>
    <row r="35" spans="1:28" ht="14.5">
      <c r="A35" s="578"/>
      <c r="B35" s="578"/>
      <c r="C35" t="s">
        <v>654</v>
      </c>
      <c r="D35" t="s">
        <v>455</v>
      </c>
      <c r="E35">
        <v>0.30074863230636334</v>
      </c>
      <c r="F35" s="151" t="s">
        <v>469</v>
      </c>
    </row>
    <row r="36" spans="1:28" ht="14.5">
      <c r="A36" s="578"/>
      <c r="B36" s="578"/>
      <c r="C36" t="s">
        <v>655</v>
      </c>
      <c r="D36" t="s">
        <v>455</v>
      </c>
      <c r="E36">
        <v>0.53325655053268062</v>
      </c>
      <c r="F36" s="151" t="s">
        <v>469</v>
      </c>
    </row>
    <row r="37" spans="1:28" ht="14.5">
      <c r="A37" s="578"/>
      <c r="B37" s="578" t="s">
        <v>667</v>
      </c>
      <c r="C37" t="s">
        <v>652</v>
      </c>
      <c r="D37" t="s">
        <v>455</v>
      </c>
      <c r="E37">
        <v>0.90242844752818729</v>
      </c>
      <c r="F37" s="151" t="s">
        <v>469</v>
      </c>
    </row>
    <row r="38" spans="1:28" ht="14.5">
      <c r="A38" s="578"/>
      <c r="B38" s="578"/>
      <c r="C38" t="s">
        <v>654</v>
      </c>
      <c r="D38" t="s">
        <v>455</v>
      </c>
      <c r="E38">
        <v>0.96026807084729526</v>
      </c>
      <c r="F38" s="151" t="s">
        <v>469</v>
      </c>
    </row>
    <row r="39" spans="1:28" ht="14.5">
      <c r="A39" s="578"/>
      <c r="B39" s="578"/>
      <c r="C39" t="s">
        <v>655</v>
      </c>
      <c r="D39" t="s">
        <v>455</v>
      </c>
      <c r="E39">
        <v>0.55588552915766742</v>
      </c>
      <c r="F39" s="151" t="s">
        <v>469</v>
      </c>
    </row>
    <row r="40" spans="1:28">
      <c r="A40" s="578"/>
      <c r="B40" s="578" t="s">
        <v>668</v>
      </c>
      <c r="C40" t="s">
        <v>652</v>
      </c>
      <c r="D40" t="s">
        <v>455</v>
      </c>
      <c r="E40">
        <v>0</v>
      </c>
      <c r="F40" t="s">
        <v>504</v>
      </c>
    </row>
    <row r="41" spans="1:28" ht="14.5">
      <c r="A41" s="578"/>
      <c r="B41" s="578"/>
      <c r="C41" t="s">
        <v>654</v>
      </c>
      <c r="D41" t="s">
        <v>455</v>
      </c>
      <c r="E41">
        <v>0</v>
      </c>
      <c r="F41" s="210" t="s">
        <v>669</v>
      </c>
    </row>
    <row r="42" spans="1:28" ht="14.5">
      <c r="A42" s="578"/>
      <c r="B42" s="578"/>
      <c r="C42" t="s">
        <v>655</v>
      </c>
      <c r="D42" t="s">
        <v>455</v>
      </c>
      <c r="E42">
        <v>0</v>
      </c>
      <c r="F42" s="210" t="s">
        <v>455</v>
      </c>
    </row>
    <row r="43" spans="1:28">
      <c r="A43" s="578" t="s">
        <v>473</v>
      </c>
      <c r="B43" t="s">
        <v>474</v>
      </c>
      <c r="C43" t="s">
        <v>455</v>
      </c>
      <c r="D43" t="s">
        <v>455</v>
      </c>
      <c r="E43">
        <v>50.888100000000001</v>
      </c>
      <c r="F43" t="s">
        <v>475</v>
      </c>
      <c r="G43" t="s">
        <v>476</v>
      </c>
    </row>
    <row r="44" spans="1:28" ht="14.5">
      <c r="A44" s="578"/>
      <c r="B44" t="s">
        <v>477</v>
      </c>
      <c r="C44" t="s">
        <v>455</v>
      </c>
      <c r="D44" t="s">
        <v>455</v>
      </c>
      <c r="E44">
        <v>5.74046E-2</v>
      </c>
      <c r="F44" t="s">
        <v>478</v>
      </c>
      <c r="I44" s="206">
        <v>2010</v>
      </c>
      <c r="J44" s="206">
        <v>2011</v>
      </c>
      <c r="K44" s="206">
        <v>2012</v>
      </c>
      <c r="L44" s="206">
        <v>2013</v>
      </c>
      <c r="M44" s="206">
        <v>2014</v>
      </c>
      <c r="N44" s="206">
        <v>2015</v>
      </c>
      <c r="O44" s="206">
        <v>2016</v>
      </c>
      <c r="P44" s="206">
        <v>2017</v>
      </c>
      <c r="Q44" s="206">
        <v>2018</v>
      </c>
      <c r="R44" s="206">
        <v>2019</v>
      </c>
      <c r="S44" s="206">
        <v>2020</v>
      </c>
      <c r="T44" s="206">
        <v>2021</v>
      </c>
      <c r="U44" s="206">
        <v>2022</v>
      </c>
      <c r="V44" s="206">
        <v>2023</v>
      </c>
      <c r="W44" s="206">
        <v>2024</v>
      </c>
      <c r="X44" s="206">
        <v>2025</v>
      </c>
      <c r="Y44" s="206">
        <v>2026</v>
      </c>
      <c r="Z44" s="206">
        <v>2027</v>
      </c>
      <c r="AA44" s="206">
        <v>2028</v>
      </c>
      <c r="AB44" s="206">
        <v>2029</v>
      </c>
    </row>
    <row r="45" spans="1:28" ht="14.5">
      <c r="A45" s="578"/>
      <c r="B45" t="s">
        <v>479</v>
      </c>
      <c r="C45" t="s">
        <v>455</v>
      </c>
      <c r="D45" t="s">
        <v>455</v>
      </c>
      <c r="E45" s="176">
        <v>14332400000</v>
      </c>
      <c r="F45" t="s">
        <v>480</v>
      </c>
      <c r="H45" s="151" t="s">
        <v>1462</v>
      </c>
      <c r="I45">
        <v>29.8</v>
      </c>
      <c r="J45">
        <v>29.3</v>
      </c>
      <c r="K45">
        <v>28.4</v>
      </c>
      <c r="L45">
        <v>27.7</v>
      </c>
      <c r="M45">
        <v>28.2</v>
      </c>
      <c r="N45">
        <v>27.9</v>
      </c>
      <c r="O45">
        <v>28.5</v>
      </c>
      <c r="P45">
        <v>28.4</v>
      </c>
      <c r="Q45">
        <v>28.3</v>
      </c>
      <c r="R45">
        <v>28.1</v>
      </c>
      <c r="S45">
        <v>28.2</v>
      </c>
      <c r="T45">
        <v>28.4</v>
      </c>
      <c r="U45">
        <v>28.5</v>
      </c>
      <c r="V45">
        <v>28.6</v>
      </c>
      <c r="W45">
        <v>28.7</v>
      </c>
      <c r="X45">
        <v>28.8</v>
      </c>
      <c r="Y45">
        <v>28.9</v>
      </c>
      <c r="Z45">
        <v>29</v>
      </c>
      <c r="AA45">
        <v>29.1</v>
      </c>
      <c r="AB45">
        <v>29.2</v>
      </c>
    </row>
    <row r="46" spans="1:28" ht="14.5">
      <c r="A46" s="578"/>
      <c r="B46" t="s">
        <v>483</v>
      </c>
      <c r="C46" t="s">
        <v>455</v>
      </c>
      <c r="D46" t="s">
        <v>455</v>
      </c>
      <c r="E46" s="176">
        <v>2585710000</v>
      </c>
      <c r="F46" s="151" t="s">
        <v>484</v>
      </c>
      <c r="G46" t="s">
        <v>485</v>
      </c>
      <c r="I46" s="206">
        <v>2010</v>
      </c>
      <c r="J46" s="206">
        <v>2011</v>
      </c>
      <c r="K46" s="206">
        <v>2012</v>
      </c>
      <c r="L46" s="206">
        <v>2013</v>
      </c>
      <c r="M46" s="206">
        <v>2014</v>
      </c>
      <c r="N46" s="206">
        <v>2015</v>
      </c>
      <c r="O46" s="206">
        <v>2016</v>
      </c>
      <c r="P46" s="206">
        <v>2017</v>
      </c>
      <c r="Q46" s="206">
        <v>2018</v>
      </c>
      <c r="R46" s="206">
        <v>2019</v>
      </c>
      <c r="S46" s="206">
        <v>2020</v>
      </c>
      <c r="T46" s="206">
        <v>2021</v>
      </c>
      <c r="U46" s="206">
        <v>2022</v>
      </c>
      <c r="V46" s="206"/>
      <c r="W46" s="206"/>
      <c r="X46" s="206"/>
      <c r="Y46" s="206"/>
      <c r="Z46" s="206"/>
      <c r="AA46" s="206"/>
      <c r="AB46" s="206"/>
    </row>
    <row r="47" spans="1:28" ht="14.5">
      <c r="A47" s="578" t="s">
        <v>486</v>
      </c>
      <c r="B47" s="578" t="s">
        <v>670</v>
      </c>
      <c r="C47" t="s">
        <v>487</v>
      </c>
      <c r="D47" t="s">
        <v>455</v>
      </c>
      <c r="E47">
        <v>0.16339828669504847</v>
      </c>
      <c r="F47" s="212" t="s">
        <v>488</v>
      </c>
      <c r="G47" t="s">
        <v>489</v>
      </c>
      <c r="H47" t="s">
        <v>487</v>
      </c>
      <c r="I47">
        <v>0.1836924028064586</v>
      </c>
      <c r="J47">
        <v>0.1954191434165154</v>
      </c>
      <c r="K47">
        <v>0.18144481550569022</v>
      </c>
      <c r="L47">
        <v>0.18082657025641868</v>
      </c>
      <c r="M47">
        <v>0.16847683695434018</v>
      </c>
      <c r="N47">
        <v>0.13591821527181383</v>
      </c>
      <c r="O47">
        <v>0.1217939726451429</v>
      </c>
      <c r="P47">
        <v>0.10998709525159499</v>
      </c>
      <c r="Q47">
        <v>7.1742742102727894E-2</v>
      </c>
      <c r="R47">
        <v>5.3326061851893182E-2</v>
      </c>
      <c r="S47">
        <v>6.0102801845755623E-2</v>
      </c>
      <c r="T47">
        <v>0.1006573901011045</v>
      </c>
    </row>
    <row r="48" spans="1:28" ht="14.5">
      <c r="A48" s="578"/>
      <c r="B48" s="578"/>
      <c r="C48" t="s">
        <v>490</v>
      </c>
      <c r="D48" t="s">
        <v>455</v>
      </c>
      <c r="E48">
        <v>0.50247404956040653</v>
      </c>
      <c r="F48" s="212" t="s">
        <v>488</v>
      </c>
      <c r="G48" t="s">
        <v>489</v>
      </c>
      <c r="H48" t="s">
        <v>490</v>
      </c>
      <c r="I48">
        <v>0.46755362232770747</v>
      </c>
      <c r="J48">
        <v>0.42603702007784705</v>
      </c>
      <c r="K48">
        <v>0.36271729028221955</v>
      </c>
      <c r="L48">
        <v>0.31730877117743539</v>
      </c>
      <c r="M48">
        <v>0.3779792561214238</v>
      </c>
      <c r="N48">
        <v>0.42548574316575166</v>
      </c>
      <c r="O48">
        <v>0.46528304425002975</v>
      </c>
      <c r="P48">
        <v>0.4237885584618879</v>
      </c>
      <c r="Q48">
        <v>0.46833405532442424</v>
      </c>
      <c r="R48">
        <v>0.46197127834310431</v>
      </c>
      <c r="S48">
        <v>0.51112690515452186</v>
      </c>
      <c r="T48">
        <v>0.52563224662716301</v>
      </c>
    </row>
    <row r="49" spans="1:20" ht="14.5">
      <c r="A49" s="578"/>
      <c r="B49" s="578"/>
      <c r="C49" t="s">
        <v>491</v>
      </c>
      <c r="D49" t="s">
        <v>455</v>
      </c>
      <c r="E49">
        <v>0</v>
      </c>
      <c r="F49" s="212" t="s">
        <v>488</v>
      </c>
      <c r="G49" t="s">
        <v>489</v>
      </c>
      <c r="H49" t="s">
        <v>491</v>
      </c>
      <c r="I49">
        <v>0</v>
      </c>
      <c r="J49">
        <v>0</v>
      </c>
      <c r="K49">
        <v>0</v>
      </c>
      <c r="L49">
        <v>0</v>
      </c>
      <c r="M49">
        <v>0</v>
      </c>
      <c r="N49">
        <v>0</v>
      </c>
      <c r="O49">
        <v>0</v>
      </c>
      <c r="P49">
        <v>0</v>
      </c>
      <c r="Q49">
        <v>0</v>
      </c>
      <c r="R49">
        <v>0</v>
      </c>
      <c r="S49">
        <v>0</v>
      </c>
      <c r="T49">
        <v>0</v>
      </c>
    </row>
    <row r="50" spans="1:20" ht="14.5">
      <c r="A50" s="578"/>
      <c r="B50" s="578"/>
      <c r="C50" t="s">
        <v>492</v>
      </c>
      <c r="D50" t="s">
        <v>455</v>
      </c>
      <c r="E50">
        <v>0.18562756230068694</v>
      </c>
      <c r="F50" s="212" t="s">
        <v>488</v>
      </c>
      <c r="G50" t="s">
        <v>489</v>
      </c>
      <c r="H50" t="s">
        <v>492</v>
      </c>
      <c r="I50">
        <v>0.1650759039224069</v>
      </c>
      <c r="J50">
        <v>0.14934911470864698</v>
      </c>
      <c r="K50">
        <v>0.19536890863097733</v>
      </c>
      <c r="L50">
        <v>0.22478296135656911</v>
      </c>
      <c r="M50">
        <v>0.17454733718738374</v>
      </c>
      <c r="N50">
        <v>0.15856513628247532</v>
      </c>
      <c r="O50">
        <v>0.1328070242929407</v>
      </c>
      <c r="P50">
        <v>0.18580208357890521</v>
      </c>
      <c r="Q50">
        <v>0.1732782172420487</v>
      </c>
      <c r="R50">
        <v>0.18588423764123213</v>
      </c>
      <c r="S50">
        <v>0.19313146939331791</v>
      </c>
      <c r="T50">
        <v>0.12534216169567627</v>
      </c>
    </row>
    <row r="51" spans="1:20" ht="14.5">
      <c r="A51" s="578"/>
      <c r="B51" s="578"/>
      <c r="C51" t="s">
        <v>493</v>
      </c>
      <c r="D51" t="s">
        <v>455</v>
      </c>
      <c r="E51">
        <v>3.3738145663083481E-2</v>
      </c>
      <c r="F51" s="212" t="s">
        <v>488</v>
      </c>
      <c r="G51" t="s">
        <v>489</v>
      </c>
      <c r="H51" t="s">
        <v>493</v>
      </c>
      <c r="I51">
        <v>3.6163773955329923E-2</v>
      </c>
      <c r="J51">
        <v>4.8480982828474815E-2</v>
      </c>
      <c r="K51">
        <v>5.5812028116565729E-2</v>
      </c>
      <c r="L51">
        <v>5.9020745749493633E-2</v>
      </c>
      <c r="M51">
        <v>5.7668456566975626E-2</v>
      </c>
      <c r="N51">
        <v>6.6988366033214675E-2</v>
      </c>
      <c r="O51">
        <v>6.5982890446849782E-2</v>
      </c>
      <c r="P51">
        <v>6.8123168886214669E-2</v>
      </c>
      <c r="Q51">
        <v>7.6387554815103079E-2</v>
      </c>
      <c r="R51">
        <v>7.404736797190975E-2</v>
      </c>
      <c r="S51">
        <v>8.9701669605642936E-2</v>
      </c>
      <c r="T51">
        <v>9.1251480747678776E-2</v>
      </c>
    </row>
    <row r="52" spans="1:20" ht="14.5">
      <c r="A52" s="578"/>
      <c r="B52" s="578"/>
      <c r="C52" t="s">
        <v>494</v>
      </c>
      <c r="D52" t="s">
        <v>455</v>
      </c>
      <c r="E52">
        <v>6.3285906961202704E-2</v>
      </c>
      <c r="F52" s="212" t="s">
        <v>488</v>
      </c>
      <c r="G52" t="s">
        <v>489</v>
      </c>
      <c r="H52" t="s">
        <v>494</v>
      </c>
      <c r="I52">
        <v>5.7327452126225517E-2</v>
      </c>
      <c r="J52">
        <v>5.576326950568232E-2</v>
      </c>
      <c r="K52">
        <v>4.795942769540245E-2</v>
      </c>
      <c r="L52">
        <v>4.6179737831220098E-2</v>
      </c>
      <c r="M52">
        <v>4.4215165829851626E-2</v>
      </c>
      <c r="N52">
        <v>4.2604623065140866E-2</v>
      </c>
      <c r="O52">
        <v>3.9574927277496563E-2</v>
      </c>
      <c r="P52">
        <v>3.9203142715961529E-2</v>
      </c>
      <c r="Q52">
        <v>3.4606420804922905E-2</v>
      </c>
      <c r="R52">
        <v>3.5699817300653545E-2</v>
      </c>
      <c r="S52">
        <v>9.0342251214154748E-3</v>
      </c>
      <c r="T52">
        <v>1.6028752862988115E-2</v>
      </c>
    </row>
    <row r="53" spans="1:20" ht="14.5">
      <c r="A53" s="578"/>
      <c r="B53" s="578"/>
      <c r="C53" t="s">
        <v>495</v>
      </c>
      <c r="D53" t="s">
        <v>455</v>
      </c>
      <c r="E53">
        <v>7.0481844863299926E-3</v>
      </c>
      <c r="F53" s="212" t="s">
        <v>488</v>
      </c>
      <c r="G53" t="s">
        <v>489</v>
      </c>
      <c r="H53" t="s">
        <v>495</v>
      </c>
      <c r="I53">
        <v>3.9642024945586198E-2</v>
      </c>
      <c r="J53">
        <v>6.8205164701378149E-2</v>
      </c>
      <c r="K53">
        <v>8.0882583849103559E-2</v>
      </c>
      <c r="L53">
        <v>8.6738134697499497E-2</v>
      </c>
      <c r="M53">
        <v>8.9130377276187972E-2</v>
      </c>
      <c r="N53">
        <v>8.3710544251488661E-2</v>
      </c>
      <c r="O53">
        <v>9.0661711445930923E-2</v>
      </c>
      <c r="P53">
        <v>8.7108457153112606E-2</v>
      </c>
      <c r="Q53">
        <v>8.9571992141165499E-2</v>
      </c>
      <c r="R53">
        <v>9.8461249660908509E-2</v>
      </c>
      <c r="S53">
        <v>6.2987993035064319E-2</v>
      </c>
      <c r="T53">
        <v>7.0155821258486795E-2</v>
      </c>
    </row>
    <row r="54" spans="1:20" ht="14.5">
      <c r="A54" s="578"/>
      <c r="B54" s="578"/>
      <c r="C54" t="s">
        <v>496</v>
      </c>
      <c r="D54" t="s">
        <v>455</v>
      </c>
      <c r="E54">
        <v>0</v>
      </c>
      <c r="F54" s="212" t="s">
        <v>488</v>
      </c>
      <c r="G54" t="s">
        <v>489</v>
      </c>
      <c r="H54" t="s">
        <v>496</v>
      </c>
      <c r="I54">
        <v>0</v>
      </c>
      <c r="J54">
        <v>0</v>
      </c>
      <c r="K54">
        <v>0</v>
      </c>
      <c r="L54">
        <v>0</v>
      </c>
      <c r="M54">
        <v>0</v>
      </c>
      <c r="N54">
        <v>0</v>
      </c>
      <c r="O54">
        <v>0</v>
      </c>
      <c r="P54">
        <v>0</v>
      </c>
      <c r="Q54">
        <v>0</v>
      </c>
      <c r="R54">
        <v>0</v>
      </c>
      <c r="S54">
        <v>0</v>
      </c>
      <c r="T54">
        <v>0</v>
      </c>
    </row>
    <row r="55" spans="1:20" ht="14.5">
      <c r="A55" s="578"/>
      <c r="B55" s="578"/>
      <c r="C55" t="s">
        <v>497</v>
      </c>
      <c r="D55" t="s">
        <v>455</v>
      </c>
      <c r="E55">
        <v>4.4427864333241938E-2</v>
      </c>
      <c r="F55" s="212" t="s">
        <v>488</v>
      </c>
      <c r="G55" t="s">
        <v>489</v>
      </c>
      <c r="H55" t="s">
        <v>497</v>
      </c>
      <c r="I55">
        <v>5.0544819916285399E-2</v>
      </c>
      <c r="J55">
        <v>5.6745304761455305E-2</v>
      </c>
      <c r="K55">
        <v>7.5814945920041177E-2</v>
      </c>
      <c r="L55">
        <v>8.5143078931363692E-2</v>
      </c>
      <c r="M55">
        <v>8.7982570063837001E-2</v>
      </c>
      <c r="N55">
        <v>8.6727371930114885E-2</v>
      </c>
      <c r="O55">
        <v>8.3896429641609219E-2</v>
      </c>
      <c r="P55">
        <v>8.5987493952323107E-2</v>
      </c>
      <c r="Q55">
        <v>8.6079017569607771E-2</v>
      </c>
      <c r="R55">
        <v>9.0609987230298616E-2</v>
      </c>
      <c r="S55">
        <v>7.3914935844281909E-2</v>
      </c>
      <c r="T55">
        <v>7.093214670690251E-2</v>
      </c>
    </row>
    <row r="56" spans="1:20">
      <c r="A56" s="578"/>
      <c r="B56" s="578" t="s">
        <v>498</v>
      </c>
      <c r="C56" t="s">
        <v>487</v>
      </c>
      <c r="D56" t="s">
        <v>455</v>
      </c>
      <c r="E56">
        <v>0.50619097817317704</v>
      </c>
      <c r="F56" t="s">
        <v>499</v>
      </c>
      <c r="G56" t="s">
        <v>500</v>
      </c>
      <c r="H56" t="s">
        <v>487</v>
      </c>
      <c r="I56">
        <v>0.57310127988572335</v>
      </c>
      <c r="J56">
        <v>0.61899473742803302</v>
      </c>
      <c r="K56">
        <v>0.55476451284673212</v>
      </c>
      <c r="L56">
        <v>0.54036428384569024</v>
      </c>
      <c r="M56">
        <v>0.53160498959910962</v>
      </c>
      <c r="N56">
        <v>0.50337391895357375</v>
      </c>
      <c r="O56">
        <v>0.46636867767853718</v>
      </c>
      <c r="P56">
        <v>0.41307471402454393</v>
      </c>
      <c r="Q56">
        <v>0.28360750883128089</v>
      </c>
    </row>
    <row r="57" spans="1:20">
      <c r="A57" s="578"/>
      <c r="B57" s="578"/>
      <c r="C57" t="s">
        <v>490</v>
      </c>
      <c r="D57" t="s">
        <v>455</v>
      </c>
      <c r="E57">
        <v>0.44499175009336961</v>
      </c>
      <c r="F57" t="s">
        <v>499</v>
      </c>
      <c r="G57" t="s">
        <v>500</v>
      </c>
      <c r="H57" t="s">
        <v>490</v>
      </c>
      <c r="I57">
        <v>0.40445000887312083</v>
      </c>
      <c r="J57">
        <v>0.35390008988422805</v>
      </c>
      <c r="K57">
        <v>0.29766804542951059</v>
      </c>
      <c r="L57">
        <v>0.2560068222262511</v>
      </c>
      <c r="M57">
        <v>0.30251548144670315</v>
      </c>
      <c r="N57">
        <v>0.34460416338037742</v>
      </c>
      <c r="O57">
        <v>0.38339844939162726</v>
      </c>
      <c r="P57">
        <v>0.34962582904841771</v>
      </c>
      <c r="Q57">
        <v>0.38539271001417508</v>
      </c>
    </row>
    <row r="58" spans="1:20">
      <c r="A58" s="578"/>
      <c r="B58" s="578"/>
      <c r="C58" t="s">
        <v>491</v>
      </c>
      <c r="D58" t="s">
        <v>455</v>
      </c>
      <c r="E58">
        <v>0</v>
      </c>
      <c r="F58" t="s">
        <v>499</v>
      </c>
      <c r="G58" t="s">
        <v>500</v>
      </c>
      <c r="H58" t="s">
        <v>491</v>
      </c>
      <c r="I58">
        <v>0</v>
      </c>
      <c r="J58">
        <v>0</v>
      </c>
      <c r="K58">
        <v>0</v>
      </c>
      <c r="L58">
        <v>0</v>
      </c>
      <c r="M58">
        <v>0</v>
      </c>
      <c r="N58">
        <v>0</v>
      </c>
      <c r="O58">
        <v>0</v>
      </c>
      <c r="P58">
        <v>0</v>
      </c>
      <c r="Q58">
        <v>0</v>
      </c>
    </row>
    <row r="59" spans="1:20">
      <c r="A59" s="578"/>
      <c r="B59" s="578"/>
      <c r="C59" t="s">
        <v>492</v>
      </c>
      <c r="D59" t="s">
        <v>455</v>
      </c>
      <c r="E59">
        <v>0.32574214436072918</v>
      </c>
      <c r="F59" t="s">
        <v>499</v>
      </c>
      <c r="G59" t="s">
        <v>500</v>
      </c>
      <c r="H59" t="s">
        <v>492</v>
      </c>
      <c r="I59">
        <v>0.28801583327089808</v>
      </c>
      <c r="J59">
        <v>0.26133997285165839</v>
      </c>
      <c r="K59">
        <v>0.3282842225827346</v>
      </c>
      <c r="L59">
        <v>0.36252561517398735</v>
      </c>
      <c r="M59">
        <v>0.27996646637527273</v>
      </c>
      <c r="N59">
        <v>0.25983155641142708</v>
      </c>
      <c r="O59">
        <v>0.2192174540251077</v>
      </c>
      <c r="P59">
        <v>0.29553231134957869</v>
      </c>
      <c r="Q59">
        <v>0.27955237003882927</v>
      </c>
    </row>
    <row r="60" spans="1:20">
      <c r="A60" s="578"/>
      <c r="B60" s="578"/>
      <c r="C60" t="s">
        <v>493</v>
      </c>
      <c r="D60" t="s">
        <v>455</v>
      </c>
      <c r="E60">
        <v>0.17984854220392582</v>
      </c>
      <c r="F60" t="s">
        <v>499</v>
      </c>
      <c r="G60" t="s">
        <v>500</v>
      </c>
      <c r="H60" t="s">
        <v>493</v>
      </c>
      <c r="I60">
        <v>0.16262937209823064</v>
      </c>
      <c r="J60">
        <v>0.1889032275699444</v>
      </c>
      <c r="K60">
        <v>0.19908293588810166</v>
      </c>
      <c r="L60">
        <v>0.19954897961008153</v>
      </c>
      <c r="M60">
        <v>0.18545551905719279</v>
      </c>
      <c r="N60">
        <v>0.21518058037191448</v>
      </c>
      <c r="O60">
        <v>0.20801301954422224</v>
      </c>
      <c r="P60">
        <v>0.19769091967833574</v>
      </c>
      <c r="Q60">
        <v>0.21594464526363932</v>
      </c>
    </row>
    <row r="61" spans="1:20">
      <c r="A61" s="578"/>
      <c r="B61" s="578"/>
      <c r="C61" t="s">
        <v>494</v>
      </c>
      <c r="D61" t="s">
        <v>455</v>
      </c>
      <c r="E61">
        <v>0.37</v>
      </c>
      <c r="F61" t="s">
        <v>499</v>
      </c>
      <c r="G61" t="s">
        <v>501</v>
      </c>
      <c r="H61" t="s">
        <v>494</v>
      </c>
      <c r="I61">
        <v>0.36999999999999994</v>
      </c>
      <c r="J61">
        <v>0.37</v>
      </c>
      <c r="K61">
        <v>0.37</v>
      </c>
      <c r="L61">
        <v>0.36999999999999994</v>
      </c>
      <c r="M61">
        <v>0.36999999999999994</v>
      </c>
      <c r="N61">
        <v>0.37</v>
      </c>
      <c r="O61">
        <v>0.37</v>
      </c>
      <c r="P61">
        <v>0.36999999999999994</v>
      </c>
      <c r="Q61">
        <v>0.37</v>
      </c>
    </row>
    <row r="62" spans="1:20">
      <c r="A62" s="578"/>
      <c r="B62" s="578"/>
      <c r="C62" t="s">
        <v>495</v>
      </c>
      <c r="D62" t="s">
        <v>455</v>
      </c>
      <c r="E62">
        <v>6.0562697674182098E-2</v>
      </c>
      <c r="F62" t="s">
        <v>499</v>
      </c>
      <c r="G62" t="s">
        <v>500</v>
      </c>
      <c r="H62" t="s">
        <v>495</v>
      </c>
      <c r="I62">
        <v>9.3853360012157092E-2</v>
      </c>
      <c r="J62">
        <v>0.12827916314713478</v>
      </c>
      <c r="K62">
        <v>0.1355212849166921</v>
      </c>
      <c r="L62">
        <v>0.13694679459127337</v>
      </c>
      <c r="M62">
        <v>0.13856259930679418</v>
      </c>
      <c r="N62">
        <v>0.13085708849468039</v>
      </c>
      <c r="O62">
        <v>0.14138818690795765</v>
      </c>
      <c r="P62">
        <v>0.12861087255215162</v>
      </c>
      <c r="Q62">
        <v>0.12960348371958305</v>
      </c>
    </row>
    <row r="63" spans="1:20">
      <c r="A63" s="578"/>
      <c r="B63" s="578"/>
      <c r="C63" t="s">
        <v>496</v>
      </c>
      <c r="D63" t="s">
        <v>455</v>
      </c>
      <c r="E63">
        <v>0</v>
      </c>
      <c r="F63" t="s">
        <v>499</v>
      </c>
      <c r="G63" t="s">
        <v>500</v>
      </c>
      <c r="H63" t="s">
        <v>496</v>
      </c>
      <c r="I63">
        <v>0</v>
      </c>
      <c r="J63">
        <v>0</v>
      </c>
      <c r="K63">
        <v>0</v>
      </c>
      <c r="L63">
        <v>0</v>
      </c>
      <c r="M63">
        <v>0</v>
      </c>
      <c r="N63">
        <v>0</v>
      </c>
      <c r="O63">
        <v>0</v>
      </c>
      <c r="P63">
        <v>0</v>
      </c>
      <c r="Q63">
        <v>0</v>
      </c>
    </row>
    <row r="64" spans="1:20">
      <c r="A64" s="578"/>
      <c r="B64" s="578"/>
      <c r="C64" t="s">
        <v>497</v>
      </c>
      <c r="D64" t="s">
        <v>455</v>
      </c>
      <c r="E64">
        <v>0.63082989865370043</v>
      </c>
      <c r="F64" t="s">
        <v>499</v>
      </c>
      <c r="G64" t="s">
        <v>500</v>
      </c>
      <c r="H64" t="s">
        <v>497</v>
      </c>
      <c r="I64">
        <v>0.59267006262732569</v>
      </c>
      <c r="J64">
        <v>0.48939478120363289</v>
      </c>
      <c r="K64">
        <v>0.60908650663172859</v>
      </c>
      <c r="L64">
        <v>0.64904534195091756</v>
      </c>
      <c r="M64">
        <v>0.67820820429826245</v>
      </c>
      <c r="N64">
        <v>0.66986539438420889</v>
      </c>
      <c r="O64">
        <v>0.66301615806870617</v>
      </c>
      <c r="P64">
        <v>0.6485832899315026</v>
      </c>
      <c r="Q64">
        <v>0.66236020216075364</v>
      </c>
    </row>
    <row r="65" spans="1:7" ht="14.5">
      <c r="A65" s="578"/>
      <c r="B65" s="578" t="s">
        <v>671</v>
      </c>
      <c r="C65" t="s">
        <v>487</v>
      </c>
      <c r="D65" t="s">
        <v>455</v>
      </c>
      <c r="E65">
        <v>0</v>
      </c>
      <c r="F65" s="212" t="s">
        <v>469</v>
      </c>
      <c r="G65" s="442">
        <v>0</v>
      </c>
    </row>
    <row r="66" spans="1:7" ht="14.5">
      <c r="A66" s="578"/>
      <c r="B66" s="578"/>
      <c r="C66" t="s">
        <v>490</v>
      </c>
      <c r="D66" t="s">
        <v>455</v>
      </c>
      <c r="E66">
        <v>0</v>
      </c>
      <c r="F66" s="212" t="s">
        <v>469</v>
      </c>
      <c r="G66" s="442">
        <v>0</v>
      </c>
    </row>
    <row r="67" spans="1:7" ht="14.5">
      <c r="A67" s="578"/>
      <c r="B67" s="578"/>
      <c r="C67" t="s">
        <v>491</v>
      </c>
      <c r="D67" t="s">
        <v>455</v>
      </c>
      <c r="E67">
        <v>0</v>
      </c>
      <c r="F67" s="212" t="s">
        <v>469</v>
      </c>
      <c r="G67" s="442">
        <v>0</v>
      </c>
    </row>
    <row r="68" spans="1:7" ht="14.5">
      <c r="A68" s="578"/>
      <c r="B68" s="578"/>
      <c r="C68" t="s">
        <v>492</v>
      </c>
      <c r="D68" t="s">
        <v>455</v>
      </c>
      <c r="E68">
        <v>6.9038043729487353E-2</v>
      </c>
      <c r="F68" s="212" t="s">
        <v>469</v>
      </c>
      <c r="G68" s="442">
        <v>6.9038043729487353E-2</v>
      </c>
    </row>
    <row r="69" spans="1:7" ht="14.5">
      <c r="A69" s="578"/>
      <c r="B69" s="578"/>
      <c r="C69" t="s">
        <v>493</v>
      </c>
      <c r="D69" t="s">
        <v>455</v>
      </c>
      <c r="E69">
        <v>0.18958766699024601</v>
      </c>
      <c r="F69" s="212" t="s">
        <v>469</v>
      </c>
      <c r="G69" s="442">
        <v>0.23958766699024639</v>
      </c>
    </row>
    <row r="70" spans="1:7" ht="14.5">
      <c r="A70" s="578"/>
      <c r="B70" s="578"/>
      <c r="C70" t="s">
        <v>494</v>
      </c>
      <c r="D70" t="s">
        <v>455</v>
      </c>
      <c r="E70">
        <v>0</v>
      </c>
      <c r="F70" s="212" t="s">
        <v>469</v>
      </c>
      <c r="G70" s="442">
        <v>0</v>
      </c>
    </row>
    <row r="71" spans="1:7" ht="14.5">
      <c r="A71" s="578"/>
      <c r="B71" s="578"/>
      <c r="C71" t="s">
        <v>495</v>
      </c>
      <c r="D71" t="s">
        <v>455</v>
      </c>
      <c r="E71">
        <v>0.52611057181158405</v>
      </c>
      <c r="F71" s="212" t="s">
        <v>469</v>
      </c>
      <c r="G71" s="442">
        <v>0.5761105718115842</v>
      </c>
    </row>
    <row r="72" spans="1:7" ht="14.5">
      <c r="A72" s="578"/>
      <c r="B72" s="578"/>
      <c r="C72" t="s">
        <v>496</v>
      </c>
      <c r="D72" t="s">
        <v>455</v>
      </c>
      <c r="E72">
        <v>0</v>
      </c>
      <c r="F72" s="212" t="s">
        <v>469</v>
      </c>
      <c r="G72" s="442">
        <v>0</v>
      </c>
    </row>
    <row r="73" spans="1:7" ht="14.5">
      <c r="A73" s="578"/>
      <c r="B73" s="578"/>
      <c r="C73" t="s">
        <v>497</v>
      </c>
      <c r="D73" t="s">
        <v>455</v>
      </c>
      <c r="E73">
        <v>0.21</v>
      </c>
      <c r="F73" s="212" t="s">
        <v>469</v>
      </c>
      <c r="G73" s="442">
        <v>0.11526371746868212</v>
      </c>
    </row>
    <row r="74" spans="1:7" ht="14.5">
      <c r="A74" s="578"/>
      <c r="B74" s="208" t="s">
        <v>672</v>
      </c>
      <c r="C74" t="s">
        <v>490</v>
      </c>
      <c r="D74" t="s">
        <v>455</v>
      </c>
      <c r="E74">
        <v>4.5178662229001999E-2</v>
      </c>
      <c r="F74" s="151" t="s">
        <v>469</v>
      </c>
      <c r="G74" s="584">
        <v>9.5178662229001995E-2</v>
      </c>
    </row>
    <row r="75" spans="1:7" ht="14.5">
      <c r="A75" s="578"/>
      <c r="B75" s="578" t="s">
        <v>502</v>
      </c>
      <c r="C75" t="s">
        <v>487</v>
      </c>
      <c r="D75" t="s">
        <v>455</v>
      </c>
      <c r="E75">
        <v>0</v>
      </c>
      <c r="F75" s="151" t="s">
        <v>469</v>
      </c>
    </row>
    <row r="76" spans="1:7" ht="14.5">
      <c r="A76" s="578"/>
      <c r="B76" s="578"/>
      <c r="C76" t="s">
        <v>490</v>
      </c>
      <c r="D76" t="s">
        <v>455</v>
      </c>
      <c r="E76">
        <v>0.30565105604740783</v>
      </c>
      <c r="F76" s="151" t="s">
        <v>469</v>
      </c>
    </row>
    <row r="77" spans="1:7" ht="14.5">
      <c r="A77" s="578"/>
      <c r="B77" s="578"/>
      <c r="C77" t="s">
        <v>491</v>
      </c>
      <c r="D77" t="s">
        <v>455</v>
      </c>
      <c r="E77">
        <v>0</v>
      </c>
      <c r="F77" s="151" t="s">
        <v>469</v>
      </c>
    </row>
    <row r="78" spans="1:7" ht="14.5">
      <c r="A78" s="578"/>
      <c r="B78" s="578"/>
      <c r="C78" t="s">
        <v>492</v>
      </c>
      <c r="D78" t="s">
        <v>455</v>
      </c>
      <c r="E78">
        <v>0.17370439896068127</v>
      </c>
      <c r="F78" s="151" t="s">
        <v>469</v>
      </c>
    </row>
    <row r="79" spans="1:7" ht="14.5">
      <c r="A79" s="578"/>
      <c r="B79" s="578"/>
      <c r="C79" t="s">
        <v>493</v>
      </c>
      <c r="D79" t="s">
        <v>455</v>
      </c>
      <c r="E79">
        <v>0.17272417651924293</v>
      </c>
      <c r="F79" s="151" t="s">
        <v>469</v>
      </c>
    </row>
    <row r="80" spans="1:7" ht="14.5">
      <c r="A80" s="578"/>
      <c r="B80" s="578"/>
      <c r="C80" t="s">
        <v>494</v>
      </c>
      <c r="D80" t="s">
        <v>455</v>
      </c>
      <c r="E80">
        <v>0</v>
      </c>
      <c r="F80" s="151" t="s">
        <v>469</v>
      </c>
    </row>
    <row r="81" spans="1:7" ht="14.5">
      <c r="A81" s="578"/>
      <c r="B81" s="578"/>
      <c r="C81" t="s">
        <v>495</v>
      </c>
      <c r="D81" t="s">
        <v>455</v>
      </c>
      <c r="E81">
        <v>0.15460952999099861</v>
      </c>
      <c r="F81" s="151" t="s">
        <v>469</v>
      </c>
    </row>
    <row r="82" spans="1:7" ht="14.5">
      <c r="A82" s="578"/>
      <c r="B82" s="578"/>
      <c r="C82" t="s">
        <v>496</v>
      </c>
      <c r="D82" t="s">
        <v>455</v>
      </c>
      <c r="E82">
        <v>0</v>
      </c>
      <c r="F82" s="151" t="s">
        <v>469</v>
      </c>
    </row>
    <row r="83" spans="1:7" ht="14.5">
      <c r="A83" s="578"/>
      <c r="B83" s="578"/>
      <c r="C83" t="s">
        <v>497</v>
      </c>
      <c r="D83" t="s">
        <v>455</v>
      </c>
      <c r="E83">
        <v>0.83719446682782706</v>
      </c>
      <c r="F83" s="151" t="s">
        <v>469</v>
      </c>
    </row>
    <row r="84" spans="1:7">
      <c r="A84" s="578" t="s">
        <v>503</v>
      </c>
      <c r="B84" s="578" t="s">
        <v>673</v>
      </c>
      <c r="C84" t="s">
        <v>487</v>
      </c>
      <c r="D84" t="s">
        <v>455</v>
      </c>
      <c r="E84">
        <v>1638768406.8916667</v>
      </c>
      <c r="F84" t="s">
        <v>504</v>
      </c>
      <c r="G84" t="s">
        <v>505</v>
      </c>
    </row>
    <row r="85" spans="1:7">
      <c r="A85" s="578"/>
      <c r="B85" s="578"/>
      <c r="C85" t="s">
        <v>490</v>
      </c>
      <c r="D85" t="s">
        <v>455</v>
      </c>
      <c r="E85">
        <v>571611538.27146399</v>
      </c>
      <c r="F85" t="s">
        <v>504</v>
      </c>
      <c r="G85" t="s">
        <v>505</v>
      </c>
    </row>
    <row r="86" spans="1:7">
      <c r="A86" s="578"/>
      <c r="B86" s="578"/>
      <c r="C86" t="s">
        <v>491</v>
      </c>
      <c r="D86" t="s">
        <v>455</v>
      </c>
      <c r="E86">
        <v>3585659820.431756</v>
      </c>
      <c r="F86" t="s">
        <v>504</v>
      </c>
      <c r="G86" t="s">
        <v>505</v>
      </c>
    </row>
    <row r="87" spans="1:7">
      <c r="A87" s="578"/>
      <c r="B87" s="578"/>
      <c r="C87" t="s">
        <v>493</v>
      </c>
      <c r="D87" t="s">
        <v>455</v>
      </c>
      <c r="E87">
        <v>1980376832.3625782</v>
      </c>
      <c r="F87" t="s">
        <v>504</v>
      </c>
      <c r="G87" t="s">
        <v>505</v>
      </c>
    </row>
    <row r="88" spans="1:7">
      <c r="A88" s="578"/>
      <c r="B88" s="578"/>
      <c r="C88" t="s">
        <v>494</v>
      </c>
      <c r="D88" t="s">
        <v>455</v>
      </c>
      <c r="E88">
        <v>948875153.53063047</v>
      </c>
      <c r="F88" t="s">
        <v>504</v>
      </c>
      <c r="G88" t="s">
        <v>505</v>
      </c>
    </row>
    <row r="89" spans="1:7">
      <c r="A89" s="578"/>
      <c r="B89" s="578"/>
      <c r="C89" t="s">
        <v>495</v>
      </c>
      <c r="D89" t="s">
        <v>455</v>
      </c>
      <c r="E89">
        <v>4039955006.6836762</v>
      </c>
      <c r="F89" t="s">
        <v>504</v>
      </c>
      <c r="G89" t="s">
        <v>505</v>
      </c>
    </row>
    <row r="90" spans="1:7">
      <c r="A90" s="578"/>
      <c r="B90" s="578"/>
      <c r="C90" t="s">
        <v>496</v>
      </c>
      <c r="D90" t="s">
        <v>455</v>
      </c>
      <c r="E90">
        <v>4039955006.6836801</v>
      </c>
      <c r="F90" t="s">
        <v>504</v>
      </c>
      <c r="G90" t="s">
        <v>505</v>
      </c>
    </row>
    <row r="91" spans="1:7">
      <c r="A91" s="578"/>
      <c r="B91" t="s">
        <v>506</v>
      </c>
      <c r="C91" t="s">
        <v>497</v>
      </c>
      <c r="D91" t="s">
        <v>455</v>
      </c>
      <c r="E91" s="176">
        <v>2905198941.7448726</v>
      </c>
      <c r="F91" t="s">
        <v>504</v>
      </c>
      <c r="G91" t="s">
        <v>507</v>
      </c>
    </row>
    <row r="92" spans="1:7">
      <c r="A92" s="578"/>
      <c r="B92" t="s">
        <v>508</v>
      </c>
      <c r="C92" t="s">
        <v>497</v>
      </c>
      <c r="D92" t="s">
        <v>455</v>
      </c>
      <c r="E92" s="176">
        <v>2981589188.3073792</v>
      </c>
      <c r="F92" t="s">
        <v>509</v>
      </c>
      <c r="G92" t="s">
        <v>507</v>
      </c>
    </row>
    <row r="93" spans="1:7" ht="14.5">
      <c r="A93" s="578"/>
      <c r="B93" s="141" t="s">
        <v>510</v>
      </c>
      <c r="C93" s="141" t="s">
        <v>492</v>
      </c>
      <c r="D93" s="141" t="s">
        <v>455</v>
      </c>
      <c r="E93" s="141">
        <v>4485904213.8271761</v>
      </c>
      <c r="F93" s="141" t="s">
        <v>504</v>
      </c>
      <c r="G93" t="s">
        <v>507</v>
      </c>
    </row>
    <row r="94" spans="1:7" ht="14.5">
      <c r="A94" s="578"/>
      <c r="B94" s="141" t="s">
        <v>511</v>
      </c>
      <c r="C94" s="141" t="s">
        <v>492</v>
      </c>
      <c r="D94" s="141" t="s">
        <v>455</v>
      </c>
      <c r="E94" s="141">
        <v>3838481905.2656083</v>
      </c>
      <c r="F94" s="141" t="s">
        <v>509</v>
      </c>
      <c r="G94" t="s">
        <v>507</v>
      </c>
    </row>
    <row r="95" spans="1:7">
      <c r="A95" s="578"/>
      <c r="B95" s="578" t="s">
        <v>512</v>
      </c>
      <c r="C95" t="s">
        <v>487</v>
      </c>
      <c r="D95" t="s">
        <v>455</v>
      </c>
      <c r="E95">
        <v>9963.1661915105433</v>
      </c>
      <c r="F95" t="s">
        <v>504</v>
      </c>
      <c r="G95" t="s">
        <v>500</v>
      </c>
    </row>
    <row r="96" spans="1:7">
      <c r="A96" s="578"/>
      <c r="B96" s="578"/>
      <c r="C96" t="s">
        <v>490</v>
      </c>
      <c r="D96" t="s">
        <v>455</v>
      </c>
      <c r="E96">
        <v>34851.859503201566</v>
      </c>
      <c r="F96" t="s">
        <v>504</v>
      </c>
      <c r="G96" t="s">
        <v>500</v>
      </c>
    </row>
    <row r="97" spans="1:7">
      <c r="A97" s="578"/>
      <c r="B97" s="578"/>
      <c r="C97" t="s">
        <v>491</v>
      </c>
      <c r="D97" t="s">
        <v>455</v>
      </c>
      <c r="E97">
        <v>0</v>
      </c>
      <c r="F97" t="s">
        <v>504</v>
      </c>
      <c r="G97" t="s">
        <v>500</v>
      </c>
    </row>
    <row r="98" spans="1:7">
      <c r="A98" s="578"/>
      <c r="B98" s="578"/>
      <c r="C98" t="s">
        <v>492</v>
      </c>
      <c r="D98" t="s">
        <v>455</v>
      </c>
      <c r="E98">
        <v>17588.661350787446</v>
      </c>
      <c r="F98" t="s">
        <v>504</v>
      </c>
      <c r="G98" t="s">
        <v>500</v>
      </c>
    </row>
    <row r="99" spans="1:7">
      <c r="A99" s="578"/>
      <c r="B99" s="578"/>
      <c r="C99" t="s">
        <v>493</v>
      </c>
      <c r="D99" t="s">
        <v>455</v>
      </c>
      <c r="E99">
        <v>5790</v>
      </c>
      <c r="F99" t="s">
        <v>504</v>
      </c>
      <c r="G99" t="s">
        <v>500</v>
      </c>
    </row>
    <row r="100" spans="1:7">
      <c r="A100" s="578"/>
      <c r="B100" s="578"/>
      <c r="C100" t="s">
        <v>494</v>
      </c>
      <c r="D100" t="s">
        <v>455</v>
      </c>
      <c r="E100">
        <v>3870.1962236208806</v>
      </c>
      <c r="F100" t="s">
        <v>513</v>
      </c>
    </row>
    <row r="101" spans="1:7">
      <c r="A101" s="578"/>
      <c r="B101" s="578"/>
      <c r="C101" t="s">
        <v>495</v>
      </c>
      <c r="D101" t="s">
        <v>455</v>
      </c>
      <c r="E101">
        <v>3592</v>
      </c>
      <c r="F101" t="s">
        <v>504</v>
      </c>
      <c r="G101" t="s">
        <v>500</v>
      </c>
    </row>
    <row r="102" spans="1:7">
      <c r="A102" s="578"/>
      <c r="B102" s="578"/>
      <c r="C102" t="s">
        <v>496</v>
      </c>
      <c r="D102" t="s">
        <v>455</v>
      </c>
      <c r="E102">
        <v>0</v>
      </c>
      <c r="F102" t="s">
        <v>504</v>
      </c>
      <c r="G102" t="s">
        <v>500</v>
      </c>
    </row>
    <row r="103" spans="1:7">
      <c r="A103" s="578"/>
      <c r="B103" s="578"/>
      <c r="C103" t="s">
        <v>497</v>
      </c>
      <c r="D103" t="s">
        <v>455</v>
      </c>
      <c r="E103">
        <v>2173.7392379829353</v>
      </c>
      <c r="F103" t="s">
        <v>504</v>
      </c>
      <c r="G103" t="s">
        <v>500</v>
      </c>
    </row>
    <row r="104" spans="1:7">
      <c r="A104" s="578"/>
      <c r="B104" s="578" t="s">
        <v>514</v>
      </c>
      <c r="C104" t="s">
        <v>487</v>
      </c>
      <c r="D104" t="s">
        <v>455</v>
      </c>
      <c r="E104">
        <v>1.2443564729892387</v>
      </c>
      <c r="F104" t="s">
        <v>504</v>
      </c>
      <c r="G104" t="s">
        <v>515</v>
      </c>
    </row>
    <row r="105" spans="1:7">
      <c r="A105" s="578"/>
      <c r="B105" s="578"/>
      <c r="C105" t="s">
        <v>490</v>
      </c>
      <c r="D105" t="s">
        <v>455</v>
      </c>
      <c r="E105">
        <v>1086.5102673936708</v>
      </c>
      <c r="F105" t="s">
        <v>504</v>
      </c>
      <c r="G105" t="s">
        <v>515</v>
      </c>
    </row>
    <row r="106" spans="1:7">
      <c r="A106" s="578"/>
      <c r="B106" s="578"/>
      <c r="C106" t="s">
        <v>491</v>
      </c>
      <c r="D106" t="s">
        <v>455</v>
      </c>
      <c r="E106">
        <v>0</v>
      </c>
      <c r="F106" t="s">
        <v>504</v>
      </c>
      <c r="G106" t="s">
        <v>515</v>
      </c>
    </row>
    <row r="107" spans="1:7">
      <c r="A107" s="578"/>
      <c r="B107" s="578"/>
      <c r="C107" t="s">
        <v>492</v>
      </c>
      <c r="D107" t="s">
        <v>455</v>
      </c>
      <c r="E107">
        <v>229.34747489990332</v>
      </c>
      <c r="F107" t="s">
        <v>504</v>
      </c>
      <c r="G107" t="s">
        <v>515</v>
      </c>
    </row>
    <row r="108" spans="1:7">
      <c r="A108" s="578"/>
      <c r="B108" s="578"/>
      <c r="C108" t="s">
        <v>493</v>
      </c>
      <c r="D108" t="s">
        <v>455</v>
      </c>
      <c r="E108">
        <v>1123</v>
      </c>
      <c r="F108" t="s">
        <v>504</v>
      </c>
      <c r="G108" t="s">
        <v>515</v>
      </c>
    </row>
    <row r="109" spans="1:7">
      <c r="A109" s="578"/>
      <c r="B109" s="578"/>
      <c r="C109" t="s">
        <v>494</v>
      </c>
      <c r="D109" t="s">
        <v>455</v>
      </c>
      <c r="E109">
        <v>0</v>
      </c>
      <c r="F109" t="s">
        <v>516</v>
      </c>
      <c r="G109" t="s">
        <v>517</v>
      </c>
    </row>
    <row r="110" spans="1:7">
      <c r="A110" s="578"/>
      <c r="B110" s="578"/>
      <c r="C110" t="s">
        <v>495</v>
      </c>
      <c r="D110" t="s">
        <v>455</v>
      </c>
      <c r="E110">
        <v>9539</v>
      </c>
      <c r="F110" t="s">
        <v>504</v>
      </c>
      <c r="G110" t="s">
        <v>515</v>
      </c>
    </row>
    <row r="111" spans="1:7">
      <c r="A111" s="578"/>
      <c r="B111" s="578"/>
      <c r="C111" t="s">
        <v>496</v>
      </c>
      <c r="D111" t="s">
        <v>455</v>
      </c>
      <c r="E111">
        <v>0</v>
      </c>
      <c r="F111" t="s">
        <v>504</v>
      </c>
      <c r="G111" t="s">
        <v>515</v>
      </c>
    </row>
    <row r="112" spans="1:7">
      <c r="A112" s="578"/>
      <c r="B112" s="578"/>
      <c r="C112" t="s">
        <v>497</v>
      </c>
      <c r="D112" t="s">
        <v>455</v>
      </c>
      <c r="E112">
        <v>477.53992902706068</v>
      </c>
      <c r="F112" t="s">
        <v>504</v>
      </c>
      <c r="G112" t="s">
        <v>515</v>
      </c>
    </row>
    <row r="113" spans="1:6">
      <c r="A113" s="578"/>
      <c r="B113" s="578" t="s">
        <v>518</v>
      </c>
      <c r="C113" t="s">
        <v>487</v>
      </c>
      <c r="D113" t="s">
        <v>455</v>
      </c>
      <c r="E113">
        <v>-0.12500636106703261</v>
      </c>
      <c r="F113" t="s">
        <v>504</v>
      </c>
    </row>
    <row r="114" spans="1:6">
      <c r="A114" s="578"/>
      <c r="B114" s="578"/>
      <c r="C114" t="s">
        <v>490</v>
      </c>
      <c r="D114" t="s">
        <v>455</v>
      </c>
      <c r="E114">
        <v>-0.21759143507262679</v>
      </c>
      <c r="F114" t="s">
        <v>504</v>
      </c>
    </row>
    <row r="115" spans="1:6">
      <c r="A115" s="578"/>
      <c r="B115" s="578"/>
      <c r="C115" t="s">
        <v>491</v>
      </c>
      <c r="D115" t="s">
        <v>455</v>
      </c>
      <c r="E115">
        <v>1.4355292977070055E-2</v>
      </c>
      <c r="F115" t="s">
        <v>504</v>
      </c>
    </row>
    <row r="116" spans="1:6">
      <c r="A116" s="578"/>
      <c r="B116" s="578"/>
      <c r="C116" t="s">
        <v>492</v>
      </c>
      <c r="D116" t="s">
        <v>455</v>
      </c>
      <c r="E116">
        <v>-2.0340448284175534E-2</v>
      </c>
      <c r="F116" t="s">
        <v>504</v>
      </c>
    </row>
    <row r="117" spans="1:6">
      <c r="A117" s="578"/>
      <c r="B117" s="578"/>
      <c r="C117" t="s">
        <v>493</v>
      </c>
      <c r="D117" t="s">
        <v>455</v>
      </c>
      <c r="E117">
        <v>-0.18442457113742744</v>
      </c>
      <c r="F117" t="s">
        <v>504</v>
      </c>
    </row>
    <row r="118" spans="1:6">
      <c r="A118" s="578"/>
      <c r="B118" s="578"/>
      <c r="C118" t="s">
        <v>494</v>
      </c>
      <c r="D118" t="s">
        <v>455</v>
      </c>
      <c r="E118">
        <v>-0.21759143507262679</v>
      </c>
      <c r="F118" t="s">
        <v>504</v>
      </c>
    </row>
    <row r="119" spans="1:6">
      <c r="A119" s="578"/>
      <c r="B119" s="578"/>
      <c r="C119" t="s">
        <v>495</v>
      </c>
      <c r="D119" t="s">
        <v>455</v>
      </c>
      <c r="E119">
        <v>-0.37706964907982332</v>
      </c>
      <c r="F119" t="s">
        <v>504</v>
      </c>
    </row>
    <row r="120" spans="1:6">
      <c r="A120" s="578"/>
      <c r="B120" s="578"/>
      <c r="C120" t="s">
        <v>496</v>
      </c>
      <c r="D120" t="s">
        <v>455</v>
      </c>
      <c r="E120">
        <v>-0.37706964907982332</v>
      </c>
      <c r="F120" t="s">
        <v>504</v>
      </c>
    </row>
    <row r="121" spans="1:6">
      <c r="A121" s="578"/>
      <c r="B121" t="s">
        <v>519</v>
      </c>
      <c r="C121" t="s">
        <v>497</v>
      </c>
      <c r="D121" t="s">
        <v>455</v>
      </c>
      <c r="E121">
        <v>-0.10948044426070117</v>
      </c>
      <c r="F121" t="s">
        <v>504</v>
      </c>
    </row>
    <row r="122" spans="1:6">
      <c r="A122" s="578"/>
      <c r="B122" t="s">
        <v>520</v>
      </c>
      <c r="C122" t="s">
        <v>497</v>
      </c>
      <c r="D122" t="s">
        <v>455</v>
      </c>
      <c r="E122">
        <v>-0.15014199196584382</v>
      </c>
      <c r="F122" t="s">
        <v>504</v>
      </c>
    </row>
    <row r="123" spans="1:6">
      <c r="A123" s="578"/>
      <c r="B123" s="578" t="s">
        <v>521</v>
      </c>
      <c r="C123" t="s">
        <v>487</v>
      </c>
      <c r="D123" t="s">
        <v>455</v>
      </c>
      <c r="E123">
        <v>40</v>
      </c>
      <c r="F123" t="s">
        <v>472</v>
      </c>
    </row>
    <row r="124" spans="1:6">
      <c r="A124" s="578"/>
      <c r="B124" s="578"/>
      <c r="C124" t="s">
        <v>490</v>
      </c>
      <c r="D124" t="s">
        <v>455</v>
      </c>
      <c r="E124">
        <v>30</v>
      </c>
      <c r="F124" t="s">
        <v>472</v>
      </c>
    </row>
    <row r="125" spans="1:6">
      <c r="A125" s="578"/>
      <c r="B125" s="578"/>
      <c r="C125" t="s">
        <v>491</v>
      </c>
      <c r="D125" t="s">
        <v>455</v>
      </c>
      <c r="E125">
        <v>60</v>
      </c>
      <c r="F125" t="s">
        <v>472</v>
      </c>
    </row>
    <row r="126" spans="1:6">
      <c r="A126" s="578"/>
      <c r="B126" s="578"/>
      <c r="C126" t="s">
        <v>492</v>
      </c>
      <c r="D126" t="s">
        <v>455</v>
      </c>
      <c r="E126">
        <v>80</v>
      </c>
      <c r="F126" t="s">
        <v>472</v>
      </c>
    </row>
    <row r="127" spans="1:6">
      <c r="A127" s="578"/>
      <c r="B127" s="578"/>
      <c r="C127" t="s">
        <v>493</v>
      </c>
      <c r="D127" t="s">
        <v>455</v>
      </c>
      <c r="E127">
        <v>25</v>
      </c>
      <c r="F127" t="s">
        <v>472</v>
      </c>
    </row>
    <row r="128" spans="1:6">
      <c r="A128" s="578"/>
      <c r="B128" s="578"/>
      <c r="C128" t="s">
        <v>494</v>
      </c>
      <c r="D128" t="s">
        <v>455</v>
      </c>
      <c r="E128">
        <v>30</v>
      </c>
      <c r="F128" t="s">
        <v>504</v>
      </c>
    </row>
    <row r="129" spans="1:7">
      <c r="A129" s="578"/>
      <c r="B129" s="578"/>
      <c r="C129" t="s">
        <v>495</v>
      </c>
      <c r="D129" t="s">
        <v>455</v>
      </c>
      <c r="E129">
        <v>25</v>
      </c>
      <c r="F129" t="s">
        <v>472</v>
      </c>
    </row>
    <row r="130" spans="1:7">
      <c r="A130" s="578"/>
      <c r="B130" s="578"/>
      <c r="C130" t="s">
        <v>496</v>
      </c>
      <c r="D130" t="s">
        <v>455</v>
      </c>
      <c r="E130">
        <v>25</v>
      </c>
      <c r="F130" t="s">
        <v>472</v>
      </c>
    </row>
    <row r="131" spans="1:7">
      <c r="A131" s="578"/>
      <c r="B131" t="s">
        <v>522</v>
      </c>
      <c r="C131" t="s">
        <v>497</v>
      </c>
      <c r="D131" t="s">
        <v>455</v>
      </c>
      <c r="E131">
        <v>31.121659173010258</v>
      </c>
      <c r="F131" t="s">
        <v>523</v>
      </c>
    </row>
    <row r="132" spans="1:7">
      <c r="A132" s="578"/>
      <c r="B132" t="s">
        <v>524</v>
      </c>
      <c r="C132" t="s">
        <v>497</v>
      </c>
      <c r="D132" t="s">
        <v>455</v>
      </c>
      <c r="E132">
        <v>28.555176034894046</v>
      </c>
      <c r="F132" t="s">
        <v>523</v>
      </c>
    </row>
    <row r="133" spans="1:7">
      <c r="A133" s="578"/>
      <c r="B133" s="578" t="s">
        <v>525</v>
      </c>
      <c r="C133" t="s">
        <v>487</v>
      </c>
      <c r="D133" t="s">
        <v>455</v>
      </c>
      <c r="E133">
        <v>4</v>
      </c>
      <c r="F133" t="s">
        <v>472</v>
      </c>
    </row>
    <row r="134" spans="1:7">
      <c r="A134" s="578"/>
      <c r="B134" s="578"/>
      <c r="C134" t="s">
        <v>490</v>
      </c>
      <c r="D134" t="s">
        <v>455</v>
      </c>
      <c r="E134">
        <v>3</v>
      </c>
      <c r="F134" t="s">
        <v>472</v>
      </c>
      <c r="G134" t="s">
        <v>526</v>
      </c>
    </row>
    <row r="135" spans="1:7">
      <c r="A135" s="578"/>
      <c r="B135" s="578"/>
      <c r="C135" t="s">
        <v>491</v>
      </c>
      <c r="D135" t="s">
        <v>455</v>
      </c>
      <c r="E135">
        <v>7</v>
      </c>
      <c r="F135" t="s">
        <v>472</v>
      </c>
    </row>
    <row r="136" spans="1:7">
      <c r="A136" s="578"/>
      <c r="B136" s="578"/>
      <c r="C136" t="s">
        <v>492</v>
      </c>
      <c r="D136" t="s">
        <v>455</v>
      </c>
      <c r="E136">
        <v>5</v>
      </c>
      <c r="F136" t="s">
        <v>472</v>
      </c>
    </row>
    <row r="137" spans="1:7">
      <c r="A137" s="578"/>
      <c r="B137" s="578"/>
      <c r="C137" t="s">
        <v>493</v>
      </c>
      <c r="D137" t="s">
        <v>455</v>
      </c>
      <c r="E137">
        <v>1</v>
      </c>
      <c r="F137" t="s">
        <v>472</v>
      </c>
    </row>
    <row r="138" spans="1:7">
      <c r="A138" s="578"/>
      <c r="B138" s="578"/>
      <c r="C138" t="s">
        <v>494</v>
      </c>
      <c r="D138" t="s">
        <v>455</v>
      </c>
      <c r="E138">
        <v>3</v>
      </c>
      <c r="F138" t="s">
        <v>527</v>
      </c>
    </row>
    <row r="139" spans="1:7">
      <c r="A139" s="578"/>
      <c r="B139" s="578"/>
      <c r="C139" t="s">
        <v>495</v>
      </c>
      <c r="D139" t="s">
        <v>455</v>
      </c>
      <c r="E139">
        <v>1</v>
      </c>
      <c r="F139" t="s">
        <v>472</v>
      </c>
    </row>
    <row r="140" spans="1:7">
      <c r="A140" s="578"/>
      <c r="B140" s="578"/>
      <c r="C140" t="s">
        <v>496</v>
      </c>
      <c r="D140" t="s">
        <v>455</v>
      </c>
      <c r="E140">
        <v>1</v>
      </c>
      <c r="F140" t="s">
        <v>472</v>
      </c>
    </row>
    <row r="141" spans="1:7">
      <c r="A141" s="578"/>
      <c r="B141" t="s">
        <v>528</v>
      </c>
      <c r="C141" t="s">
        <v>497</v>
      </c>
      <c r="D141" t="s">
        <v>455</v>
      </c>
      <c r="E141">
        <v>4.3356528440094895</v>
      </c>
      <c r="F141" t="s">
        <v>472</v>
      </c>
    </row>
    <row r="142" spans="1:7">
      <c r="A142" s="578"/>
      <c r="B142" t="s">
        <v>529</v>
      </c>
      <c r="C142" t="s">
        <v>497</v>
      </c>
      <c r="D142" t="s">
        <v>455</v>
      </c>
      <c r="E142">
        <v>4.1014705882352942</v>
      </c>
      <c r="F142" t="s">
        <v>472</v>
      </c>
    </row>
    <row r="143" spans="1:7">
      <c r="A143" s="578"/>
      <c r="B143" s="578" t="s">
        <v>530</v>
      </c>
      <c r="C143" t="s">
        <v>487</v>
      </c>
      <c r="D143" t="s">
        <v>455</v>
      </c>
      <c r="E143">
        <v>0.85</v>
      </c>
      <c r="F143" t="s">
        <v>504</v>
      </c>
    </row>
    <row r="144" spans="1:7">
      <c r="A144" s="578"/>
      <c r="B144" s="578"/>
      <c r="C144" t="s">
        <v>490</v>
      </c>
      <c r="D144" t="s">
        <v>455</v>
      </c>
      <c r="E144">
        <v>0.85</v>
      </c>
      <c r="F144" t="s">
        <v>504</v>
      </c>
    </row>
    <row r="145" spans="1:7">
      <c r="A145" s="578"/>
      <c r="B145" s="578"/>
      <c r="C145" t="s">
        <v>491</v>
      </c>
      <c r="D145" t="s">
        <v>455</v>
      </c>
      <c r="E145">
        <v>1</v>
      </c>
      <c r="F145" t="s">
        <v>504</v>
      </c>
    </row>
    <row r="146" spans="1:7">
      <c r="A146" s="578"/>
      <c r="B146" s="578"/>
      <c r="C146" t="s">
        <v>492</v>
      </c>
      <c r="D146" t="s">
        <v>455</v>
      </c>
      <c r="E146" t="s">
        <v>455</v>
      </c>
      <c r="F146" t="s">
        <v>455</v>
      </c>
      <c r="G146" t="s">
        <v>531</v>
      </c>
    </row>
    <row r="147" spans="1:7">
      <c r="A147" s="578"/>
      <c r="B147" s="578"/>
      <c r="C147" t="s">
        <v>493</v>
      </c>
      <c r="D147" t="s">
        <v>455</v>
      </c>
      <c r="E147" t="s">
        <v>455</v>
      </c>
      <c r="F147" t="s">
        <v>455</v>
      </c>
      <c r="G147" t="s">
        <v>531</v>
      </c>
    </row>
    <row r="148" spans="1:7">
      <c r="A148" s="578"/>
      <c r="B148" s="578"/>
      <c r="C148" t="s">
        <v>494</v>
      </c>
      <c r="D148" t="s">
        <v>455</v>
      </c>
      <c r="E148">
        <v>0.85</v>
      </c>
      <c r="F148" t="s">
        <v>504</v>
      </c>
    </row>
    <row r="149" spans="1:7">
      <c r="A149" s="578"/>
      <c r="B149" s="578"/>
      <c r="C149" t="s">
        <v>495</v>
      </c>
      <c r="D149" t="s">
        <v>455</v>
      </c>
      <c r="E149" t="s">
        <v>455</v>
      </c>
      <c r="F149" t="s">
        <v>455</v>
      </c>
      <c r="G149" t="s">
        <v>531</v>
      </c>
    </row>
    <row r="150" spans="1:7">
      <c r="A150" s="578"/>
      <c r="B150" s="578"/>
      <c r="C150" t="s">
        <v>496</v>
      </c>
      <c r="D150" t="s">
        <v>455</v>
      </c>
      <c r="E150" t="s">
        <v>455</v>
      </c>
      <c r="F150" t="s">
        <v>455</v>
      </c>
      <c r="G150" t="s">
        <v>531</v>
      </c>
    </row>
    <row r="151" spans="1:7">
      <c r="A151" s="578"/>
      <c r="B151" t="s">
        <v>532</v>
      </c>
      <c r="C151" t="s">
        <v>497</v>
      </c>
      <c r="D151" t="s">
        <v>455</v>
      </c>
      <c r="E151">
        <v>0.86792964861029243</v>
      </c>
      <c r="F151" t="s">
        <v>504</v>
      </c>
    </row>
    <row r="152" spans="1:7">
      <c r="A152" s="578"/>
      <c r="B152" t="s">
        <v>533</v>
      </c>
      <c r="C152" t="s">
        <v>497</v>
      </c>
      <c r="D152" t="s">
        <v>455</v>
      </c>
      <c r="E152">
        <v>0.83758117211364636</v>
      </c>
      <c r="F152" t="s">
        <v>504</v>
      </c>
    </row>
    <row r="153" spans="1:7">
      <c r="A153" s="578"/>
      <c r="B153" s="578" t="s">
        <v>534</v>
      </c>
      <c r="C153" t="s">
        <v>487</v>
      </c>
      <c r="D153" t="s">
        <v>455</v>
      </c>
      <c r="E153">
        <v>0.15</v>
      </c>
      <c r="F153" t="s">
        <v>535</v>
      </c>
    </row>
    <row r="154" spans="1:7">
      <c r="A154" s="578"/>
      <c r="B154" s="578"/>
      <c r="C154" t="s">
        <v>490</v>
      </c>
      <c r="D154" t="s">
        <v>455</v>
      </c>
      <c r="E154">
        <v>0.5</v>
      </c>
      <c r="F154" t="s">
        <v>535</v>
      </c>
    </row>
    <row r="155" spans="1:7">
      <c r="A155" s="578"/>
      <c r="B155" s="578"/>
      <c r="C155" t="s">
        <v>491</v>
      </c>
      <c r="D155" t="s">
        <v>455</v>
      </c>
      <c r="E155">
        <v>0</v>
      </c>
      <c r="F155" t="s">
        <v>535</v>
      </c>
    </row>
    <row r="156" spans="1:7">
      <c r="A156" s="578"/>
      <c r="B156" s="578"/>
      <c r="C156" t="s">
        <v>492</v>
      </c>
      <c r="D156" t="s">
        <v>455</v>
      </c>
      <c r="E156">
        <v>0.5</v>
      </c>
      <c r="F156" t="s">
        <v>535</v>
      </c>
    </row>
    <row r="157" spans="1:7">
      <c r="A157" s="578"/>
      <c r="B157" s="578"/>
      <c r="C157" t="s">
        <v>493</v>
      </c>
      <c r="D157" t="s">
        <v>455</v>
      </c>
      <c r="E157">
        <v>-0.08</v>
      </c>
      <c r="F157" t="s">
        <v>535</v>
      </c>
    </row>
    <row r="158" spans="1:7">
      <c r="A158" s="578"/>
      <c r="B158" s="578"/>
      <c r="C158" t="s">
        <v>494</v>
      </c>
      <c r="D158" t="s">
        <v>455</v>
      </c>
      <c r="E158">
        <v>0.3</v>
      </c>
      <c r="F158" t="s">
        <v>535</v>
      </c>
    </row>
    <row r="159" spans="1:7">
      <c r="A159" s="578"/>
      <c r="B159" s="578"/>
      <c r="C159" t="s">
        <v>495</v>
      </c>
      <c r="D159" t="s">
        <v>455</v>
      </c>
      <c r="E159">
        <v>-0.05</v>
      </c>
      <c r="F159" t="s">
        <v>535</v>
      </c>
    </row>
    <row r="160" spans="1:7">
      <c r="A160" s="578"/>
      <c r="B160" s="578"/>
      <c r="C160" t="s">
        <v>496</v>
      </c>
      <c r="D160" t="s">
        <v>455</v>
      </c>
      <c r="E160">
        <v>0</v>
      </c>
      <c r="F160" t="s">
        <v>535</v>
      </c>
    </row>
    <row r="161" spans="1:7">
      <c r="A161" s="578"/>
      <c r="B161" t="s">
        <v>536</v>
      </c>
      <c r="C161" t="s">
        <v>497</v>
      </c>
      <c r="D161" t="s">
        <v>455</v>
      </c>
      <c r="E161">
        <v>0.19930414679715305</v>
      </c>
      <c r="F161" t="s">
        <v>535</v>
      </c>
    </row>
    <row r="162" spans="1:7">
      <c r="A162" s="578"/>
      <c r="B162" t="s">
        <v>537</v>
      </c>
      <c r="C162" t="s">
        <v>497</v>
      </c>
      <c r="D162" t="s">
        <v>455</v>
      </c>
      <c r="E162">
        <v>0.26955882352941174</v>
      </c>
      <c r="F162" t="s">
        <v>535</v>
      </c>
    </row>
    <row r="163" spans="1:7">
      <c r="A163" s="578"/>
      <c r="B163" s="578" t="s">
        <v>538</v>
      </c>
      <c r="C163" t="s">
        <v>487</v>
      </c>
      <c r="D163" t="s">
        <v>455</v>
      </c>
      <c r="E163">
        <v>1.2303126173378671</v>
      </c>
      <c r="F163" t="s">
        <v>504</v>
      </c>
      <c r="G163" t="s">
        <v>500</v>
      </c>
    </row>
    <row r="164" spans="1:7">
      <c r="A164" s="578"/>
      <c r="B164" s="578"/>
      <c r="C164" t="s">
        <v>490</v>
      </c>
      <c r="D164" t="s">
        <v>455</v>
      </c>
      <c r="E164">
        <v>1.8161036470563212</v>
      </c>
      <c r="F164" t="s">
        <v>504</v>
      </c>
      <c r="G164" t="s">
        <v>500</v>
      </c>
    </row>
    <row r="165" spans="1:7">
      <c r="A165" s="578"/>
      <c r="B165" s="578"/>
      <c r="C165" t="s">
        <v>491</v>
      </c>
      <c r="D165" t="s">
        <v>455</v>
      </c>
      <c r="E165">
        <v>0</v>
      </c>
      <c r="F165" t="s">
        <v>504</v>
      </c>
      <c r="G165" t="s">
        <v>500</v>
      </c>
    </row>
    <row r="166" spans="1:7">
      <c r="A166" s="578"/>
      <c r="B166" s="578"/>
      <c r="C166" t="s">
        <v>492</v>
      </c>
      <c r="D166" t="s">
        <v>455</v>
      </c>
      <c r="E166">
        <v>1.1010192018342337</v>
      </c>
      <c r="F166" t="s">
        <v>504</v>
      </c>
      <c r="G166" t="s">
        <v>500</v>
      </c>
    </row>
    <row r="167" spans="1:7">
      <c r="A167" s="578"/>
      <c r="B167" s="578"/>
      <c r="C167" t="s">
        <v>493</v>
      </c>
      <c r="D167" t="s">
        <v>455</v>
      </c>
      <c r="E167">
        <v>1.3843315356230486</v>
      </c>
      <c r="F167" t="s">
        <v>504</v>
      </c>
      <c r="G167" t="s">
        <v>674</v>
      </c>
    </row>
    <row r="168" spans="1:7">
      <c r="A168" s="578"/>
      <c r="B168" s="578"/>
      <c r="C168" t="s">
        <v>494</v>
      </c>
      <c r="D168" t="s">
        <v>455</v>
      </c>
      <c r="E168">
        <v>1.1700618600682593</v>
      </c>
      <c r="F168" t="s">
        <v>516</v>
      </c>
    </row>
    <row r="169" spans="1:7">
      <c r="A169" s="578"/>
      <c r="B169" s="578"/>
      <c r="C169" t="s">
        <v>495</v>
      </c>
      <c r="D169" t="s">
        <v>455</v>
      </c>
      <c r="E169">
        <v>3.6556236080178173</v>
      </c>
      <c r="F169" t="s">
        <v>504</v>
      </c>
      <c r="G169" t="s">
        <v>539</v>
      </c>
    </row>
    <row r="170" spans="1:7">
      <c r="A170" s="578"/>
      <c r="B170" s="578"/>
      <c r="C170" t="s">
        <v>496</v>
      </c>
      <c r="D170" t="s">
        <v>455</v>
      </c>
      <c r="E170">
        <v>0</v>
      </c>
      <c r="F170" t="s">
        <v>504</v>
      </c>
      <c r="G170" t="s">
        <v>500</v>
      </c>
    </row>
    <row r="171" spans="1:7">
      <c r="A171" s="578"/>
      <c r="B171" s="578"/>
      <c r="C171" t="s">
        <v>497</v>
      </c>
      <c r="D171" t="s">
        <v>455</v>
      </c>
      <c r="E171">
        <v>1.3806237543484046</v>
      </c>
      <c r="F171" t="s">
        <v>504</v>
      </c>
      <c r="G171" t="s">
        <v>540</v>
      </c>
    </row>
    <row r="172" spans="1:7">
      <c r="A172" s="578" t="s">
        <v>541</v>
      </c>
      <c r="B172" t="s">
        <v>542</v>
      </c>
      <c r="C172" t="s">
        <v>455</v>
      </c>
      <c r="D172" t="s">
        <v>455</v>
      </c>
      <c r="E172">
        <v>2</v>
      </c>
    </row>
    <row r="173" spans="1:7">
      <c r="A173" s="578"/>
      <c r="B173" t="s">
        <v>543</v>
      </c>
      <c r="C173" t="s">
        <v>455</v>
      </c>
      <c r="D173" t="s">
        <v>455</v>
      </c>
      <c r="E173">
        <v>2</v>
      </c>
    </row>
    <row r="174" spans="1:7">
      <c r="A174" s="578"/>
      <c r="B174" t="s">
        <v>544</v>
      </c>
      <c r="C174" t="s">
        <v>455</v>
      </c>
      <c r="D174" t="s">
        <v>455</v>
      </c>
      <c r="E174">
        <v>1</v>
      </c>
    </row>
    <row r="175" spans="1:7">
      <c r="A175" s="578"/>
      <c r="B175" t="s">
        <v>545</v>
      </c>
      <c r="C175" t="s">
        <v>455</v>
      </c>
      <c r="D175" t="s">
        <v>455</v>
      </c>
      <c r="E175">
        <v>5</v>
      </c>
    </row>
    <row r="176" spans="1:7">
      <c r="A176" s="578"/>
      <c r="B176" t="s">
        <v>546</v>
      </c>
      <c r="C176" t="s">
        <v>455</v>
      </c>
      <c r="D176" t="s">
        <v>455</v>
      </c>
      <c r="E176">
        <v>0.532551</v>
      </c>
      <c r="F176" t="s">
        <v>547</v>
      </c>
    </row>
    <row r="177" spans="1:36">
      <c r="A177" s="578"/>
      <c r="B177" t="s">
        <v>548</v>
      </c>
      <c r="C177" t="s">
        <v>455</v>
      </c>
      <c r="D177" t="s">
        <v>455</v>
      </c>
      <c r="E177">
        <v>5</v>
      </c>
    </row>
    <row r="178" spans="1:36">
      <c r="A178" s="578"/>
      <c r="B178" t="s">
        <v>549</v>
      </c>
      <c r="C178" t="s">
        <v>455</v>
      </c>
      <c r="D178" t="s">
        <v>455</v>
      </c>
      <c r="E178">
        <v>2025</v>
      </c>
      <c r="G178" t="s">
        <v>550</v>
      </c>
    </row>
    <row r="179" spans="1:36">
      <c r="A179" s="578"/>
      <c r="B179" t="s">
        <v>551</v>
      </c>
      <c r="C179" t="s">
        <v>455</v>
      </c>
      <c r="D179" t="s">
        <v>455</v>
      </c>
      <c r="E179">
        <v>8760</v>
      </c>
    </row>
    <row r="180" spans="1:36">
      <c r="A180" s="578"/>
      <c r="B180" t="s">
        <v>552</v>
      </c>
      <c r="C180" t="s">
        <v>455</v>
      </c>
      <c r="D180" t="s">
        <v>455</v>
      </c>
      <c r="E180">
        <v>1.6895199999999999</v>
      </c>
      <c r="F180" t="s">
        <v>553</v>
      </c>
      <c r="G180" t="s">
        <v>554</v>
      </c>
    </row>
    <row r="181" spans="1:36">
      <c r="A181" s="578" t="s">
        <v>555</v>
      </c>
      <c r="B181" s="578" t="s">
        <v>556</v>
      </c>
      <c r="C181" t="s">
        <v>487</v>
      </c>
      <c r="D181" t="s">
        <v>455</v>
      </c>
      <c r="E181">
        <v>441.58162873948487</v>
      </c>
      <c r="F181" t="s">
        <v>557</v>
      </c>
    </row>
    <row r="182" spans="1:36">
      <c r="A182" s="578"/>
      <c r="B182" s="578"/>
      <c r="C182" t="s">
        <v>490</v>
      </c>
      <c r="D182" t="s">
        <v>455</v>
      </c>
      <c r="E182">
        <v>677.67159427761226</v>
      </c>
      <c r="F182" t="s">
        <v>557</v>
      </c>
    </row>
    <row r="183" spans="1:36">
      <c r="A183" s="578"/>
      <c r="B183" s="578"/>
      <c r="C183" t="s">
        <v>491</v>
      </c>
      <c r="D183" t="s">
        <v>455</v>
      </c>
      <c r="E183">
        <v>0</v>
      </c>
      <c r="F183" t="s">
        <v>557</v>
      </c>
    </row>
    <row r="184" spans="1:36">
      <c r="A184" s="578"/>
      <c r="B184" s="578"/>
      <c r="C184" t="s">
        <v>492</v>
      </c>
      <c r="D184" t="s">
        <v>455</v>
      </c>
      <c r="E184">
        <v>555.30444272756245</v>
      </c>
      <c r="F184" t="s">
        <v>557</v>
      </c>
    </row>
    <row r="185" spans="1:36">
      <c r="A185" s="578"/>
      <c r="B185" s="578"/>
      <c r="C185" t="s">
        <v>493</v>
      </c>
      <c r="D185" t="s">
        <v>455</v>
      </c>
      <c r="E185">
        <v>1512.9879227150323</v>
      </c>
      <c r="F185" t="s">
        <v>557</v>
      </c>
    </row>
    <row r="186" spans="1:36">
      <c r="A186" s="578"/>
      <c r="B186" s="578"/>
      <c r="C186" t="s">
        <v>494</v>
      </c>
      <c r="D186" t="s">
        <v>455</v>
      </c>
      <c r="E186">
        <v>1047.9569628743241</v>
      </c>
      <c r="F186" t="s">
        <v>557</v>
      </c>
    </row>
    <row r="187" spans="1:36">
      <c r="A187" s="578"/>
      <c r="B187" s="578"/>
      <c r="C187" t="s">
        <v>495</v>
      </c>
      <c r="D187" t="s">
        <v>455</v>
      </c>
      <c r="E187">
        <v>2759.3300997280962</v>
      </c>
      <c r="F187" t="s">
        <v>557</v>
      </c>
    </row>
    <row r="188" spans="1:36">
      <c r="A188" s="578"/>
      <c r="B188" s="578"/>
      <c r="C188" t="s">
        <v>496</v>
      </c>
      <c r="D188" t="s">
        <v>455</v>
      </c>
      <c r="E188">
        <v>3.8940846782669312E-2</v>
      </c>
      <c r="F188" t="s">
        <v>557</v>
      </c>
    </row>
    <row r="189" spans="1:36">
      <c r="A189" s="578"/>
      <c r="B189" s="578"/>
      <c r="C189" t="s">
        <v>497</v>
      </c>
      <c r="D189" t="s">
        <v>455</v>
      </c>
      <c r="E189">
        <v>978.48856671367093</v>
      </c>
      <c r="F189" t="s">
        <v>557</v>
      </c>
    </row>
    <row r="190" spans="1:36">
      <c r="A190" s="578"/>
      <c r="B190" s="578"/>
      <c r="C190" t="s">
        <v>558</v>
      </c>
      <c r="D190" t="s">
        <v>455</v>
      </c>
      <c r="E190">
        <v>934.93141741149611</v>
      </c>
      <c r="F190" t="s">
        <v>557</v>
      </c>
      <c r="S190" s="579" t="s">
        <v>1479</v>
      </c>
      <c r="T190" s="579"/>
      <c r="U190" s="579"/>
      <c r="V190" s="579"/>
      <c r="W190" s="579"/>
      <c r="X190" s="579"/>
      <c r="Y190" s="579"/>
      <c r="Z190" s="579"/>
      <c r="AA190" s="579"/>
      <c r="AB190" s="579"/>
      <c r="AC190" s="579"/>
      <c r="AD190" s="579"/>
      <c r="AE190" s="579"/>
      <c r="AF190" s="579"/>
      <c r="AG190" s="579"/>
      <c r="AH190" s="579"/>
      <c r="AI190" s="579"/>
      <c r="AJ190" s="579"/>
    </row>
    <row r="191" spans="1:36" ht="14.5">
      <c r="A191" s="578"/>
      <c r="B191" s="578" t="s">
        <v>559</v>
      </c>
      <c r="C191" t="s">
        <v>139</v>
      </c>
      <c r="D191" t="s">
        <v>455</v>
      </c>
      <c r="E191">
        <v>0</v>
      </c>
      <c r="F191" t="s">
        <v>560</v>
      </c>
      <c r="G191" t="s">
        <v>561</v>
      </c>
      <c r="S191" s="206" t="s">
        <v>1467</v>
      </c>
      <c r="T191" s="206" t="s">
        <v>449</v>
      </c>
      <c r="U191" s="206" t="s">
        <v>1468</v>
      </c>
      <c r="V191" s="206" t="s">
        <v>451</v>
      </c>
      <c r="X191" s="206" t="s">
        <v>1469</v>
      </c>
    </row>
    <row r="192" spans="1:36">
      <c r="A192" s="578"/>
      <c r="B192" s="578"/>
      <c r="C192" t="s">
        <v>37</v>
      </c>
      <c r="D192" t="s">
        <v>455</v>
      </c>
      <c r="E192">
        <v>0</v>
      </c>
      <c r="F192" t="s">
        <v>560</v>
      </c>
      <c r="G192" t="s">
        <v>561</v>
      </c>
      <c r="S192" s="578" t="s">
        <v>1470</v>
      </c>
      <c r="T192" t="s">
        <v>608</v>
      </c>
      <c r="U192">
        <v>0.37695068393333958</v>
      </c>
      <c r="V192" t="s">
        <v>1471</v>
      </c>
    </row>
    <row r="193" spans="1:36">
      <c r="A193" s="578"/>
      <c r="B193" s="578"/>
      <c r="C193" t="s">
        <v>140</v>
      </c>
      <c r="D193" t="s">
        <v>455</v>
      </c>
      <c r="E193">
        <v>1</v>
      </c>
      <c r="F193" t="s">
        <v>560</v>
      </c>
      <c r="G193" t="s">
        <v>561</v>
      </c>
      <c r="N193" t="s">
        <v>1480</v>
      </c>
      <c r="S193" s="578"/>
      <c r="T193" t="s">
        <v>1472</v>
      </c>
      <c r="U193">
        <v>0.49194185717040279</v>
      </c>
      <c r="V193" t="s">
        <v>1471</v>
      </c>
    </row>
    <row r="194" spans="1:36">
      <c r="A194" s="578"/>
      <c r="B194" s="578"/>
      <c r="C194" t="s">
        <v>48</v>
      </c>
      <c r="D194" t="s">
        <v>455</v>
      </c>
      <c r="E194">
        <v>0</v>
      </c>
      <c r="F194" t="s">
        <v>560</v>
      </c>
      <c r="G194" t="s">
        <v>561</v>
      </c>
      <c r="S194" s="578"/>
      <c r="T194" t="s">
        <v>1473</v>
      </c>
      <c r="U194">
        <v>0.32338735757214315</v>
      </c>
      <c r="V194" t="s">
        <v>1471</v>
      </c>
    </row>
    <row r="195" spans="1:36" ht="14.5">
      <c r="A195" s="578"/>
      <c r="B195" s="578"/>
      <c r="C195" t="s">
        <v>141</v>
      </c>
      <c r="D195" t="s">
        <v>455</v>
      </c>
      <c r="E195">
        <v>0</v>
      </c>
      <c r="F195" t="s">
        <v>560</v>
      </c>
      <c r="G195" t="s">
        <v>561</v>
      </c>
      <c r="S195" s="578"/>
      <c r="T195" t="s">
        <v>1474</v>
      </c>
      <c r="U195">
        <v>0.23239547215990211</v>
      </c>
      <c r="V195" t="s">
        <v>1471</v>
      </c>
      <c r="X195" s="206">
        <v>2010</v>
      </c>
      <c r="Y195" s="206">
        <v>2011</v>
      </c>
      <c r="Z195" s="206">
        <v>2012</v>
      </c>
      <c r="AA195" s="206">
        <v>2013</v>
      </c>
      <c r="AB195" s="206">
        <v>2014</v>
      </c>
      <c r="AC195" s="206">
        <v>2015</v>
      </c>
      <c r="AD195" s="206">
        <v>2016</v>
      </c>
      <c r="AE195" s="206">
        <v>2017</v>
      </c>
      <c r="AF195" s="206">
        <v>2018</v>
      </c>
      <c r="AG195" s="206">
        <v>2019</v>
      </c>
      <c r="AH195" s="206">
        <v>2020</v>
      </c>
      <c r="AI195" s="206">
        <v>2021</v>
      </c>
      <c r="AJ195" s="206">
        <v>2022</v>
      </c>
    </row>
    <row r="196" spans="1:36">
      <c r="A196" s="578"/>
      <c r="B196" s="578"/>
      <c r="C196" t="s">
        <v>142</v>
      </c>
      <c r="D196" t="s">
        <v>455</v>
      </c>
      <c r="E196">
        <v>0</v>
      </c>
      <c r="F196" t="s">
        <v>560</v>
      </c>
      <c r="G196" t="s">
        <v>561</v>
      </c>
      <c r="S196" t="s">
        <v>1475</v>
      </c>
      <c r="V196" t="s">
        <v>1471</v>
      </c>
      <c r="X196">
        <v>0.6158424695330732</v>
      </c>
      <c r="Y196">
        <v>0.64453167840645065</v>
      </c>
      <c r="Z196" s="398">
        <v>0.68632759721895098</v>
      </c>
      <c r="AA196">
        <v>0.74755312161813026</v>
      </c>
      <c r="AB196">
        <v>0.75605565452570667</v>
      </c>
      <c r="AC196">
        <v>0.75238402982871666</v>
      </c>
      <c r="AD196" s="398">
        <v>0.75151523228353501</v>
      </c>
      <c r="AE196">
        <v>0.75118828633851031</v>
      </c>
      <c r="AF196">
        <v>0.75281897181687374</v>
      </c>
      <c r="AG196" s="398">
        <v>0.75797070223358998</v>
      </c>
      <c r="AH196">
        <v>0.76137279996610463</v>
      </c>
      <c r="AI196">
        <v>0.68634850454013585</v>
      </c>
      <c r="AJ196">
        <v>0.6673733840384819</v>
      </c>
    </row>
    <row r="197" spans="1:36">
      <c r="A197" s="578"/>
      <c r="B197" s="578"/>
      <c r="C197" t="s">
        <v>143</v>
      </c>
      <c r="D197" t="s">
        <v>455</v>
      </c>
      <c r="E197">
        <v>0</v>
      </c>
      <c r="F197" t="s">
        <v>560</v>
      </c>
      <c r="G197" t="s">
        <v>561</v>
      </c>
      <c r="S197" t="s">
        <v>1476</v>
      </c>
      <c r="U197">
        <f>43.92/(43.92+5.95)</f>
        <v>0.8806897934630038</v>
      </c>
      <c r="V197" t="s">
        <v>1477</v>
      </c>
    </row>
    <row r="198" spans="1:36">
      <c r="A198" s="578"/>
      <c r="B198" s="578"/>
      <c r="C198" t="s">
        <v>144</v>
      </c>
      <c r="D198" t="s">
        <v>455</v>
      </c>
      <c r="E198">
        <v>0</v>
      </c>
      <c r="F198" t="s">
        <v>560</v>
      </c>
      <c r="G198" t="s">
        <v>561</v>
      </c>
      <c r="S198" t="s">
        <v>1478</v>
      </c>
      <c r="V198" t="s">
        <v>1471</v>
      </c>
      <c r="X198">
        <v>0.25708222085301569</v>
      </c>
      <c r="Y198">
        <v>0.23664535750236043</v>
      </c>
      <c r="Z198">
        <v>0.20932460089384086</v>
      </c>
      <c r="AA198">
        <v>0.21813648150499668</v>
      </c>
      <c r="AB198">
        <v>0.20761271508657023</v>
      </c>
      <c r="AC198">
        <v>0.20696799939424618</v>
      </c>
      <c r="AD198">
        <v>0.21574754719288644</v>
      </c>
      <c r="AE198">
        <v>0.21688385037916483</v>
      </c>
      <c r="AF198">
        <v>0.21600897890741924</v>
      </c>
      <c r="AG198">
        <v>0.21391938091838525</v>
      </c>
      <c r="AH198">
        <v>0.22832725563399453</v>
      </c>
      <c r="AI198">
        <v>0.31926313845402493</v>
      </c>
      <c r="AJ198">
        <v>0.34011527226921295</v>
      </c>
    </row>
    <row r="199" spans="1:36">
      <c r="A199" s="578"/>
      <c r="B199" s="578"/>
      <c r="C199" t="s">
        <v>61</v>
      </c>
      <c r="D199" t="s">
        <v>455</v>
      </c>
      <c r="E199">
        <v>0</v>
      </c>
      <c r="F199" t="s">
        <v>560</v>
      </c>
      <c r="G199" t="s">
        <v>561</v>
      </c>
    </row>
    <row r="200" spans="1:36">
      <c r="A200" s="578"/>
      <c r="B200" s="578"/>
      <c r="C200" t="s">
        <v>63</v>
      </c>
      <c r="D200" t="s">
        <v>455</v>
      </c>
      <c r="E200">
        <v>0</v>
      </c>
      <c r="F200" t="s">
        <v>560</v>
      </c>
      <c r="G200" t="s">
        <v>561</v>
      </c>
    </row>
    <row r="201" spans="1:36">
      <c r="A201" s="578"/>
      <c r="B201" s="578"/>
      <c r="C201" t="s">
        <v>65</v>
      </c>
      <c r="D201" t="s">
        <v>455</v>
      </c>
      <c r="E201">
        <v>0</v>
      </c>
      <c r="F201" t="s">
        <v>560</v>
      </c>
      <c r="G201" t="s">
        <v>561</v>
      </c>
    </row>
    <row r="202" spans="1:36">
      <c r="A202" s="578"/>
      <c r="B202" s="578"/>
      <c r="C202" t="s">
        <v>67</v>
      </c>
      <c r="D202" t="s">
        <v>455</v>
      </c>
      <c r="E202">
        <v>0</v>
      </c>
      <c r="F202" t="s">
        <v>560</v>
      </c>
      <c r="G202" t="s">
        <v>561</v>
      </c>
    </row>
    <row r="203" spans="1:36">
      <c r="A203" s="578"/>
      <c r="B203" s="578"/>
      <c r="C203" t="s">
        <v>69</v>
      </c>
      <c r="D203" t="s">
        <v>455</v>
      </c>
      <c r="E203">
        <v>0</v>
      </c>
      <c r="F203" t="s">
        <v>560</v>
      </c>
      <c r="G203" t="s">
        <v>561</v>
      </c>
    </row>
    <row r="204" spans="1:36">
      <c r="A204" s="578"/>
      <c r="B204" s="578"/>
      <c r="C204" t="s">
        <v>145</v>
      </c>
      <c r="D204" t="s">
        <v>455</v>
      </c>
      <c r="E204">
        <v>0</v>
      </c>
      <c r="F204" t="s">
        <v>560</v>
      </c>
      <c r="G204" t="s">
        <v>561</v>
      </c>
    </row>
    <row r="205" spans="1:36">
      <c r="A205" s="578"/>
      <c r="B205" s="578"/>
      <c r="C205" t="s">
        <v>73</v>
      </c>
      <c r="D205" t="s">
        <v>455</v>
      </c>
      <c r="E205">
        <v>0</v>
      </c>
      <c r="F205" t="s">
        <v>560</v>
      </c>
      <c r="G205" t="s">
        <v>561</v>
      </c>
    </row>
    <row r="206" spans="1:36">
      <c r="A206" s="578"/>
      <c r="B206" s="578"/>
      <c r="C206" t="s">
        <v>75</v>
      </c>
      <c r="D206" t="s">
        <v>455</v>
      </c>
      <c r="E206">
        <v>0</v>
      </c>
      <c r="F206" t="s">
        <v>560</v>
      </c>
      <c r="G206" t="s">
        <v>561</v>
      </c>
    </row>
    <row r="207" spans="1:36">
      <c r="A207" s="578"/>
      <c r="B207" s="578"/>
      <c r="C207" t="s">
        <v>146</v>
      </c>
      <c r="D207" t="s">
        <v>455</v>
      </c>
      <c r="E207">
        <v>0</v>
      </c>
      <c r="F207" t="s">
        <v>560</v>
      </c>
      <c r="G207" t="s">
        <v>561</v>
      </c>
    </row>
    <row r="208" spans="1:36">
      <c r="A208" s="578"/>
      <c r="B208" s="578"/>
      <c r="C208" t="s">
        <v>83</v>
      </c>
      <c r="D208" t="s">
        <v>455</v>
      </c>
      <c r="E208">
        <v>0</v>
      </c>
      <c r="F208" t="s">
        <v>560</v>
      </c>
      <c r="G208" t="s">
        <v>561</v>
      </c>
    </row>
    <row r="209" spans="1:7">
      <c r="A209" s="578"/>
      <c r="B209" s="578"/>
      <c r="C209" t="s">
        <v>85</v>
      </c>
      <c r="D209" t="s">
        <v>455</v>
      </c>
      <c r="E209">
        <v>0</v>
      </c>
      <c r="F209" t="s">
        <v>560</v>
      </c>
      <c r="G209" t="s">
        <v>561</v>
      </c>
    </row>
    <row r="210" spans="1:7">
      <c r="A210" s="578"/>
      <c r="B210" s="578"/>
      <c r="C210" t="s">
        <v>88</v>
      </c>
      <c r="D210" t="s">
        <v>455</v>
      </c>
      <c r="E210">
        <v>0</v>
      </c>
      <c r="F210" t="s">
        <v>560</v>
      </c>
      <c r="G210" t="s">
        <v>561</v>
      </c>
    </row>
    <row r="211" spans="1:7">
      <c r="A211" s="578"/>
      <c r="B211" s="578"/>
      <c r="C211" t="s">
        <v>147</v>
      </c>
      <c r="D211" t="s">
        <v>455</v>
      </c>
      <c r="E211">
        <v>0</v>
      </c>
      <c r="F211" t="s">
        <v>560</v>
      </c>
      <c r="G211" t="s">
        <v>561</v>
      </c>
    </row>
    <row r="212" spans="1:7">
      <c r="A212" s="578"/>
      <c r="B212" s="578" t="s">
        <v>675</v>
      </c>
      <c r="C212" t="s">
        <v>139</v>
      </c>
      <c r="D212" t="s">
        <v>455</v>
      </c>
      <c r="E212">
        <v>0</v>
      </c>
      <c r="F212" t="s">
        <v>560</v>
      </c>
      <c r="G212" t="s">
        <v>561</v>
      </c>
    </row>
    <row r="213" spans="1:7">
      <c r="A213" s="578"/>
      <c r="B213" s="578"/>
      <c r="C213" t="s">
        <v>37</v>
      </c>
      <c r="D213" t="s">
        <v>455</v>
      </c>
      <c r="E213">
        <v>0</v>
      </c>
      <c r="F213" t="s">
        <v>560</v>
      </c>
      <c r="G213" t="s">
        <v>561</v>
      </c>
    </row>
    <row r="214" spans="1:7">
      <c r="A214" s="578"/>
      <c r="B214" s="578"/>
      <c r="C214" t="s">
        <v>140</v>
      </c>
      <c r="D214" t="s">
        <v>455</v>
      </c>
      <c r="E214">
        <v>1</v>
      </c>
      <c r="F214" t="s">
        <v>560</v>
      </c>
      <c r="G214" t="s">
        <v>561</v>
      </c>
    </row>
    <row r="215" spans="1:7">
      <c r="A215" s="578"/>
      <c r="B215" s="578"/>
      <c r="C215" t="s">
        <v>48</v>
      </c>
      <c r="D215" t="s">
        <v>455</v>
      </c>
      <c r="E215">
        <v>0</v>
      </c>
      <c r="F215" t="s">
        <v>560</v>
      </c>
      <c r="G215" t="s">
        <v>561</v>
      </c>
    </row>
    <row r="216" spans="1:7">
      <c r="A216" s="578"/>
      <c r="B216" s="578"/>
      <c r="C216" t="s">
        <v>141</v>
      </c>
      <c r="D216" t="s">
        <v>455</v>
      </c>
      <c r="E216">
        <v>0</v>
      </c>
      <c r="F216" t="s">
        <v>560</v>
      </c>
      <c r="G216" t="s">
        <v>561</v>
      </c>
    </row>
    <row r="217" spans="1:7">
      <c r="A217" s="578"/>
      <c r="B217" s="578"/>
      <c r="C217" t="s">
        <v>142</v>
      </c>
      <c r="D217" t="s">
        <v>455</v>
      </c>
      <c r="E217">
        <v>0</v>
      </c>
      <c r="F217" t="s">
        <v>560</v>
      </c>
      <c r="G217" t="s">
        <v>561</v>
      </c>
    </row>
    <row r="218" spans="1:7">
      <c r="A218" s="578"/>
      <c r="B218" s="578"/>
      <c r="C218" t="s">
        <v>143</v>
      </c>
      <c r="D218" t="s">
        <v>455</v>
      </c>
      <c r="E218">
        <v>0</v>
      </c>
      <c r="F218" t="s">
        <v>560</v>
      </c>
      <c r="G218" t="s">
        <v>561</v>
      </c>
    </row>
    <row r="219" spans="1:7">
      <c r="A219" s="578"/>
      <c r="B219" s="578"/>
      <c r="C219" t="s">
        <v>144</v>
      </c>
      <c r="D219" t="s">
        <v>455</v>
      </c>
      <c r="E219">
        <v>0</v>
      </c>
      <c r="F219" t="s">
        <v>560</v>
      </c>
      <c r="G219" t="s">
        <v>561</v>
      </c>
    </row>
    <row r="220" spans="1:7">
      <c r="A220" s="578"/>
      <c r="B220" s="578"/>
      <c r="C220" t="s">
        <v>61</v>
      </c>
      <c r="D220" t="s">
        <v>455</v>
      </c>
      <c r="E220">
        <v>0</v>
      </c>
      <c r="F220" t="s">
        <v>560</v>
      </c>
      <c r="G220" t="s">
        <v>561</v>
      </c>
    </row>
    <row r="221" spans="1:7">
      <c r="A221" s="578"/>
      <c r="B221" s="578"/>
      <c r="C221" t="s">
        <v>63</v>
      </c>
      <c r="D221" t="s">
        <v>455</v>
      </c>
      <c r="E221">
        <v>0</v>
      </c>
      <c r="F221" t="s">
        <v>560</v>
      </c>
      <c r="G221" t="s">
        <v>561</v>
      </c>
    </row>
    <row r="222" spans="1:7">
      <c r="A222" s="578"/>
      <c r="B222" s="578"/>
      <c r="C222" t="s">
        <v>65</v>
      </c>
      <c r="D222" t="s">
        <v>455</v>
      </c>
      <c r="E222">
        <v>0</v>
      </c>
      <c r="F222" t="s">
        <v>560</v>
      </c>
      <c r="G222" t="s">
        <v>561</v>
      </c>
    </row>
    <row r="223" spans="1:7">
      <c r="A223" s="578"/>
      <c r="B223" s="578"/>
      <c r="C223" t="s">
        <v>67</v>
      </c>
      <c r="D223" t="s">
        <v>455</v>
      </c>
      <c r="E223">
        <v>0</v>
      </c>
      <c r="F223" t="s">
        <v>560</v>
      </c>
      <c r="G223" t="s">
        <v>561</v>
      </c>
    </row>
    <row r="224" spans="1:7">
      <c r="A224" s="578"/>
      <c r="B224" s="578"/>
      <c r="C224" t="s">
        <v>69</v>
      </c>
      <c r="D224" t="s">
        <v>455</v>
      </c>
      <c r="E224">
        <v>0</v>
      </c>
      <c r="F224" t="s">
        <v>560</v>
      </c>
      <c r="G224" t="s">
        <v>561</v>
      </c>
    </row>
    <row r="225" spans="1:15">
      <c r="A225" s="578"/>
      <c r="B225" s="578"/>
      <c r="C225" t="s">
        <v>145</v>
      </c>
      <c r="D225" t="s">
        <v>455</v>
      </c>
      <c r="E225">
        <v>0</v>
      </c>
      <c r="F225" t="s">
        <v>560</v>
      </c>
      <c r="G225" t="s">
        <v>561</v>
      </c>
    </row>
    <row r="226" spans="1:15">
      <c r="A226" s="578"/>
      <c r="B226" s="578"/>
      <c r="C226" t="s">
        <v>73</v>
      </c>
      <c r="D226" t="s">
        <v>455</v>
      </c>
      <c r="E226">
        <v>0</v>
      </c>
      <c r="F226" t="s">
        <v>560</v>
      </c>
      <c r="G226" t="s">
        <v>561</v>
      </c>
    </row>
    <row r="227" spans="1:15">
      <c r="A227" s="578"/>
      <c r="B227" s="578"/>
      <c r="C227" t="s">
        <v>75</v>
      </c>
      <c r="D227" t="s">
        <v>455</v>
      </c>
      <c r="E227">
        <v>0</v>
      </c>
      <c r="F227" t="s">
        <v>560</v>
      </c>
      <c r="G227" t="s">
        <v>561</v>
      </c>
    </row>
    <row r="228" spans="1:15">
      <c r="A228" s="578"/>
      <c r="B228" s="578"/>
      <c r="C228" t="s">
        <v>146</v>
      </c>
      <c r="D228" t="s">
        <v>455</v>
      </c>
      <c r="E228">
        <v>0</v>
      </c>
      <c r="F228" t="s">
        <v>560</v>
      </c>
      <c r="G228" t="s">
        <v>561</v>
      </c>
    </row>
    <row r="229" spans="1:15">
      <c r="A229" s="578"/>
      <c r="B229" s="578"/>
      <c r="C229" t="s">
        <v>83</v>
      </c>
      <c r="D229" t="s">
        <v>455</v>
      </c>
      <c r="E229">
        <v>0</v>
      </c>
      <c r="F229" t="s">
        <v>560</v>
      </c>
      <c r="G229" t="s">
        <v>561</v>
      </c>
    </row>
    <row r="230" spans="1:15">
      <c r="A230" s="578"/>
      <c r="B230" s="578"/>
      <c r="C230" t="s">
        <v>85</v>
      </c>
      <c r="D230" t="s">
        <v>455</v>
      </c>
      <c r="E230">
        <v>0</v>
      </c>
      <c r="F230" t="s">
        <v>560</v>
      </c>
      <c r="G230" t="s">
        <v>561</v>
      </c>
    </row>
    <row r="231" spans="1:15">
      <c r="A231" s="578"/>
      <c r="B231" s="578"/>
      <c r="C231" t="s">
        <v>88</v>
      </c>
      <c r="D231" t="s">
        <v>455</v>
      </c>
      <c r="E231">
        <v>0</v>
      </c>
      <c r="F231" t="s">
        <v>560</v>
      </c>
      <c r="G231" t="s">
        <v>561</v>
      </c>
    </row>
    <row r="232" spans="1:15">
      <c r="A232" s="578"/>
      <c r="B232" s="578"/>
      <c r="C232" t="s">
        <v>147</v>
      </c>
      <c r="D232" t="s">
        <v>455</v>
      </c>
      <c r="E232">
        <v>0</v>
      </c>
      <c r="F232" t="s">
        <v>560</v>
      </c>
      <c r="G232" t="s">
        <v>561</v>
      </c>
    </row>
    <row r="233" spans="1:15" ht="14.5">
      <c r="A233" s="578"/>
      <c r="D233" t="s">
        <v>487</v>
      </c>
      <c r="E233" t="s">
        <v>490</v>
      </c>
      <c r="F233" t="s">
        <v>491</v>
      </c>
      <c r="G233" t="s">
        <v>492</v>
      </c>
      <c r="H233" t="s">
        <v>493</v>
      </c>
      <c r="I233" t="s">
        <v>494</v>
      </c>
      <c r="J233" t="s">
        <v>495</v>
      </c>
      <c r="K233" t="s">
        <v>496</v>
      </c>
      <c r="L233" t="s">
        <v>497</v>
      </c>
      <c r="M233" t="s">
        <v>558</v>
      </c>
      <c r="N233" s="206" t="s">
        <v>451</v>
      </c>
      <c r="O233" s="206" t="s">
        <v>452</v>
      </c>
    </row>
    <row r="234" spans="1:15">
      <c r="A234" s="578"/>
      <c r="B234" s="578" t="s">
        <v>562</v>
      </c>
      <c r="C234" t="s">
        <v>139</v>
      </c>
      <c r="D234">
        <v>2.5513633785540701E-3</v>
      </c>
      <c r="E234">
        <v>2.5513633785540701E-3</v>
      </c>
      <c r="F234">
        <v>2.5513633785540701E-3</v>
      </c>
      <c r="G234">
        <v>2.5513633785540701E-3</v>
      </c>
      <c r="H234">
        <v>2.5513633785540701E-3</v>
      </c>
      <c r="I234">
        <v>2.5513633785540701E-3</v>
      </c>
      <c r="J234">
        <v>2.5513633785540701E-3</v>
      </c>
      <c r="K234">
        <v>2.5513633785540701E-3</v>
      </c>
      <c r="L234">
        <v>2.5513633785540701E-3</v>
      </c>
      <c r="M234">
        <v>2.5513633785540701E-3</v>
      </c>
      <c r="N234" t="s">
        <v>553</v>
      </c>
    </row>
    <row r="235" spans="1:15">
      <c r="A235" s="578"/>
      <c r="B235" s="578"/>
      <c r="C235" t="s">
        <v>37</v>
      </c>
      <c r="D235">
        <v>8.9572559256740649E-4</v>
      </c>
      <c r="E235">
        <v>8.9572559256740649E-4</v>
      </c>
      <c r="F235">
        <v>8.9572559256740649E-4</v>
      </c>
      <c r="G235">
        <v>8.9572559256740649E-4</v>
      </c>
      <c r="H235">
        <v>8.9572559256740649E-4</v>
      </c>
      <c r="I235">
        <v>8.9572559256740649E-4</v>
      </c>
      <c r="J235">
        <v>8.9572559256740649E-4</v>
      </c>
      <c r="K235">
        <v>8.9572559256740649E-4</v>
      </c>
      <c r="L235">
        <v>8.9572559256740649E-4</v>
      </c>
      <c r="M235">
        <v>8.9572559256740649E-4</v>
      </c>
      <c r="N235" t="s">
        <v>553</v>
      </c>
    </row>
    <row r="236" spans="1:15">
      <c r="A236" s="578"/>
      <c r="B236" s="578"/>
      <c r="C236" t="s">
        <v>140</v>
      </c>
      <c r="D236">
        <v>0.27045966139818911</v>
      </c>
      <c r="E236">
        <v>0.27045966139818911</v>
      </c>
      <c r="F236">
        <v>0.27045966139818911</v>
      </c>
      <c r="G236">
        <v>0.27045966139818911</v>
      </c>
      <c r="H236">
        <v>0.27045966139818911</v>
      </c>
      <c r="I236">
        <v>0.27045966139818911</v>
      </c>
      <c r="J236">
        <v>0.27045966139818911</v>
      </c>
      <c r="K236">
        <v>0.27045966139818911</v>
      </c>
      <c r="L236">
        <v>0.27045966139818911</v>
      </c>
      <c r="M236">
        <v>0.27045966139818911</v>
      </c>
      <c r="N236" t="s">
        <v>553</v>
      </c>
    </row>
    <row r="237" spans="1:15">
      <c r="A237" s="578"/>
      <c r="B237" s="578"/>
      <c r="C237" t="s">
        <v>48</v>
      </c>
      <c r="D237">
        <v>5.9618861710221643E-4</v>
      </c>
      <c r="E237">
        <v>5.9618861710221643E-4</v>
      </c>
      <c r="F237">
        <v>5.9618861710221643E-4</v>
      </c>
      <c r="G237">
        <v>5.9618861710221643E-4</v>
      </c>
      <c r="H237">
        <v>5.9618861710221643E-4</v>
      </c>
      <c r="I237">
        <v>5.9618861710221643E-4</v>
      </c>
      <c r="J237">
        <v>5.9618861710221643E-4</v>
      </c>
      <c r="K237">
        <v>5.9618861710221643E-4</v>
      </c>
      <c r="L237">
        <v>5.9618861710221643E-4</v>
      </c>
      <c r="M237">
        <v>5.9618861710221643E-4</v>
      </c>
      <c r="N237" t="s">
        <v>553</v>
      </c>
    </row>
    <row r="238" spans="1:15">
      <c r="A238" s="578"/>
      <c r="B238" s="578"/>
      <c r="C238" t="s">
        <v>141</v>
      </c>
      <c r="D238">
        <v>5.3774881462878538E-2</v>
      </c>
      <c r="E238">
        <v>5.3774881462878538E-2</v>
      </c>
      <c r="F238">
        <v>5.3774881462878538E-2</v>
      </c>
      <c r="G238">
        <v>5.3774881462878538E-2</v>
      </c>
      <c r="H238">
        <v>5.3774881462878538E-2</v>
      </c>
      <c r="I238">
        <v>5.3774881462878538E-2</v>
      </c>
      <c r="J238">
        <v>5.3774881462878538E-2</v>
      </c>
      <c r="K238">
        <v>5.3774881462878538E-2</v>
      </c>
      <c r="L238">
        <v>5.3774881462878538E-2</v>
      </c>
      <c r="M238">
        <v>5.3774881462878538E-2</v>
      </c>
      <c r="N238" t="s">
        <v>553</v>
      </c>
    </row>
    <row r="239" spans="1:15">
      <c r="A239" s="578"/>
      <c r="B239" s="578"/>
      <c r="C239" t="s">
        <v>142</v>
      </c>
      <c r="D239">
        <v>3.5356612288573118E-3</v>
      </c>
      <c r="E239">
        <v>3.5356612288573118E-3</v>
      </c>
      <c r="F239">
        <v>3.5356612288573118E-3</v>
      </c>
      <c r="G239">
        <v>3.5356612288573118E-3</v>
      </c>
      <c r="H239">
        <v>3.5356612288573118E-3</v>
      </c>
      <c r="I239">
        <v>3.5356612288573118E-3</v>
      </c>
      <c r="J239">
        <v>3.5356612288573118E-3</v>
      </c>
      <c r="K239">
        <v>3.5356612288573118E-3</v>
      </c>
      <c r="L239">
        <v>3.5356612288573118E-3</v>
      </c>
      <c r="M239">
        <v>3.5356612288573118E-3</v>
      </c>
      <c r="N239" t="s">
        <v>553</v>
      </c>
    </row>
    <row r="240" spans="1:15">
      <c r="A240" s="578"/>
      <c r="B240" s="578"/>
      <c r="C240" t="s">
        <v>143</v>
      </c>
      <c r="D240">
        <v>1.1408174469579189E-3</v>
      </c>
      <c r="E240">
        <v>1.1408174469579189E-3</v>
      </c>
      <c r="F240">
        <v>1.1408174469579189E-3</v>
      </c>
      <c r="G240">
        <v>1.1408174469579189E-3</v>
      </c>
      <c r="H240">
        <v>1.1408174469579189E-3</v>
      </c>
      <c r="I240">
        <v>1.1408174469579189E-3</v>
      </c>
      <c r="J240">
        <v>1.1408174469579189E-3</v>
      </c>
      <c r="K240">
        <v>1.1408174469579189E-3</v>
      </c>
      <c r="L240">
        <v>1.1408174469579189E-3</v>
      </c>
      <c r="M240">
        <v>1.1408174469579189E-3</v>
      </c>
      <c r="N240" t="s">
        <v>553</v>
      </c>
    </row>
    <row r="241" spans="1:14">
      <c r="A241" s="578"/>
      <c r="B241" s="578"/>
      <c r="C241" t="s">
        <v>144</v>
      </c>
      <c r="D241">
        <v>7.1180648427493899E-4</v>
      </c>
      <c r="E241">
        <v>7.1180648427493899E-4</v>
      </c>
      <c r="F241">
        <v>7.1180648427493899E-4</v>
      </c>
      <c r="G241">
        <v>7.1180648427493899E-4</v>
      </c>
      <c r="H241">
        <v>7.1180648427493899E-4</v>
      </c>
      <c r="I241">
        <v>7.1180648427493899E-4</v>
      </c>
      <c r="J241">
        <v>7.1180648427493899E-4</v>
      </c>
      <c r="K241">
        <v>7.1180648427493899E-4</v>
      </c>
      <c r="L241">
        <v>7.1180648427493899E-4</v>
      </c>
      <c r="M241">
        <v>7.1180648427493899E-4</v>
      </c>
      <c r="N241" t="s">
        <v>553</v>
      </c>
    </row>
    <row r="242" spans="1:14">
      <c r="A242" s="578"/>
      <c r="B242" s="578"/>
      <c r="C242" t="s">
        <v>61</v>
      </c>
      <c r="D242">
        <v>8.9073394118153136E-4</v>
      </c>
      <c r="E242">
        <v>8.9073394118153136E-4</v>
      </c>
      <c r="F242">
        <v>8.9073394118153136E-4</v>
      </c>
      <c r="G242">
        <v>8.9073394118153136E-4</v>
      </c>
      <c r="H242">
        <v>8.9073394118153136E-4</v>
      </c>
      <c r="I242">
        <v>8.9073394118153136E-4</v>
      </c>
      <c r="J242">
        <v>8.9073394118153136E-4</v>
      </c>
      <c r="K242">
        <v>8.9073394118153136E-4</v>
      </c>
      <c r="L242">
        <v>8.9073394118153136E-4</v>
      </c>
      <c r="M242">
        <v>8.9073394118153136E-4</v>
      </c>
      <c r="N242" t="s">
        <v>553</v>
      </c>
    </row>
    <row r="243" spans="1:14">
      <c r="A243" s="578"/>
      <c r="B243" s="578"/>
      <c r="C243" t="s">
        <v>63</v>
      </c>
      <c r="D243">
        <v>0.46407249571283782</v>
      </c>
      <c r="E243">
        <v>0.46407249571283782</v>
      </c>
      <c r="F243">
        <v>0.46407249571283782</v>
      </c>
      <c r="G243">
        <v>0.46407249571283782</v>
      </c>
      <c r="H243">
        <v>0.46407249571283782</v>
      </c>
      <c r="I243">
        <v>0.46407249571283782</v>
      </c>
      <c r="J243">
        <v>0.46407249571283782</v>
      </c>
      <c r="K243">
        <v>0.46407249571283782</v>
      </c>
      <c r="L243">
        <v>0.46407249571283782</v>
      </c>
      <c r="M243">
        <v>0.46407249571283782</v>
      </c>
      <c r="N243" t="s">
        <v>553</v>
      </c>
    </row>
    <row r="244" spans="1:14">
      <c r="A244" s="578"/>
      <c r="B244" s="578"/>
      <c r="C244" t="s">
        <v>65</v>
      </c>
      <c r="D244">
        <v>9.9470816363295463E-3</v>
      </c>
      <c r="E244">
        <v>9.9470816363295463E-3</v>
      </c>
      <c r="F244">
        <v>9.9470816363295463E-3</v>
      </c>
      <c r="G244">
        <v>9.9470816363295463E-3</v>
      </c>
      <c r="H244">
        <v>9.9470816363295463E-3</v>
      </c>
      <c r="I244">
        <v>9.9470816363295463E-3</v>
      </c>
      <c r="J244">
        <v>9.9470816363295463E-3</v>
      </c>
      <c r="K244">
        <v>9.9470816363295463E-3</v>
      </c>
      <c r="L244">
        <v>9.9470816363295463E-3</v>
      </c>
      <c r="M244">
        <v>9.9470816363295463E-3</v>
      </c>
      <c r="N244" t="s">
        <v>553</v>
      </c>
    </row>
    <row r="245" spans="1:14">
      <c r="A245" s="578"/>
      <c r="B245" s="578"/>
      <c r="C245" t="s">
        <v>67</v>
      </c>
      <c r="D245">
        <v>4.2540015626118472E-3</v>
      </c>
      <c r="E245">
        <v>4.2540015626118472E-3</v>
      </c>
      <c r="F245">
        <v>4.2540015626118472E-3</v>
      </c>
      <c r="G245">
        <v>4.2540015626118472E-3</v>
      </c>
      <c r="H245">
        <v>4.2540015626118472E-3</v>
      </c>
      <c r="I245">
        <v>4.2540015626118472E-3</v>
      </c>
      <c r="J245">
        <v>4.2540015626118472E-3</v>
      </c>
      <c r="K245">
        <v>4.2540015626118472E-3</v>
      </c>
      <c r="L245">
        <v>4.2540015626118472E-3</v>
      </c>
      <c r="M245">
        <v>4.2540015626118472E-3</v>
      </c>
      <c r="N245" t="s">
        <v>553</v>
      </c>
    </row>
    <row r="246" spans="1:14">
      <c r="A246" s="578"/>
      <c r="B246" s="578"/>
      <c r="C246" t="s">
        <v>69</v>
      </c>
      <c r="D246">
        <v>5.2582658674127673E-4</v>
      </c>
      <c r="E246">
        <v>5.2582658674127673E-4</v>
      </c>
      <c r="F246">
        <v>5.2582658674127673E-4</v>
      </c>
      <c r="G246">
        <v>5.2582658674127673E-4</v>
      </c>
      <c r="H246">
        <v>5.2582658674127673E-4</v>
      </c>
      <c r="I246">
        <v>5.2582658674127673E-4</v>
      </c>
      <c r="J246">
        <v>5.2582658674127673E-4</v>
      </c>
      <c r="K246">
        <v>5.2582658674127673E-4</v>
      </c>
      <c r="L246">
        <v>5.2582658674127673E-4</v>
      </c>
      <c r="M246">
        <v>5.2582658674127673E-4</v>
      </c>
      <c r="N246" t="s">
        <v>553</v>
      </c>
    </row>
    <row r="247" spans="1:14">
      <c r="A247" s="578"/>
      <c r="B247" s="578"/>
      <c r="C247" t="s">
        <v>145</v>
      </c>
      <c r="D247">
        <v>0.1160694906470713</v>
      </c>
      <c r="E247">
        <v>0.1160694906470713</v>
      </c>
      <c r="F247">
        <v>0.1160694906470713</v>
      </c>
      <c r="G247">
        <v>0.1160694906470713</v>
      </c>
      <c r="H247">
        <v>0.1160694906470713</v>
      </c>
      <c r="I247">
        <v>0.1160694906470713</v>
      </c>
      <c r="J247">
        <v>0.1160694906470713</v>
      </c>
      <c r="K247">
        <v>0.1160694906470713</v>
      </c>
      <c r="L247">
        <v>0.1160694906470713</v>
      </c>
      <c r="M247">
        <v>0.1160694906470713</v>
      </c>
      <c r="N247" t="s">
        <v>553</v>
      </c>
    </row>
    <row r="248" spans="1:14">
      <c r="A248" s="578"/>
      <c r="B248" s="578"/>
      <c r="C248" t="s">
        <v>73</v>
      </c>
      <c r="D248">
        <v>2.2095407220904758E-3</v>
      </c>
      <c r="E248">
        <v>2.2095407220904758E-3</v>
      </c>
      <c r="F248">
        <v>2.2095407220904758E-3</v>
      </c>
      <c r="G248">
        <v>2.2095407220904758E-3</v>
      </c>
      <c r="H248">
        <v>2.2095407220904758E-3</v>
      </c>
      <c r="I248">
        <v>2.2095407220904758E-3</v>
      </c>
      <c r="J248">
        <v>2.2095407220904758E-3</v>
      </c>
      <c r="K248">
        <v>2.2095407220904758E-3</v>
      </c>
      <c r="L248">
        <v>2.2095407220904758E-3</v>
      </c>
      <c r="M248">
        <v>2.2095407220904758E-3</v>
      </c>
      <c r="N248" t="s">
        <v>553</v>
      </c>
    </row>
    <row r="249" spans="1:14">
      <c r="A249" s="578"/>
      <c r="B249" s="578"/>
      <c r="C249" t="s">
        <v>75</v>
      </c>
      <c r="D249">
        <v>3.2546401178710077E-2</v>
      </c>
      <c r="E249">
        <v>3.2546401178710077E-2</v>
      </c>
      <c r="F249">
        <v>3.2546401178710077E-2</v>
      </c>
      <c r="G249">
        <v>3.2546401178710077E-2</v>
      </c>
      <c r="H249">
        <v>3.2546401178710077E-2</v>
      </c>
      <c r="I249">
        <v>3.2546401178710077E-2</v>
      </c>
      <c r="J249">
        <v>3.2546401178710077E-2</v>
      </c>
      <c r="K249">
        <v>3.2546401178710077E-2</v>
      </c>
      <c r="L249">
        <v>3.2546401178710077E-2</v>
      </c>
      <c r="M249">
        <v>3.2546401178710077E-2</v>
      </c>
      <c r="N249" t="s">
        <v>553</v>
      </c>
    </row>
    <row r="250" spans="1:14">
      <c r="A250" s="578"/>
      <c r="B250" s="578"/>
      <c r="C250" t="s">
        <v>146</v>
      </c>
      <c r="D250">
        <v>3.3213143626621533E-2</v>
      </c>
      <c r="E250">
        <v>3.3213143626621533E-2</v>
      </c>
      <c r="F250">
        <v>3.3213143626621533E-2</v>
      </c>
      <c r="G250">
        <v>3.3213143626621533E-2</v>
      </c>
      <c r="H250">
        <v>3.3213143626621533E-2</v>
      </c>
      <c r="I250">
        <v>3.3213143626621533E-2</v>
      </c>
      <c r="J250">
        <v>3.3213143626621533E-2</v>
      </c>
      <c r="K250">
        <v>3.3213143626621533E-2</v>
      </c>
      <c r="L250">
        <v>3.3213143626621533E-2</v>
      </c>
      <c r="M250">
        <v>3.3213143626621533E-2</v>
      </c>
      <c r="N250" t="s">
        <v>553</v>
      </c>
    </row>
    <row r="251" spans="1:14">
      <c r="A251" s="578"/>
      <c r="B251" s="578"/>
      <c r="C251" t="s">
        <v>83</v>
      </c>
      <c r="D251">
        <v>1.010812060828759E-3</v>
      </c>
      <c r="E251">
        <v>1.010812060828759E-3</v>
      </c>
      <c r="F251">
        <v>1.010812060828759E-3</v>
      </c>
      <c r="G251">
        <v>1.010812060828759E-3</v>
      </c>
      <c r="H251">
        <v>1.010812060828759E-3</v>
      </c>
      <c r="I251">
        <v>1.010812060828759E-3</v>
      </c>
      <c r="J251">
        <v>1.010812060828759E-3</v>
      </c>
      <c r="K251">
        <v>1.010812060828759E-3</v>
      </c>
      <c r="L251">
        <v>1.010812060828759E-3</v>
      </c>
      <c r="M251">
        <v>1.010812060828759E-3</v>
      </c>
      <c r="N251" t="s">
        <v>553</v>
      </c>
    </row>
    <row r="252" spans="1:14">
      <c r="A252" s="578"/>
      <c r="B252" s="578"/>
      <c r="C252" t="s">
        <v>85</v>
      </c>
      <c r="D252">
        <v>7.4939628490951996E-4</v>
      </c>
      <c r="E252">
        <v>7.4939628490951996E-4</v>
      </c>
      <c r="F252">
        <v>7.4939628490951996E-4</v>
      </c>
      <c r="G252">
        <v>7.4939628490951996E-4</v>
      </c>
      <c r="H252">
        <v>7.4939628490951996E-4</v>
      </c>
      <c r="I252">
        <v>7.4939628490951996E-4</v>
      </c>
      <c r="J252">
        <v>7.4939628490951996E-4</v>
      </c>
      <c r="K252">
        <v>7.4939628490951996E-4</v>
      </c>
      <c r="L252">
        <v>7.4939628490951996E-4</v>
      </c>
      <c r="M252">
        <v>7.4939628490951996E-4</v>
      </c>
      <c r="N252" t="s">
        <v>553</v>
      </c>
    </row>
    <row r="253" spans="1:14">
      <c r="A253" s="578"/>
      <c r="B253" s="578"/>
      <c r="C253" t="s">
        <v>88</v>
      </c>
      <c r="D253">
        <v>8.449704306850549E-4</v>
      </c>
      <c r="E253">
        <v>8.449704306850549E-4</v>
      </c>
      <c r="F253">
        <v>8.449704306850549E-4</v>
      </c>
      <c r="G253">
        <v>8.449704306850549E-4</v>
      </c>
      <c r="H253">
        <v>8.449704306850549E-4</v>
      </c>
      <c r="I253">
        <v>8.449704306850549E-4</v>
      </c>
      <c r="J253">
        <v>8.449704306850549E-4</v>
      </c>
      <c r="K253">
        <v>8.449704306850549E-4</v>
      </c>
      <c r="L253">
        <v>8.449704306850549E-4</v>
      </c>
      <c r="M253">
        <v>8.449704306850549E-4</v>
      </c>
      <c r="N253" t="s">
        <v>553</v>
      </c>
    </row>
    <row r="254" spans="1:14">
      <c r="A254" s="578"/>
      <c r="B254" s="578"/>
      <c r="C254" t="s">
        <v>147</v>
      </c>
      <c r="D254">
        <v>0</v>
      </c>
      <c r="E254">
        <v>0</v>
      </c>
      <c r="F254">
        <v>0</v>
      </c>
      <c r="G254">
        <v>0</v>
      </c>
      <c r="H254">
        <v>0</v>
      </c>
      <c r="I254">
        <v>0</v>
      </c>
      <c r="J254">
        <v>0</v>
      </c>
      <c r="K254">
        <v>0</v>
      </c>
      <c r="L254">
        <v>0</v>
      </c>
      <c r="M254">
        <v>0</v>
      </c>
      <c r="N254" t="s">
        <v>553</v>
      </c>
    </row>
    <row r="255" spans="1:14">
      <c r="A255" s="578"/>
      <c r="B255" s="578" t="s">
        <v>563</v>
      </c>
      <c r="C255" t="s">
        <v>139</v>
      </c>
      <c r="D255">
        <v>9.8778217462186138E-2</v>
      </c>
      <c r="E255">
        <v>8.8447895137108712E-2</v>
      </c>
      <c r="F255">
        <v>0</v>
      </c>
      <c r="G255">
        <v>3.6135934399673691E-2</v>
      </c>
      <c r="H255">
        <v>6.7038223706282554E-2</v>
      </c>
      <c r="I255">
        <v>5.164244070239684E-2</v>
      </c>
      <c r="J255">
        <v>1.2209550737911457E-2</v>
      </c>
      <c r="K255">
        <v>0</v>
      </c>
      <c r="L255">
        <v>6.0791287792192186E-2</v>
      </c>
      <c r="M255">
        <v>2.1915711055323733E-2</v>
      </c>
      <c r="N255" t="s">
        <v>553</v>
      </c>
    </row>
    <row r="256" spans="1:14">
      <c r="A256" s="578"/>
      <c r="B256" s="578"/>
      <c r="C256" t="s">
        <v>37</v>
      </c>
      <c r="D256">
        <v>3.197596922582064</v>
      </c>
      <c r="E256">
        <v>35.878624358665597</v>
      </c>
      <c r="F256">
        <v>0</v>
      </c>
      <c r="G256">
        <v>10.773419303593224</v>
      </c>
      <c r="H256">
        <v>27.968495626729318</v>
      </c>
      <c r="I256">
        <v>0.15373550650531645</v>
      </c>
      <c r="J256">
        <v>7.1684090024728064</v>
      </c>
      <c r="K256">
        <v>0</v>
      </c>
      <c r="L256">
        <v>28.902694623756421</v>
      </c>
      <c r="M256">
        <v>11.346990040249359</v>
      </c>
      <c r="N256" t="s">
        <v>553</v>
      </c>
    </row>
    <row r="257" spans="1:14">
      <c r="A257" s="578"/>
      <c r="B257" s="578"/>
      <c r="C257" t="s">
        <v>140</v>
      </c>
      <c r="D257">
        <v>0.34806662838878816</v>
      </c>
      <c r="E257">
        <v>0.16384952462209457</v>
      </c>
      <c r="F257">
        <v>0</v>
      </c>
      <c r="G257">
        <v>0.25958580808482246</v>
      </c>
      <c r="H257">
        <v>0.26098384344577291</v>
      </c>
      <c r="I257">
        <v>0.60955943743263141</v>
      </c>
      <c r="J257">
        <v>0.19453635816337606</v>
      </c>
      <c r="K257">
        <v>0</v>
      </c>
      <c r="L257">
        <v>0.38686199124180576</v>
      </c>
      <c r="M257">
        <v>0.25903623506053797</v>
      </c>
      <c r="N257" t="s">
        <v>553</v>
      </c>
    </row>
    <row r="258" spans="1:14">
      <c r="A258" s="578"/>
      <c r="B258" s="578"/>
      <c r="C258" t="s">
        <v>48</v>
      </c>
      <c r="D258">
        <v>9.4936511872824689E-2</v>
      </c>
      <c r="E258">
        <v>0.2329666004885583</v>
      </c>
      <c r="F258">
        <v>0</v>
      </c>
      <c r="G258">
        <v>2.0958104663275606E-2</v>
      </c>
      <c r="H258">
        <v>0.32929938722187535</v>
      </c>
      <c r="I258">
        <v>0.60044577298855439</v>
      </c>
      <c r="J258">
        <v>0.30901312331589087</v>
      </c>
      <c r="K258">
        <v>0</v>
      </c>
      <c r="L258">
        <v>0.37157094752473907</v>
      </c>
      <c r="M258">
        <v>0.2996883719703673</v>
      </c>
      <c r="N258" t="s">
        <v>553</v>
      </c>
    </row>
    <row r="259" spans="1:14">
      <c r="A259" s="578"/>
      <c r="B259" s="578"/>
      <c r="C259" t="s">
        <v>141</v>
      </c>
      <c r="D259">
        <v>7.9413982670598765E-2</v>
      </c>
      <c r="E259">
        <v>7.3831150556391348E-2</v>
      </c>
      <c r="F259">
        <v>0</v>
      </c>
      <c r="G259">
        <v>5.5043903367969466E-2</v>
      </c>
      <c r="H259">
        <v>4.5484714004610051E-2</v>
      </c>
      <c r="I259">
        <v>8.5537332672788444E-2</v>
      </c>
      <c r="J259">
        <v>3.2023703837406582E-2</v>
      </c>
      <c r="K259">
        <v>0</v>
      </c>
      <c r="L259">
        <v>8.899204746752358E-2</v>
      </c>
      <c r="M259">
        <v>0.14946898782043552</v>
      </c>
      <c r="N259" t="s">
        <v>553</v>
      </c>
    </row>
    <row r="260" spans="1:14">
      <c r="A260" s="578"/>
      <c r="B260" s="578"/>
      <c r="C260" t="s">
        <v>142</v>
      </c>
      <c r="D260">
        <v>1.1227894047773026</v>
      </c>
      <c r="E260">
        <v>0.72212075798415021</v>
      </c>
      <c r="F260">
        <v>0</v>
      </c>
      <c r="G260">
        <v>0.42020830674340681</v>
      </c>
      <c r="H260">
        <v>0.51393362509381191</v>
      </c>
      <c r="I260">
        <v>1.5346809959998697</v>
      </c>
      <c r="J260">
        <v>0.54044663839233897</v>
      </c>
      <c r="K260">
        <v>0</v>
      </c>
      <c r="L260">
        <v>0.65274679575796579</v>
      </c>
      <c r="M260">
        <v>1.6445060186877827E-2</v>
      </c>
      <c r="N260" t="s">
        <v>553</v>
      </c>
    </row>
    <row r="261" spans="1:14">
      <c r="A261" s="578"/>
      <c r="B261" s="578"/>
      <c r="C261" t="s">
        <v>143</v>
      </c>
      <c r="D261">
        <v>0.4379039686854293</v>
      </c>
      <c r="E261">
        <v>0.6846620278115888</v>
      </c>
      <c r="F261">
        <v>0</v>
      </c>
      <c r="G261">
        <v>4.0100133110348525E-2</v>
      </c>
      <c r="H261">
        <v>0.10716135573747591</v>
      </c>
      <c r="I261">
        <v>0.77035450342875866</v>
      </c>
      <c r="J261">
        <v>7.3105535302079042E-2</v>
      </c>
      <c r="K261">
        <v>0</v>
      </c>
      <c r="L261">
        <v>0.15509749007991028</v>
      </c>
      <c r="M261">
        <v>0.13245111184401889</v>
      </c>
      <c r="N261" t="s">
        <v>553</v>
      </c>
    </row>
    <row r="262" spans="1:14">
      <c r="A262" s="578"/>
      <c r="B262" s="578"/>
      <c r="C262" t="s">
        <v>144</v>
      </c>
      <c r="D262">
        <v>1.3610651844748565</v>
      </c>
      <c r="E262">
        <v>0.17980597291985004</v>
      </c>
      <c r="F262">
        <v>0</v>
      </c>
      <c r="G262">
        <v>0.14139881651279687</v>
      </c>
      <c r="H262">
        <v>0.17284312842256139</v>
      </c>
      <c r="I262">
        <v>0.79036146130003126</v>
      </c>
      <c r="J262">
        <v>0.17491397094694</v>
      </c>
      <c r="K262">
        <v>0</v>
      </c>
      <c r="L262">
        <v>0.21690264576146365</v>
      </c>
      <c r="M262">
        <v>0.16237338675310675</v>
      </c>
      <c r="N262" t="s">
        <v>553</v>
      </c>
    </row>
    <row r="263" spans="1:14">
      <c r="A263" s="578"/>
      <c r="B263" s="578"/>
      <c r="C263" t="s">
        <v>61</v>
      </c>
      <c r="D263">
        <v>6.3453660045251483E-3</v>
      </c>
      <c r="E263">
        <v>6.9508953357065315E-3</v>
      </c>
      <c r="F263">
        <v>0</v>
      </c>
      <c r="G263">
        <v>2.3769740483553328E-3</v>
      </c>
      <c r="H263">
        <v>2.9154704720794314E-3</v>
      </c>
      <c r="I263">
        <v>6.3112246278322253E-3</v>
      </c>
      <c r="J263">
        <v>2.9330925695746856E-3</v>
      </c>
      <c r="K263">
        <v>0</v>
      </c>
      <c r="L263">
        <v>4.9422800102514649E-3</v>
      </c>
      <c r="M263">
        <v>3.6299915571975055E-3</v>
      </c>
      <c r="N263" t="s">
        <v>553</v>
      </c>
    </row>
    <row r="264" spans="1:14">
      <c r="A264" s="578"/>
      <c r="B264" s="578"/>
      <c r="C264" t="s">
        <v>63</v>
      </c>
      <c r="D264">
        <v>3.5099113293676253E-3</v>
      </c>
      <c r="E264">
        <v>4.5778423289488165E-3</v>
      </c>
      <c r="F264">
        <v>0</v>
      </c>
      <c r="G264">
        <v>3.1015315792633749E-3</v>
      </c>
      <c r="H264">
        <v>3.060649294324732E-3</v>
      </c>
      <c r="I264">
        <v>4.6298752362486954E-3</v>
      </c>
      <c r="J264">
        <v>3.4707019276947419E-3</v>
      </c>
      <c r="K264">
        <v>0</v>
      </c>
      <c r="L264">
        <v>4.0357845311372346E-3</v>
      </c>
      <c r="M264">
        <v>8.1001175029475972E-3</v>
      </c>
      <c r="N264" t="s">
        <v>553</v>
      </c>
    </row>
    <row r="265" spans="1:14">
      <c r="A265" s="578"/>
      <c r="B265" s="578"/>
      <c r="C265" t="s">
        <v>65</v>
      </c>
      <c r="D265">
        <v>0.30040137086119145</v>
      </c>
      <c r="E265">
        <v>0.8162304541608022</v>
      </c>
      <c r="F265">
        <v>0</v>
      </c>
      <c r="G265">
        <v>0.17163584586853362</v>
      </c>
      <c r="H265">
        <v>0.36708801508716499</v>
      </c>
      <c r="I265">
        <v>0.5733028052756618</v>
      </c>
      <c r="J265">
        <v>0.36053533297368151</v>
      </c>
      <c r="K265">
        <v>0</v>
      </c>
      <c r="L265">
        <v>0.35372738519413921</v>
      </c>
      <c r="M265">
        <v>0.13247000382341295</v>
      </c>
      <c r="N265" t="s">
        <v>553</v>
      </c>
    </row>
    <row r="266" spans="1:14">
      <c r="A266" s="578"/>
      <c r="B266" s="578"/>
      <c r="C266" t="s">
        <v>67</v>
      </c>
      <c r="D266">
        <v>0.2504758775218115</v>
      </c>
      <c r="E266">
        <v>0.38393867104279122</v>
      </c>
      <c r="F266">
        <v>0</v>
      </c>
      <c r="G266">
        <v>6.9537681322439607E-2</v>
      </c>
      <c r="H266">
        <v>7.8476417779810945E-2</v>
      </c>
      <c r="I266">
        <v>0.123120042840828</v>
      </c>
      <c r="J266">
        <v>7.6616058593318256E-2</v>
      </c>
      <c r="K266">
        <v>0</v>
      </c>
      <c r="L266">
        <v>8.3221839681529242E-2</v>
      </c>
      <c r="M266">
        <v>8.3227374648482857E-2</v>
      </c>
      <c r="N266" t="s">
        <v>553</v>
      </c>
    </row>
    <row r="267" spans="1:14">
      <c r="A267" s="578"/>
      <c r="B267" s="578"/>
      <c r="C267" t="s">
        <v>69</v>
      </c>
      <c r="D267">
        <v>1.385647331259421E-3</v>
      </c>
      <c r="E267">
        <v>2.0950796689787115E-3</v>
      </c>
      <c r="F267">
        <v>0</v>
      </c>
      <c r="G267">
        <v>1.7961172118462375E-3</v>
      </c>
      <c r="H267">
        <v>1.8071264816239634E-3</v>
      </c>
      <c r="I267">
        <v>1.7100384676131254E-3</v>
      </c>
      <c r="J267">
        <v>1.8153645492217439E-3</v>
      </c>
      <c r="K267">
        <v>0</v>
      </c>
      <c r="L267">
        <v>1.8631162228620924E-3</v>
      </c>
      <c r="M267">
        <v>3.7291868492754995E-3</v>
      </c>
      <c r="N267" t="s">
        <v>553</v>
      </c>
    </row>
    <row r="268" spans="1:14">
      <c r="A268" s="578"/>
      <c r="B268" s="578"/>
      <c r="C268" t="s">
        <v>145</v>
      </c>
      <c r="D268">
        <v>8.7988567337319371E-2</v>
      </c>
      <c r="E268">
        <v>0.12483958560752681</v>
      </c>
      <c r="F268">
        <v>0</v>
      </c>
      <c r="G268">
        <v>0.11119183189515991</v>
      </c>
      <c r="H268">
        <v>0.11865826990151734</v>
      </c>
      <c r="I268">
        <v>0.10272518597993147</v>
      </c>
      <c r="J268">
        <v>0.11196385653532406</v>
      </c>
      <c r="K268">
        <v>0</v>
      </c>
      <c r="L268">
        <v>0.11475307274077468</v>
      </c>
      <c r="M268">
        <v>0.1901585475064865</v>
      </c>
      <c r="N268" t="s">
        <v>553</v>
      </c>
    </row>
    <row r="269" spans="1:14">
      <c r="A269" s="578"/>
      <c r="B269" s="578"/>
      <c r="C269" t="s">
        <v>73</v>
      </c>
      <c r="D269">
        <v>0.12787942391586563</v>
      </c>
      <c r="E269">
        <v>0.13829380692184939</v>
      </c>
      <c r="F269">
        <v>0</v>
      </c>
      <c r="G269">
        <v>0.1405078252100935</v>
      </c>
      <c r="H269">
        <v>0.14089404693438781</v>
      </c>
      <c r="I269">
        <v>0.13260848430652974</v>
      </c>
      <c r="J269">
        <v>0.14044307762131775</v>
      </c>
      <c r="K269">
        <v>0</v>
      </c>
      <c r="L269">
        <v>0.13810634214188164</v>
      </c>
      <c r="M269">
        <v>0.17345551015951152</v>
      </c>
      <c r="N269" t="s">
        <v>553</v>
      </c>
    </row>
    <row r="270" spans="1:14">
      <c r="A270" s="578"/>
      <c r="B270" s="578"/>
      <c r="C270" t="s">
        <v>75</v>
      </c>
      <c r="D270">
        <v>5.2945291771413884E-3</v>
      </c>
      <c r="E270">
        <v>7.5748064420981982E-3</v>
      </c>
      <c r="F270">
        <v>0</v>
      </c>
      <c r="G270">
        <v>6.6087047035372709E-3</v>
      </c>
      <c r="H270">
        <v>6.6689521983379907E-3</v>
      </c>
      <c r="I270">
        <v>6.4408611769911986E-3</v>
      </c>
      <c r="J270">
        <v>6.6913544286622299E-3</v>
      </c>
      <c r="K270">
        <v>0</v>
      </c>
      <c r="L270">
        <v>6.9055521783774046E-3</v>
      </c>
      <c r="M270">
        <v>1.2621419561698138E-2</v>
      </c>
      <c r="N270" t="s">
        <v>553</v>
      </c>
    </row>
    <row r="271" spans="1:14">
      <c r="A271" s="578"/>
      <c r="B271" s="578"/>
      <c r="C271" t="s">
        <v>146</v>
      </c>
      <c r="D271">
        <v>0.11959100126208377</v>
      </c>
      <c r="E271">
        <v>8.9241198966373517E-2</v>
      </c>
      <c r="F271">
        <v>0</v>
      </c>
      <c r="G271">
        <v>0.10025639637351205</v>
      </c>
      <c r="H271">
        <v>9.8934516573110753E-2</v>
      </c>
      <c r="I271">
        <v>0.11958416065143625</v>
      </c>
      <c r="J271">
        <v>0.10036684000637894</v>
      </c>
      <c r="K271">
        <v>0</v>
      </c>
      <c r="L271">
        <v>9.8419248563874406E-2</v>
      </c>
      <c r="M271">
        <v>5.9698771909224187E-2</v>
      </c>
      <c r="N271" t="s">
        <v>553</v>
      </c>
    </row>
    <row r="272" spans="1:14">
      <c r="A272" s="578"/>
      <c r="B272" s="578"/>
      <c r="C272" t="s">
        <v>83</v>
      </c>
      <c r="D272">
        <v>4.2999608855792702E-2</v>
      </c>
      <c r="E272">
        <v>2.513854663347305E-2</v>
      </c>
      <c r="F272">
        <v>0</v>
      </c>
      <c r="G272">
        <v>1.9544472138019461E-2</v>
      </c>
      <c r="H272">
        <v>2.018148297556616E-2</v>
      </c>
      <c r="I272">
        <v>2.0361051325428953E-2</v>
      </c>
      <c r="J272">
        <v>1.9741937104654474E-2</v>
      </c>
      <c r="K272">
        <v>0</v>
      </c>
      <c r="L272">
        <v>4.8231879006643157E-2</v>
      </c>
      <c r="M272">
        <v>4.5000530474347544E-2</v>
      </c>
      <c r="N272" t="s">
        <v>553</v>
      </c>
    </row>
    <row r="273" spans="1:14">
      <c r="A273" s="578"/>
      <c r="B273" s="578"/>
      <c r="C273" t="s">
        <v>85</v>
      </c>
      <c r="D273">
        <v>9.2229121465904548E-2</v>
      </c>
      <c r="E273">
        <v>4.3492805492153182E-2</v>
      </c>
      <c r="F273">
        <v>0</v>
      </c>
      <c r="G273">
        <v>8.2394842249451455E-2</v>
      </c>
      <c r="H273">
        <v>0.33626939648963744</v>
      </c>
      <c r="I273">
        <v>0.20926546312002287</v>
      </c>
      <c r="J273">
        <v>0.34864327559904645</v>
      </c>
      <c r="K273">
        <v>0</v>
      </c>
      <c r="L273">
        <v>0.39002270113236387</v>
      </c>
      <c r="M273">
        <v>0.22625690932793965</v>
      </c>
      <c r="N273" t="s">
        <v>553</v>
      </c>
    </row>
    <row r="274" spans="1:14">
      <c r="A274" s="578"/>
      <c r="B274" s="578"/>
      <c r="C274" t="s">
        <v>88</v>
      </c>
      <c r="D274">
        <v>1.3764210582632873E-3</v>
      </c>
      <c r="E274">
        <v>1.3081918953623045E-3</v>
      </c>
      <c r="F274">
        <v>0</v>
      </c>
      <c r="G274">
        <v>6.9302766041770612E-4</v>
      </c>
      <c r="H274">
        <v>1.5599259047045914E-3</v>
      </c>
      <c r="I274">
        <v>2.4792885743636999E-3</v>
      </c>
      <c r="J274">
        <v>6.9171633268777651E-4</v>
      </c>
      <c r="K274">
        <v>0</v>
      </c>
      <c r="L274">
        <v>3.5425147724265642E-3</v>
      </c>
      <c r="M274">
        <v>1.406016896515271E-3</v>
      </c>
      <c r="N274" t="s">
        <v>553</v>
      </c>
    </row>
    <row r="275" spans="1:14">
      <c r="A275" s="578"/>
      <c r="B275" s="578"/>
      <c r="C275" t="s">
        <v>147</v>
      </c>
      <c r="D275">
        <v>0</v>
      </c>
      <c r="E275">
        <v>0</v>
      </c>
      <c r="F275">
        <v>0</v>
      </c>
      <c r="G275">
        <v>0</v>
      </c>
      <c r="H275">
        <v>0</v>
      </c>
      <c r="I275">
        <v>0</v>
      </c>
      <c r="J275">
        <v>0</v>
      </c>
      <c r="K275">
        <v>0</v>
      </c>
      <c r="L275">
        <v>0</v>
      </c>
      <c r="M275">
        <v>0</v>
      </c>
      <c r="N275" t="s">
        <v>553</v>
      </c>
    </row>
    <row r="276" spans="1:14">
      <c r="A276" s="578"/>
      <c r="B276" s="578" t="s">
        <v>564</v>
      </c>
      <c r="C276" t="s">
        <v>139</v>
      </c>
      <c r="D276" s="176">
        <v>9.3819231270242745E-4</v>
      </c>
      <c r="E276" s="176">
        <v>8.1731366960009332E-4</v>
      </c>
      <c r="F276" s="176">
        <v>0</v>
      </c>
      <c r="G276" s="176">
        <v>5.4845068760101792E-4</v>
      </c>
      <c r="H276" s="176">
        <v>4.0253282886514231E-4</v>
      </c>
      <c r="I276" s="176">
        <v>6.4674722786815016E-4</v>
      </c>
      <c r="J276" s="176">
        <v>1.5380410991822279E-3</v>
      </c>
      <c r="K276" s="176">
        <v>0</v>
      </c>
      <c r="L276" s="176">
        <v>3.9797945761938423E-2</v>
      </c>
      <c r="M276" s="176">
        <v>5.7211181046393699E-4</v>
      </c>
      <c r="N276" t="s">
        <v>553</v>
      </c>
    </row>
    <row r="277" spans="1:14">
      <c r="A277" s="578"/>
      <c r="B277" s="578"/>
      <c r="C277" t="s">
        <v>37</v>
      </c>
      <c r="D277" s="176">
        <v>3.2235926698173101E-2</v>
      </c>
      <c r="E277" s="176">
        <v>5.3814294013109984E-4</v>
      </c>
      <c r="F277" s="176">
        <v>0</v>
      </c>
      <c r="G277" s="176">
        <v>4.3671595643066813E-4</v>
      </c>
      <c r="H277" s="176">
        <v>4.1278009998461441E-4</v>
      </c>
      <c r="I277" s="176">
        <v>0.25128756642458971</v>
      </c>
      <c r="J277" s="176">
        <v>3.8920647050488003E-4</v>
      </c>
      <c r="K277" s="176">
        <v>0</v>
      </c>
      <c r="L277" s="176">
        <v>4.4426556182886528E-4</v>
      </c>
      <c r="M277" s="176">
        <v>1.9851049341810471E-4</v>
      </c>
      <c r="N277" t="s">
        <v>553</v>
      </c>
    </row>
    <row r="278" spans="1:14">
      <c r="A278" s="578"/>
      <c r="B278" s="578"/>
      <c r="C278" t="s">
        <v>140</v>
      </c>
      <c r="D278" s="176">
        <v>0.10212372641847731</v>
      </c>
      <c r="E278" s="176">
        <v>7.9094106755435045E-2</v>
      </c>
      <c r="F278" s="176">
        <v>0</v>
      </c>
      <c r="G278" s="176">
        <v>5.9305215009524237E-2</v>
      </c>
      <c r="H278" s="176">
        <v>4.4498970259855643E-2</v>
      </c>
      <c r="I278" s="176">
        <v>2.9215379952470769E-2</v>
      </c>
      <c r="J278" s="176">
        <v>3.8668025624162397E-2</v>
      </c>
      <c r="K278" s="176">
        <v>0</v>
      </c>
      <c r="L278" s="176">
        <v>5.6904676792876127E-2</v>
      </c>
      <c r="M278" s="176">
        <v>1.698447169743619E-2</v>
      </c>
      <c r="N278" t="s">
        <v>553</v>
      </c>
    </row>
    <row r="279" spans="1:14">
      <c r="A279" s="578"/>
      <c r="B279" s="578"/>
      <c r="C279" t="s">
        <v>48</v>
      </c>
      <c r="D279" s="176">
        <v>2.6751499414646059E-2</v>
      </c>
      <c r="E279" s="176">
        <v>1.0460779798307059E-2</v>
      </c>
      <c r="F279" s="176">
        <v>0</v>
      </c>
      <c r="G279" s="176">
        <v>9.6664224047734101E-3</v>
      </c>
      <c r="H279" s="176">
        <v>9.9386667656161231E-3</v>
      </c>
      <c r="I279" s="176">
        <v>0.16581408954213711</v>
      </c>
      <c r="J279" s="176">
        <v>6.0809842480165372E-3</v>
      </c>
      <c r="K279" s="176">
        <v>0</v>
      </c>
      <c r="L279" s="176">
        <v>1.3377626290463841E-2</v>
      </c>
      <c r="M279" s="176">
        <v>1.1888048059152279E-3</v>
      </c>
      <c r="N279" t="s">
        <v>553</v>
      </c>
    </row>
    <row r="280" spans="1:14">
      <c r="A280" s="578"/>
      <c r="B280" s="578"/>
      <c r="C280" t="s">
        <v>141</v>
      </c>
      <c r="D280" s="176">
        <v>7.260886071750251E-3</v>
      </c>
      <c r="E280" s="176">
        <v>7.0974348157846782E-3</v>
      </c>
      <c r="F280" s="176">
        <v>0</v>
      </c>
      <c r="G280" s="176">
        <v>4.2075226454911354E-3</v>
      </c>
      <c r="H280" s="176">
        <v>3.3696587176427011E-3</v>
      </c>
      <c r="I280" s="176">
        <v>2.5857297842179759E-3</v>
      </c>
      <c r="J280" s="176">
        <v>2.981361430405483E-3</v>
      </c>
      <c r="K280" s="176">
        <v>0</v>
      </c>
      <c r="L280" s="176">
        <v>4.9230501643167616E-3</v>
      </c>
      <c r="M280" s="176">
        <v>1.020456687697805E-3</v>
      </c>
      <c r="N280" t="s">
        <v>553</v>
      </c>
    </row>
    <row r="281" spans="1:14">
      <c r="A281" s="578"/>
      <c r="B281" s="578"/>
      <c r="C281" t="s">
        <v>142</v>
      </c>
      <c r="D281" s="176">
        <v>2.5006209701987949E-4</v>
      </c>
      <c r="E281" s="176">
        <v>3.4308680177645321E-4</v>
      </c>
      <c r="F281" s="176">
        <v>0</v>
      </c>
      <c r="G281" s="176">
        <v>3.0040845668367921E-4</v>
      </c>
      <c r="H281" s="176">
        <v>2.4960523099690869E-4</v>
      </c>
      <c r="I281" s="176">
        <v>1.11772490647851E-4</v>
      </c>
      <c r="J281" s="176">
        <v>2.344632583108729E-4</v>
      </c>
      <c r="K281" s="176">
        <v>0</v>
      </c>
      <c r="L281" s="176">
        <v>2.6298601293474691E-4</v>
      </c>
      <c r="M281" s="176">
        <v>0.65924560314779113</v>
      </c>
      <c r="N281" t="s">
        <v>553</v>
      </c>
    </row>
    <row r="282" spans="1:14">
      <c r="A282" s="578"/>
      <c r="B282" s="578"/>
      <c r="C282" t="s">
        <v>143</v>
      </c>
      <c r="D282" s="176">
        <v>0.20235140510655841</v>
      </c>
      <c r="E282" s="176">
        <v>0.28549932105226139</v>
      </c>
      <c r="F282" s="176">
        <v>0</v>
      </c>
      <c r="G282" s="176">
        <v>0.16088019767548409</v>
      </c>
      <c r="H282" s="176">
        <v>0.15242528973707389</v>
      </c>
      <c r="I282" s="176">
        <v>0.14233534831371861</v>
      </c>
      <c r="J282" s="176">
        <v>0.1464478494712122</v>
      </c>
      <c r="K282" s="176">
        <v>0</v>
      </c>
      <c r="L282" s="176">
        <v>0.26123123867757592</v>
      </c>
      <c r="M282" s="176">
        <v>1.8009297380181349E-2</v>
      </c>
      <c r="N282" t="s">
        <v>553</v>
      </c>
    </row>
    <row r="283" spans="1:14">
      <c r="A283" s="578"/>
      <c r="B283" s="578"/>
      <c r="C283" t="s">
        <v>144</v>
      </c>
      <c r="D283" s="176">
        <v>5.2872088462416447E-5</v>
      </c>
      <c r="E283" s="176">
        <v>7.2750342011917247E-5</v>
      </c>
      <c r="F283" s="176">
        <v>0</v>
      </c>
      <c r="G283" s="176">
        <v>6.3255217866343174E-5</v>
      </c>
      <c r="H283" s="176">
        <v>5.2453678998168083E-5</v>
      </c>
      <c r="I283" s="176">
        <v>2.369462864756208E-5</v>
      </c>
      <c r="J283" s="176">
        <v>4.9259689658776082E-5</v>
      </c>
      <c r="K283" s="176">
        <v>0</v>
      </c>
      <c r="L283" s="176">
        <v>5.5500569203944077E-5</v>
      </c>
      <c r="M283" s="176">
        <v>2.481705013408396E-5</v>
      </c>
      <c r="N283" t="s">
        <v>553</v>
      </c>
    </row>
    <row r="284" spans="1:14">
      <c r="A284" s="578"/>
      <c r="B284" s="578"/>
      <c r="C284" t="s">
        <v>61</v>
      </c>
      <c r="D284" s="176">
        <v>1.090869030310071E-2</v>
      </c>
      <c r="E284" s="176">
        <v>1.309983383504318E-2</v>
      </c>
      <c r="F284" s="176">
        <v>0</v>
      </c>
      <c r="G284" s="176">
        <v>1.7982491074677909E-2</v>
      </c>
      <c r="H284" s="176">
        <v>1.7259310618783281E-2</v>
      </c>
      <c r="I284" s="176">
        <v>3.9293352050674777E-3</v>
      </c>
      <c r="J284" s="176">
        <v>1.631942686203092E-2</v>
      </c>
      <c r="K284" s="176">
        <v>0</v>
      </c>
      <c r="L284" s="176">
        <v>1.4368576394863121E-2</v>
      </c>
      <c r="M284" s="176">
        <v>8.5270862961735697E-3</v>
      </c>
      <c r="N284" t="s">
        <v>553</v>
      </c>
    </row>
    <row r="285" spans="1:14">
      <c r="A285" s="578"/>
      <c r="B285" s="578"/>
      <c r="C285" t="s">
        <v>63</v>
      </c>
      <c r="D285" s="176">
        <v>3.5172270069909958E-2</v>
      </c>
      <c r="E285" s="176">
        <v>3.3739412530330422E-2</v>
      </c>
      <c r="F285" s="176">
        <v>0</v>
      </c>
      <c r="G285" s="176">
        <v>5.9242145070516852E-2</v>
      </c>
      <c r="H285" s="176">
        <v>5.6511186381348201E-2</v>
      </c>
      <c r="I285" s="176">
        <v>1.1319611503041871E-2</v>
      </c>
      <c r="J285" s="176">
        <v>5.3899811717253568E-2</v>
      </c>
      <c r="K285" s="176">
        <v>0</v>
      </c>
      <c r="L285" s="176">
        <v>4.3733451750870532E-2</v>
      </c>
      <c r="M285" s="176">
        <v>1.3981716681470699E-2</v>
      </c>
      <c r="N285" t="s">
        <v>553</v>
      </c>
    </row>
    <row r="286" spans="1:14">
      <c r="A286" s="578"/>
      <c r="B286" s="578"/>
      <c r="C286" t="s">
        <v>65</v>
      </c>
      <c r="D286" s="176">
        <v>6.0818822045522899E-2</v>
      </c>
      <c r="E286" s="176">
        <v>3.0789549271663368E-2</v>
      </c>
      <c r="F286" s="176">
        <v>0</v>
      </c>
      <c r="G286" s="176">
        <v>3.8617993237973838E-2</v>
      </c>
      <c r="H286" s="176">
        <v>6.6026987292395936E-2</v>
      </c>
      <c r="I286" s="176">
        <v>2.5401431600658601E-2</v>
      </c>
      <c r="J286" s="176">
        <v>6.3047263654023911E-2</v>
      </c>
      <c r="K286" s="176">
        <v>0</v>
      </c>
      <c r="L286" s="176">
        <v>8.3807570620772195E-2</v>
      </c>
      <c r="M286" s="176">
        <v>1.120706533236499E-2</v>
      </c>
      <c r="N286" t="s">
        <v>553</v>
      </c>
    </row>
    <row r="287" spans="1:14">
      <c r="A287" s="578"/>
      <c r="B287" s="578"/>
      <c r="C287" t="s">
        <v>67</v>
      </c>
      <c r="D287" s="176">
        <v>1.618892222162422E-2</v>
      </c>
      <c r="E287" s="176">
        <v>1.7156615239979481E-2</v>
      </c>
      <c r="F287" s="176">
        <v>0</v>
      </c>
      <c r="G287" s="176">
        <v>6.2393397486286226E-3</v>
      </c>
      <c r="H287" s="176">
        <v>8.1988389896700733E-3</v>
      </c>
      <c r="I287" s="176">
        <v>4.125851389824269E-3</v>
      </c>
      <c r="J287" s="176">
        <v>7.8059879291877054E-3</v>
      </c>
      <c r="K287" s="176">
        <v>0</v>
      </c>
      <c r="L287" s="176">
        <v>1.0853860005176399E-2</v>
      </c>
      <c r="M287" s="176">
        <v>2.8984298890737548E-3</v>
      </c>
      <c r="N287" t="s">
        <v>553</v>
      </c>
    </row>
    <row r="288" spans="1:14">
      <c r="A288" s="578"/>
      <c r="B288" s="578"/>
      <c r="C288" t="s">
        <v>69</v>
      </c>
      <c r="D288" s="176">
        <v>3.4639757977454992E-3</v>
      </c>
      <c r="E288" s="176">
        <v>2.65840549626549E-3</v>
      </c>
      <c r="F288" s="176">
        <v>0</v>
      </c>
      <c r="G288" s="176">
        <v>1.713045931397699E-3</v>
      </c>
      <c r="H288" s="176">
        <v>1.205417001429736E-3</v>
      </c>
      <c r="I288" s="176">
        <v>2.5447915003708132E-3</v>
      </c>
      <c r="J288" s="176">
        <v>6.9066872595555983E-3</v>
      </c>
      <c r="K288" s="176">
        <v>0</v>
      </c>
      <c r="L288" s="176">
        <v>7.365836785171837E-3</v>
      </c>
      <c r="M288" s="176">
        <v>2.3336654780837561E-3</v>
      </c>
      <c r="N288" t="s">
        <v>553</v>
      </c>
    </row>
    <row r="289" spans="1:14">
      <c r="A289" s="578"/>
      <c r="B289" s="578"/>
      <c r="C289" t="s">
        <v>145</v>
      </c>
      <c r="D289" s="176">
        <v>1.164048022187923E-2</v>
      </c>
      <c r="E289" s="176">
        <v>1.1434253919078881E-2</v>
      </c>
      <c r="F289" s="176">
        <v>0</v>
      </c>
      <c r="G289" s="176">
        <v>8.7593380105045852E-3</v>
      </c>
      <c r="H289" s="176">
        <v>7.8940956057504674E-3</v>
      </c>
      <c r="I289" s="176">
        <v>3.842984009350479E-3</v>
      </c>
      <c r="J289" s="176">
        <v>7.8949559057678951E-3</v>
      </c>
      <c r="K289" s="176">
        <v>0</v>
      </c>
      <c r="L289" s="176">
        <v>9.3522064475743735E-3</v>
      </c>
      <c r="M289" s="176">
        <v>3.542434694692077E-3</v>
      </c>
      <c r="N289" t="s">
        <v>553</v>
      </c>
    </row>
    <row r="290" spans="1:14">
      <c r="A290" s="578"/>
      <c r="B290" s="578"/>
      <c r="C290" t="s">
        <v>73</v>
      </c>
      <c r="D290" s="176">
        <v>2.5182569805614511E-2</v>
      </c>
      <c r="E290" s="176">
        <v>2.9080984387936892E-2</v>
      </c>
      <c r="F290" s="176">
        <v>0</v>
      </c>
      <c r="G290" s="176">
        <v>2.7626037152502541E-2</v>
      </c>
      <c r="H290" s="176">
        <v>2.6494693068697131E-2</v>
      </c>
      <c r="I290" s="176">
        <v>8.7488700395819633E-3</v>
      </c>
      <c r="J290" s="176">
        <v>2.5116058844534651E-2</v>
      </c>
      <c r="K290" s="176">
        <v>0</v>
      </c>
      <c r="L290" s="176">
        <v>2.5966422023313739E-2</v>
      </c>
      <c r="M290" s="176">
        <v>1.1819626937896019E-2</v>
      </c>
      <c r="N290" t="s">
        <v>553</v>
      </c>
    </row>
    <row r="291" spans="1:14">
      <c r="A291" s="578"/>
      <c r="B291" s="578"/>
      <c r="C291" t="s">
        <v>75</v>
      </c>
      <c r="D291" s="176">
        <v>5.9934335093902152E-3</v>
      </c>
      <c r="E291" s="176">
        <v>6.7926278602307467E-3</v>
      </c>
      <c r="F291" s="176">
        <v>0</v>
      </c>
      <c r="G291" s="176">
        <v>7.3561592634769253E-3</v>
      </c>
      <c r="H291" s="176">
        <v>7.0532227231659139E-3</v>
      </c>
      <c r="I291" s="176">
        <v>2.0375422201388588E-3</v>
      </c>
      <c r="J291" s="176">
        <v>6.682602695189761E-3</v>
      </c>
      <c r="K291" s="176">
        <v>0</v>
      </c>
      <c r="L291" s="176">
        <v>6.5084487415213799E-3</v>
      </c>
      <c r="M291" s="176">
        <v>3.1386206601514499E-3</v>
      </c>
      <c r="N291" t="s">
        <v>553</v>
      </c>
    </row>
    <row r="292" spans="1:14">
      <c r="A292" s="578"/>
      <c r="B292" s="578"/>
      <c r="C292" t="s">
        <v>146</v>
      </c>
      <c r="D292" s="176">
        <v>4.5470250202029529E-2</v>
      </c>
      <c r="E292" s="176">
        <v>5.383818670903303E-2</v>
      </c>
      <c r="F292" s="176">
        <v>0</v>
      </c>
      <c r="G292" s="176">
        <v>4.1398183772317847E-2</v>
      </c>
      <c r="H292" s="176">
        <v>4.000287604082356E-2</v>
      </c>
      <c r="I292" s="176">
        <v>1.6728610811717629E-2</v>
      </c>
      <c r="J292" s="176">
        <v>3.7791366827289383E-2</v>
      </c>
      <c r="K292" s="176">
        <v>0</v>
      </c>
      <c r="L292" s="176">
        <v>4.434600671480278E-2</v>
      </c>
      <c r="M292" s="176">
        <v>2.054020162240033E-2</v>
      </c>
      <c r="N292" t="s">
        <v>553</v>
      </c>
    </row>
    <row r="293" spans="1:14">
      <c r="A293" s="578"/>
      <c r="B293" s="578"/>
      <c r="C293" t="s">
        <v>83</v>
      </c>
      <c r="D293" s="176">
        <v>1.9311941437297931E-3</v>
      </c>
      <c r="E293" s="176">
        <v>1.8654540410128801E-3</v>
      </c>
      <c r="F293" s="176">
        <v>0</v>
      </c>
      <c r="G293" s="176">
        <v>1.382060054261568E-3</v>
      </c>
      <c r="H293" s="176">
        <v>1.317054798538579E-3</v>
      </c>
      <c r="I293" s="176">
        <v>6.3363516021881989E-4</v>
      </c>
      <c r="J293" s="176">
        <v>1.096773801238789E-3</v>
      </c>
      <c r="K293" s="176">
        <v>0</v>
      </c>
      <c r="L293" s="176">
        <v>1.546281249162339E-3</v>
      </c>
      <c r="M293" s="176">
        <v>4.3225779672195362E-4</v>
      </c>
      <c r="N293" t="s">
        <v>553</v>
      </c>
    </row>
    <row r="294" spans="1:14">
      <c r="A294" s="578"/>
      <c r="B294" s="578"/>
      <c r="C294" t="s">
        <v>85</v>
      </c>
      <c r="D294" s="176">
        <v>2.4760682380902961E-4</v>
      </c>
      <c r="E294" s="176">
        <v>2.264895652816244E-4</v>
      </c>
      <c r="F294" s="176">
        <v>0</v>
      </c>
      <c r="G294" s="176">
        <v>2.5013139293914369E-4</v>
      </c>
      <c r="H294" s="176">
        <v>2.2939327758547581E-4</v>
      </c>
      <c r="I294" s="176">
        <v>8.3979165527478229E-5</v>
      </c>
      <c r="J294" s="176">
        <v>2.357764199424182E-4</v>
      </c>
      <c r="K294" s="176">
        <v>0</v>
      </c>
      <c r="L294" s="176">
        <v>2.3455351650677339E-4</v>
      </c>
      <c r="M294" s="176">
        <v>4.2797838451985518E-5</v>
      </c>
      <c r="N294" t="s">
        <v>553</v>
      </c>
    </row>
    <row r="295" spans="1:14">
      <c r="A295" s="578"/>
      <c r="B295" s="578"/>
      <c r="C295" t="s">
        <v>88</v>
      </c>
      <c r="D295" s="176">
        <v>1.294231917331185E-2</v>
      </c>
      <c r="E295" s="176">
        <v>1.1486210751592559E-2</v>
      </c>
      <c r="F295" s="176">
        <v>0</v>
      </c>
      <c r="G295" s="176">
        <v>1.501832549211749E-2</v>
      </c>
      <c r="H295" s="176">
        <v>1.441004950055335E-2</v>
      </c>
      <c r="I295" s="176">
        <v>4.0186196907195989E-3</v>
      </c>
      <c r="J295" s="176">
        <v>1.303183697344994E-2</v>
      </c>
      <c r="K295" s="176">
        <v>0</v>
      </c>
      <c r="L295" s="176">
        <v>1.2549384127952101E-2</v>
      </c>
      <c r="M295" s="176">
        <v>4.3813476181543522E-3</v>
      </c>
      <c r="N295" t="s">
        <v>553</v>
      </c>
    </row>
    <row r="296" spans="1:14">
      <c r="A296" s="578"/>
      <c r="B296" s="578"/>
      <c r="C296" t="s">
        <v>147</v>
      </c>
      <c r="D296" s="176">
        <v>0</v>
      </c>
      <c r="E296" s="176">
        <v>0</v>
      </c>
      <c r="F296" s="176">
        <v>0</v>
      </c>
      <c r="G296" s="176">
        <v>0</v>
      </c>
      <c r="H296" s="176">
        <v>0</v>
      </c>
      <c r="I296" s="176">
        <v>0</v>
      </c>
      <c r="J296" s="176">
        <v>0</v>
      </c>
      <c r="K296" s="176">
        <v>0</v>
      </c>
      <c r="L296" s="176">
        <v>0</v>
      </c>
      <c r="M296" s="176">
        <v>0</v>
      </c>
      <c r="N296" t="s">
        <v>553</v>
      </c>
    </row>
    <row r="297" spans="1:14" ht="14.5">
      <c r="A297" s="578" t="s">
        <v>676</v>
      </c>
      <c r="B297" s="208" t="s">
        <v>677</v>
      </c>
      <c r="C297" t="s">
        <v>455</v>
      </c>
      <c r="D297" t="s">
        <v>455</v>
      </c>
      <c r="E297">
        <v>23060</v>
      </c>
      <c r="F297" s="151" t="s">
        <v>469</v>
      </c>
    </row>
    <row r="298" spans="1:14" ht="14.5">
      <c r="A298" s="578"/>
      <c r="B298" s="209" t="s">
        <v>678</v>
      </c>
      <c r="C298" t="s">
        <v>455</v>
      </c>
      <c r="D298" t="s">
        <v>455</v>
      </c>
      <c r="E298">
        <v>57807.224000000002</v>
      </c>
      <c r="F298" s="151" t="s">
        <v>488</v>
      </c>
      <c r="G298" t="s">
        <v>679</v>
      </c>
    </row>
    <row r="299" spans="1:14" ht="14.5">
      <c r="A299" s="578"/>
      <c r="B299" s="209" t="s">
        <v>680</v>
      </c>
      <c r="C299" t="s">
        <v>455</v>
      </c>
      <c r="D299" t="s">
        <v>455</v>
      </c>
      <c r="E299">
        <v>29870</v>
      </c>
      <c r="F299" s="151" t="s">
        <v>469</v>
      </c>
    </row>
    <row r="300" spans="1:14" ht="14.5">
      <c r="A300" s="208"/>
      <c r="B300" s="209"/>
      <c r="F300" s="151"/>
    </row>
    <row r="301" spans="1:14">
      <c r="A301" t="s">
        <v>565</v>
      </c>
    </row>
    <row r="302" spans="1:14" ht="14.5">
      <c r="A302" t="s">
        <v>456</v>
      </c>
      <c r="B302" s="151" t="s">
        <v>566</v>
      </c>
    </row>
    <row r="303" spans="1:14" ht="14.5">
      <c r="A303" t="s">
        <v>567</v>
      </c>
      <c r="B303" s="152" t="s">
        <v>568</v>
      </c>
    </row>
    <row r="304" spans="1:14" ht="14.5">
      <c r="A304" t="s">
        <v>469</v>
      </c>
      <c r="B304" s="152" t="s">
        <v>569</v>
      </c>
    </row>
    <row r="305" spans="1:2" ht="15" thickBot="1">
      <c r="A305" t="s">
        <v>472</v>
      </c>
      <c r="B305" s="2" t="s">
        <v>570</v>
      </c>
    </row>
    <row r="306" spans="1:2" ht="15" thickBot="1">
      <c r="A306" t="s">
        <v>571</v>
      </c>
      <c r="B306" s="153" t="s">
        <v>572</v>
      </c>
    </row>
    <row r="307" spans="1:2" ht="14.5">
      <c r="A307" t="s">
        <v>573</v>
      </c>
      <c r="B307" s="151" t="s">
        <v>574</v>
      </c>
    </row>
    <row r="308" spans="1:2">
      <c r="A308" t="s">
        <v>575</v>
      </c>
      <c r="B308" t="s">
        <v>576</v>
      </c>
    </row>
    <row r="309" spans="1:2">
      <c r="A309" t="s">
        <v>484</v>
      </c>
      <c r="B309" t="s">
        <v>577</v>
      </c>
    </row>
    <row r="310" spans="1:2">
      <c r="A310" t="s">
        <v>553</v>
      </c>
    </row>
    <row r="311" spans="1:2" ht="14.5">
      <c r="A311" t="s">
        <v>488</v>
      </c>
      <c r="B311" s="151" t="s">
        <v>578</v>
      </c>
    </row>
    <row r="312" spans="1:2" ht="14.5">
      <c r="A312" t="s">
        <v>504</v>
      </c>
      <c r="B312" s="152" t="s">
        <v>579</v>
      </c>
    </row>
    <row r="313" spans="1:2" ht="14.5">
      <c r="A313" t="s">
        <v>580</v>
      </c>
      <c r="B313" s="152" t="s">
        <v>581</v>
      </c>
    </row>
    <row r="314" spans="1:2" ht="14.5">
      <c r="A314" t="s">
        <v>582</v>
      </c>
      <c r="B314" s="152" t="s">
        <v>583</v>
      </c>
    </row>
    <row r="315" spans="1:2" ht="14.5">
      <c r="A315" t="s">
        <v>584</v>
      </c>
      <c r="B315" s="152" t="s">
        <v>585</v>
      </c>
    </row>
    <row r="316" spans="1:2">
      <c r="A316" t="s">
        <v>586</v>
      </c>
      <c r="B316" t="s">
        <v>587</v>
      </c>
    </row>
    <row r="317" spans="1:2" ht="14.5">
      <c r="A317" t="s">
        <v>641</v>
      </c>
      <c r="B317" s="152" t="s">
        <v>681</v>
      </c>
    </row>
    <row r="318" spans="1:2">
      <c r="A318" t="s">
        <v>650</v>
      </c>
      <c r="B318" s="213" t="s">
        <v>682</v>
      </c>
    </row>
    <row r="353" spans="1:1">
      <c r="A353" s="214"/>
    </row>
    <row r="354" spans="1:1">
      <c r="A354" s="214"/>
    </row>
    <row r="355" spans="1:1">
      <c r="A355" s="214"/>
    </row>
    <row r="356" spans="1:1">
      <c r="A356" s="214"/>
    </row>
    <row r="357" spans="1:1">
      <c r="A357" s="214"/>
    </row>
    <row r="358" spans="1:1">
      <c r="A358" s="214"/>
    </row>
    <row r="359" spans="1:1">
      <c r="A359" s="214"/>
    </row>
    <row r="360" spans="1:1">
      <c r="A360" s="214"/>
    </row>
    <row r="361" spans="1:1">
      <c r="A361" s="214"/>
    </row>
    <row r="362" spans="1:1">
      <c r="A362" s="214"/>
    </row>
    <row r="363" spans="1:1">
      <c r="A363" s="214"/>
    </row>
    <row r="364" spans="1:1">
      <c r="A364" s="214"/>
    </row>
    <row r="365" spans="1:1">
      <c r="A365" s="214"/>
    </row>
    <row r="366" spans="1:1">
      <c r="A366" s="214"/>
    </row>
    <row r="367" spans="1:1">
      <c r="A367" s="214"/>
    </row>
    <row r="368" spans="1:1">
      <c r="A368" s="214"/>
    </row>
    <row r="369" spans="1:1">
      <c r="A369" s="214"/>
    </row>
    <row r="370" spans="1:1">
      <c r="A370" s="214"/>
    </row>
    <row r="371" spans="1:1">
      <c r="A371" s="214"/>
    </row>
    <row r="372" spans="1:1">
      <c r="A372" s="214"/>
    </row>
    <row r="373" spans="1:1">
      <c r="A373" s="214"/>
    </row>
  </sheetData>
  <mergeCells count="38">
    <mergeCell ref="S192:S195"/>
    <mergeCell ref="S190:AJ190"/>
    <mergeCell ref="A43:A46"/>
    <mergeCell ref="A4:A42"/>
    <mergeCell ref="B9:B10"/>
    <mergeCell ref="F9:F10"/>
    <mergeCell ref="G9:G10"/>
    <mergeCell ref="B16:B18"/>
    <mergeCell ref="B19:B21"/>
    <mergeCell ref="B22:B24"/>
    <mergeCell ref="B29:B31"/>
    <mergeCell ref="B34:B36"/>
    <mergeCell ref="B37:B39"/>
    <mergeCell ref="B40:B42"/>
    <mergeCell ref="B234:B254"/>
    <mergeCell ref="A47:A83"/>
    <mergeCell ref="B56:B64"/>
    <mergeCell ref="B65:B73"/>
    <mergeCell ref="B75:B83"/>
    <mergeCell ref="B84:B90"/>
    <mergeCell ref="B95:B103"/>
    <mergeCell ref="B47:B55"/>
    <mergeCell ref="B255:B275"/>
    <mergeCell ref="B276:B296"/>
    <mergeCell ref="A297:A299"/>
    <mergeCell ref="B104:B112"/>
    <mergeCell ref="B113:B120"/>
    <mergeCell ref="B123:B130"/>
    <mergeCell ref="B133:B140"/>
    <mergeCell ref="B143:B150"/>
    <mergeCell ref="A84:A171"/>
    <mergeCell ref="A172:A180"/>
    <mergeCell ref="A181:A296"/>
    <mergeCell ref="B153:B160"/>
    <mergeCell ref="B163:B171"/>
    <mergeCell ref="B181:B190"/>
    <mergeCell ref="B191:B211"/>
    <mergeCell ref="B212:B23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B29E9-2244-44DB-990E-5E1ED9F341C2}">
  <sheetPr codeName="Sheet18">
    <tabColor theme="9" tint="0.79998168889431442"/>
  </sheetPr>
  <dimension ref="A1:AX1004"/>
  <sheetViews>
    <sheetView zoomScale="85" zoomScaleNormal="85" workbookViewId="0">
      <selection activeCell="C4" sqref="C4:C10"/>
    </sheetView>
  </sheetViews>
  <sheetFormatPr defaultColWidth="12.58203125" defaultRowHeight="15" customHeight="1"/>
  <cols>
    <col min="1" max="1" width="12.58203125" style="69"/>
    <col min="2" max="2" width="21.75" style="69" customWidth="1"/>
    <col min="3" max="39" width="9.83203125" style="69" customWidth="1"/>
    <col min="40" max="16384" width="12.58203125" style="69"/>
  </cols>
  <sheetData>
    <row r="1" spans="1:41" ht="14.25" customHeight="1" thickBot="1">
      <c r="A1" s="132"/>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row>
    <row r="2" spans="1:41" ht="14.25" customHeight="1">
      <c r="A2" s="132"/>
      <c r="B2" s="582" t="s">
        <v>737</v>
      </c>
      <c r="C2" s="583"/>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row>
    <row r="3" spans="1:41" ht="14.25" customHeight="1">
      <c r="A3" s="132"/>
      <c r="B3" s="198"/>
      <c r="C3" s="218" t="s">
        <v>736</v>
      </c>
      <c r="D3" s="132"/>
      <c r="E3" s="132"/>
      <c r="F3" s="132"/>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row>
    <row r="4" spans="1:41" ht="14.25" customHeight="1">
      <c r="A4" s="132"/>
      <c r="B4" s="219" t="s">
        <v>608</v>
      </c>
      <c r="C4" s="200">
        <v>88.260218590583122</v>
      </c>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row>
    <row r="5" spans="1:41" ht="14.25" customHeight="1">
      <c r="A5" s="132"/>
      <c r="B5" s="219" t="s">
        <v>609</v>
      </c>
      <c r="C5" s="200">
        <v>50.947112309920747</v>
      </c>
      <c r="D5" s="132"/>
      <c r="E5" s="132"/>
      <c r="F5" s="132"/>
      <c r="G5" s="132"/>
      <c r="H5" s="132"/>
      <c r="I5" s="132"/>
      <c r="J5" s="132"/>
      <c r="K5" s="132"/>
      <c r="L5" s="132"/>
      <c r="M5" s="132"/>
      <c r="N5" s="132"/>
      <c r="O5" s="132"/>
      <c r="P5" s="132"/>
      <c r="Q5" s="132"/>
      <c r="R5" s="132"/>
      <c r="S5" s="132"/>
      <c r="T5" s="132"/>
      <c r="U5" s="132"/>
      <c r="V5" s="132"/>
      <c r="W5" s="132"/>
      <c r="X5" s="132"/>
      <c r="Y5" s="132"/>
      <c r="Z5" s="132"/>
      <c r="AA5" s="132"/>
      <c r="AB5" s="132"/>
      <c r="AC5" s="132"/>
      <c r="AD5" s="132"/>
      <c r="AE5" s="132"/>
      <c r="AF5" s="132"/>
      <c r="AG5" s="132"/>
      <c r="AH5" s="132"/>
      <c r="AI5" s="132"/>
      <c r="AJ5" s="132"/>
      <c r="AK5" s="132"/>
      <c r="AL5" s="132"/>
      <c r="AM5" s="132"/>
    </row>
    <row r="6" spans="1:41" ht="14.25" customHeight="1">
      <c r="A6" s="132"/>
      <c r="B6" s="219" t="s">
        <v>610</v>
      </c>
      <c r="C6" s="200">
        <v>70.019610401963831</v>
      </c>
      <c r="D6" s="132"/>
      <c r="E6" s="132"/>
      <c r="F6" s="132"/>
      <c r="G6" s="132"/>
      <c r="H6" s="132"/>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row>
    <row r="7" spans="1:41" ht="14.25" customHeight="1">
      <c r="A7" s="132"/>
      <c r="B7" s="219" t="s">
        <v>611</v>
      </c>
      <c r="C7" s="200">
        <v>0</v>
      </c>
      <c r="D7" s="132"/>
      <c r="E7" s="132"/>
      <c r="F7" s="132"/>
      <c r="G7" s="132"/>
      <c r="H7" s="132"/>
      <c r="I7" s="132"/>
      <c r="J7" s="132"/>
      <c r="K7" s="132"/>
      <c r="L7" s="132"/>
      <c r="M7" s="132"/>
      <c r="N7" s="132"/>
      <c r="O7" s="132"/>
      <c r="P7" s="132"/>
      <c r="Q7" s="132"/>
      <c r="R7" s="132"/>
      <c r="S7" s="132"/>
      <c r="T7" s="132"/>
      <c r="U7" s="132"/>
      <c r="V7" s="132"/>
      <c r="W7" s="132"/>
      <c r="X7" s="132"/>
      <c r="Y7" s="132"/>
      <c r="Z7" s="132"/>
      <c r="AA7" s="132"/>
      <c r="AB7" s="132"/>
      <c r="AC7" s="132"/>
      <c r="AD7" s="132"/>
      <c r="AE7" s="132"/>
      <c r="AF7" s="132"/>
      <c r="AG7" s="132"/>
      <c r="AH7" s="132"/>
      <c r="AI7" s="132"/>
      <c r="AJ7" s="132"/>
      <c r="AK7" s="132"/>
      <c r="AL7" s="132"/>
      <c r="AM7" s="132"/>
    </row>
    <row r="8" spans="1:41" ht="14.25" customHeight="1">
      <c r="A8" s="132"/>
      <c r="B8" s="219" t="s">
        <v>612</v>
      </c>
      <c r="C8" s="200">
        <v>10.208915724305459</v>
      </c>
      <c r="D8" s="132"/>
      <c r="E8" s="132"/>
      <c r="F8" s="132"/>
      <c r="G8" s="132"/>
      <c r="H8" s="132"/>
      <c r="I8" s="132"/>
      <c r="J8" s="132"/>
      <c r="K8" s="132"/>
      <c r="L8" s="132"/>
      <c r="M8" s="132"/>
      <c r="N8" s="132"/>
      <c r="O8" s="132"/>
      <c r="P8" s="132"/>
      <c r="Q8" s="132"/>
      <c r="R8" s="132"/>
      <c r="S8" s="132"/>
      <c r="T8" s="132"/>
      <c r="U8" s="132"/>
      <c r="V8" s="132"/>
      <c r="W8" s="132"/>
      <c r="X8" s="132"/>
      <c r="Y8" s="132"/>
      <c r="Z8" s="132"/>
      <c r="AA8" s="132"/>
      <c r="AB8" s="132"/>
      <c r="AC8" s="132"/>
      <c r="AD8" s="132"/>
      <c r="AE8" s="132"/>
      <c r="AF8" s="132"/>
      <c r="AG8" s="132"/>
      <c r="AH8" s="132"/>
      <c r="AI8" s="132"/>
      <c r="AJ8" s="132"/>
      <c r="AK8" s="132"/>
      <c r="AL8" s="132"/>
      <c r="AM8" s="132"/>
    </row>
    <row r="9" spans="1:41" ht="14.25" customHeight="1">
      <c r="A9" s="132"/>
      <c r="B9" s="219" t="s">
        <v>59</v>
      </c>
      <c r="C9" s="200">
        <v>0</v>
      </c>
      <c r="D9" s="132"/>
      <c r="E9" s="132"/>
      <c r="F9" s="132"/>
      <c r="G9" s="132"/>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132"/>
      <c r="AH9" s="132"/>
      <c r="AI9" s="132"/>
      <c r="AJ9" s="132"/>
      <c r="AK9" s="132"/>
      <c r="AL9" s="132"/>
      <c r="AM9" s="132"/>
    </row>
    <row r="10" spans="1:41" ht="14.25" customHeight="1" thickBot="1">
      <c r="A10" s="132"/>
      <c r="B10" s="225" t="s">
        <v>588</v>
      </c>
      <c r="C10" s="203">
        <v>0</v>
      </c>
      <c r="D10" s="132"/>
      <c r="E10" s="132"/>
      <c r="F10" s="132"/>
      <c r="G10" s="132"/>
      <c r="H10" s="132"/>
      <c r="I10" s="132"/>
      <c r="J10" s="132"/>
      <c r="K10" s="132"/>
      <c r="L10" s="132"/>
      <c r="M10" s="132"/>
      <c r="N10" s="132"/>
      <c r="O10" s="132"/>
      <c r="P10" s="132"/>
      <c r="Q10" s="132"/>
      <c r="R10" s="132"/>
      <c r="S10" s="132"/>
      <c r="T10" s="132"/>
      <c r="U10" s="132"/>
      <c r="V10" s="132"/>
      <c r="W10" s="132"/>
      <c r="X10" s="132"/>
      <c r="Y10" s="132"/>
      <c r="Z10" s="132"/>
      <c r="AA10" s="132"/>
      <c r="AB10" s="132"/>
      <c r="AC10" s="132"/>
      <c r="AD10" s="132"/>
      <c r="AE10" s="132"/>
      <c r="AF10" s="132"/>
      <c r="AG10" s="132"/>
      <c r="AH10" s="132"/>
      <c r="AI10" s="132"/>
      <c r="AJ10" s="132"/>
      <c r="AK10" s="132"/>
      <c r="AL10" s="132"/>
      <c r="AM10" s="132"/>
      <c r="AN10" s="71"/>
      <c r="AO10" s="71"/>
    </row>
    <row r="11" spans="1:41" ht="14.25" customHeight="1">
      <c r="A11" s="132"/>
      <c r="B11" s="132"/>
      <c r="C11" s="132"/>
      <c r="D11" s="132"/>
      <c r="E11" s="132"/>
      <c r="F11" s="132"/>
      <c r="G11" s="132"/>
      <c r="H11" s="132"/>
      <c r="I11" s="132"/>
      <c r="J11" s="132"/>
      <c r="K11" s="132"/>
      <c r="L11" s="132"/>
      <c r="M11" s="132"/>
      <c r="N11" s="132"/>
      <c r="O11" s="132"/>
      <c r="P11" s="132"/>
      <c r="Q11" s="132"/>
      <c r="R11" s="132"/>
      <c r="S11" s="132"/>
      <c r="T11" s="132"/>
      <c r="U11" s="132"/>
      <c r="V11" s="132"/>
      <c r="W11" s="132"/>
      <c r="X11" s="132"/>
      <c r="Y11" s="132"/>
      <c r="Z11" s="132"/>
      <c r="AA11" s="132"/>
      <c r="AB11" s="132"/>
      <c r="AC11" s="132"/>
      <c r="AD11" s="132"/>
      <c r="AE11" s="132"/>
      <c r="AF11" s="132"/>
      <c r="AG11" s="132"/>
      <c r="AH11" s="132"/>
      <c r="AI11" s="132"/>
      <c r="AJ11" s="132"/>
      <c r="AK11" s="132"/>
      <c r="AL11" s="132"/>
      <c r="AM11" s="132"/>
    </row>
    <row r="12" spans="1:41" ht="14.25" customHeight="1">
      <c r="A12" s="132"/>
      <c r="B12" s="132"/>
      <c r="C12" s="132"/>
      <c r="D12" s="132"/>
      <c r="E12" s="132"/>
      <c r="F12" s="132"/>
      <c r="G12" s="132"/>
      <c r="H12" s="132"/>
      <c r="I12" s="132"/>
      <c r="J12" s="132"/>
      <c r="K12" s="132"/>
      <c r="L12" s="132"/>
      <c r="M12" s="132"/>
      <c r="N12" s="132"/>
      <c r="O12" s="132"/>
      <c r="P12" s="132"/>
      <c r="Q12" s="132"/>
      <c r="R12" s="132"/>
      <c r="S12" s="132"/>
      <c r="T12" s="132"/>
      <c r="U12" s="132"/>
      <c r="V12" s="132"/>
      <c r="W12" s="132"/>
      <c r="X12" s="132"/>
      <c r="Y12" s="132"/>
      <c r="Z12" s="132"/>
      <c r="AA12" s="132"/>
      <c r="AB12" s="132"/>
      <c r="AC12" s="132"/>
      <c r="AD12" s="132"/>
      <c r="AE12" s="132"/>
      <c r="AF12" s="132"/>
      <c r="AG12" s="132"/>
      <c r="AH12" s="132"/>
    </row>
    <row r="13" spans="1:41" ht="14.25" customHeight="1">
      <c r="A13" s="132"/>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132"/>
      <c r="AH13" s="132"/>
    </row>
    <row r="14" spans="1:41" ht="14.25" customHeight="1">
      <c r="A14" s="132"/>
      <c r="B14" s="132"/>
      <c r="C14" s="132"/>
      <c r="D14" s="132"/>
      <c r="E14" s="132"/>
      <c r="F14" s="132"/>
      <c r="G14" s="132"/>
      <c r="H14" s="132"/>
      <c r="I14" s="132"/>
      <c r="J14" s="132"/>
      <c r="K14" s="132"/>
      <c r="L14" s="132"/>
      <c r="M14" s="132"/>
      <c r="N14" s="132"/>
      <c r="O14" s="132"/>
      <c r="P14" s="132"/>
      <c r="Q14" s="132"/>
      <c r="R14" s="132"/>
      <c r="S14" s="132"/>
      <c r="T14" s="132"/>
      <c r="U14" s="132"/>
      <c r="V14" s="132"/>
      <c r="W14" s="132"/>
      <c r="X14" s="132"/>
      <c r="Y14" s="132"/>
      <c r="Z14" s="132"/>
      <c r="AA14" s="132"/>
      <c r="AB14" s="132"/>
      <c r="AC14" s="132"/>
      <c r="AD14" s="132"/>
      <c r="AE14" s="132"/>
      <c r="AF14" s="132"/>
      <c r="AG14" s="132"/>
      <c r="AH14" s="132"/>
    </row>
    <row r="15" spans="1:41" ht="14.25" customHeight="1">
      <c r="A15" s="132"/>
      <c r="B15" s="132"/>
      <c r="C15" s="132"/>
      <c r="D15" s="132"/>
      <c r="E15" s="132"/>
      <c r="F15" s="132"/>
      <c r="G15" s="132"/>
      <c r="H15" s="132"/>
      <c r="I15" s="132"/>
      <c r="J15" s="132"/>
      <c r="K15" s="132"/>
      <c r="L15" s="132"/>
      <c r="M15" s="132"/>
      <c r="N15" s="132"/>
      <c r="O15" s="132"/>
      <c r="P15" s="132"/>
      <c r="Q15" s="132"/>
      <c r="R15" s="132"/>
      <c r="S15" s="132"/>
      <c r="T15" s="132"/>
      <c r="U15" s="132"/>
      <c r="V15" s="132"/>
      <c r="W15" s="132"/>
      <c r="X15" s="132"/>
      <c r="Y15" s="132"/>
      <c r="Z15" s="132"/>
      <c r="AA15" s="132"/>
      <c r="AB15" s="132"/>
      <c r="AC15" s="132"/>
      <c r="AD15" s="132"/>
      <c r="AE15" s="132"/>
      <c r="AF15" s="132"/>
      <c r="AG15" s="132"/>
      <c r="AH15" s="132"/>
    </row>
    <row r="16" spans="1:41" ht="14.25" customHeight="1">
      <c r="A16" s="132"/>
      <c r="B16" s="132"/>
      <c r="C16" s="132"/>
      <c r="D16" s="132"/>
      <c r="E16" s="132"/>
      <c r="F16" s="132"/>
      <c r="G16" s="132"/>
      <c r="H16" s="132"/>
      <c r="I16" s="132"/>
      <c r="J16" s="132"/>
      <c r="K16" s="132"/>
      <c r="L16" s="132"/>
      <c r="M16" s="132"/>
      <c r="N16" s="132"/>
      <c r="O16" s="132"/>
      <c r="P16" s="132"/>
      <c r="Q16" s="132"/>
      <c r="R16" s="132"/>
      <c r="S16" s="132"/>
      <c r="T16" s="132"/>
      <c r="U16" s="132"/>
      <c r="V16" s="132"/>
      <c r="W16" s="132"/>
      <c r="X16" s="132"/>
      <c r="Y16" s="132"/>
      <c r="Z16" s="132"/>
      <c r="AA16" s="132"/>
      <c r="AB16" s="132"/>
      <c r="AC16" s="132"/>
      <c r="AD16" s="132"/>
      <c r="AE16" s="132"/>
      <c r="AF16" s="132"/>
      <c r="AG16" s="132"/>
      <c r="AH16" s="132"/>
    </row>
    <row r="17" spans="1:34" ht="14.25" customHeight="1">
      <c r="A17" s="132"/>
      <c r="B17" s="132"/>
      <c r="C17" s="132"/>
      <c r="D17" s="132"/>
      <c r="E17" s="132"/>
      <c r="F17" s="132"/>
      <c r="G17" s="132"/>
      <c r="H17" s="132"/>
      <c r="I17" s="132"/>
      <c r="J17" s="132"/>
      <c r="K17" s="132"/>
      <c r="L17" s="132"/>
      <c r="M17" s="132"/>
      <c r="N17" s="132"/>
      <c r="O17" s="132"/>
      <c r="P17" s="132"/>
      <c r="Q17" s="132"/>
      <c r="R17" s="132"/>
      <c r="S17" s="132"/>
      <c r="T17" s="132"/>
      <c r="U17" s="132"/>
      <c r="V17" s="132"/>
      <c r="W17" s="132"/>
      <c r="X17" s="132"/>
      <c r="Y17" s="132"/>
      <c r="Z17" s="132"/>
      <c r="AA17" s="132"/>
      <c r="AB17" s="132"/>
      <c r="AC17" s="132"/>
      <c r="AD17" s="132"/>
      <c r="AE17" s="132"/>
      <c r="AF17" s="132"/>
      <c r="AG17" s="132"/>
      <c r="AH17" s="132"/>
    </row>
    <row r="18" spans="1:34" ht="14.25" customHeight="1">
      <c r="A18" s="132"/>
      <c r="B18" s="132"/>
      <c r="C18" s="132"/>
      <c r="D18" s="132"/>
      <c r="E18" s="132"/>
      <c r="F18" s="132"/>
      <c r="G18" s="132"/>
      <c r="H18" s="132"/>
      <c r="I18" s="132"/>
      <c r="J18" s="132"/>
      <c r="K18" s="132"/>
      <c r="L18" s="132"/>
      <c r="M18" s="132"/>
      <c r="N18" s="132"/>
      <c r="O18" s="132"/>
      <c r="P18" s="132"/>
      <c r="Q18" s="132"/>
      <c r="R18" s="132"/>
      <c r="S18" s="132"/>
      <c r="T18" s="132"/>
      <c r="U18" s="132"/>
      <c r="V18" s="132"/>
      <c r="W18" s="132"/>
      <c r="X18" s="132"/>
      <c r="Y18" s="132"/>
      <c r="Z18" s="132"/>
      <c r="AA18" s="132"/>
      <c r="AB18" s="132"/>
      <c r="AC18" s="132"/>
      <c r="AD18" s="132"/>
      <c r="AE18" s="132"/>
      <c r="AF18" s="132"/>
      <c r="AG18" s="132"/>
      <c r="AH18" s="132"/>
    </row>
    <row r="19" spans="1:34" ht="14.25" customHeight="1">
      <c r="A19" s="132"/>
      <c r="B19" s="132"/>
      <c r="C19" s="132"/>
      <c r="D19" s="132"/>
      <c r="E19" s="132"/>
      <c r="F19" s="132"/>
      <c r="G19" s="132"/>
      <c r="H19" s="132"/>
      <c r="I19" s="132"/>
      <c r="J19" s="132"/>
      <c r="K19" s="132"/>
      <c r="L19" s="132"/>
      <c r="M19" s="132"/>
      <c r="N19" s="132"/>
      <c r="O19" s="132"/>
      <c r="P19" s="132"/>
      <c r="Q19" s="132"/>
      <c r="R19" s="132"/>
      <c r="S19" s="132"/>
      <c r="T19" s="132"/>
      <c r="U19" s="132"/>
      <c r="V19" s="132"/>
      <c r="W19" s="132"/>
      <c r="X19" s="132"/>
      <c r="Y19" s="132"/>
      <c r="Z19" s="132"/>
      <c r="AA19" s="132"/>
      <c r="AB19" s="132"/>
      <c r="AC19" s="132"/>
      <c r="AD19" s="132"/>
      <c r="AE19" s="132"/>
      <c r="AF19" s="132"/>
      <c r="AG19" s="132"/>
      <c r="AH19" s="132"/>
    </row>
    <row r="20" spans="1:34" ht="14.25" customHeight="1">
      <c r="A20" s="132"/>
      <c r="B20" s="132"/>
      <c r="C20" s="132"/>
      <c r="D20" s="132"/>
      <c r="E20" s="132"/>
      <c r="F20" s="132"/>
      <c r="G20" s="132"/>
      <c r="H20" s="132"/>
      <c r="I20" s="132"/>
      <c r="J20" s="132"/>
      <c r="K20" s="132"/>
      <c r="L20" s="132"/>
      <c r="M20" s="132"/>
      <c r="N20" s="132"/>
      <c r="O20" s="132"/>
      <c r="P20" s="132"/>
      <c r="Q20" s="132"/>
      <c r="R20" s="132"/>
      <c r="S20" s="132"/>
      <c r="T20" s="132"/>
      <c r="U20" s="132"/>
      <c r="V20" s="132"/>
      <c r="W20" s="132"/>
      <c r="X20" s="132"/>
      <c r="Y20" s="132"/>
      <c r="Z20" s="132"/>
      <c r="AA20" s="132"/>
      <c r="AB20" s="132"/>
      <c r="AC20" s="132"/>
      <c r="AD20" s="132"/>
      <c r="AE20" s="132"/>
      <c r="AF20" s="132"/>
      <c r="AG20" s="132"/>
      <c r="AH20" s="132"/>
    </row>
    <row r="21" spans="1:34" ht="14.25" customHeight="1">
      <c r="A21" s="132"/>
      <c r="B21" s="132"/>
      <c r="C21" s="132"/>
      <c r="D21" s="132"/>
      <c r="E21" s="132"/>
      <c r="F21" s="132"/>
      <c r="G21" s="132"/>
      <c r="H21" s="132"/>
      <c r="I21" s="132"/>
      <c r="J21" s="132"/>
      <c r="K21" s="132"/>
      <c r="L21" s="132"/>
      <c r="M21" s="132"/>
      <c r="N21" s="132"/>
      <c r="O21" s="132"/>
      <c r="P21" s="132"/>
      <c r="Q21" s="132"/>
      <c r="R21" s="132"/>
      <c r="S21" s="132"/>
      <c r="T21" s="132"/>
      <c r="U21" s="132"/>
      <c r="V21" s="132"/>
      <c r="W21" s="132"/>
      <c r="X21" s="132"/>
      <c r="Y21" s="132"/>
      <c r="Z21" s="132"/>
      <c r="AA21" s="132"/>
      <c r="AB21" s="132"/>
      <c r="AC21" s="132"/>
      <c r="AD21" s="132"/>
      <c r="AE21" s="132"/>
      <c r="AF21" s="132"/>
      <c r="AG21" s="132"/>
      <c r="AH21" s="132"/>
    </row>
    <row r="22" spans="1:34" ht="14.25" customHeight="1">
      <c r="A22" s="132"/>
      <c r="B22" s="132"/>
      <c r="C22" s="132"/>
      <c r="D22" s="132"/>
      <c r="E22" s="132"/>
      <c r="F22" s="132"/>
      <c r="G22" s="132"/>
      <c r="H22" s="132"/>
      <c r="I22" s="132"/>
      <c r="J22" s="132"/>
      <c r="K22" s="132"/>
      <c r="L22" s="132"/>
      <c r="M22" s="132"/>
      <c r="N22" s="132"/>
      <c r="O22" s="132"/>
      <c r="P22" s="132"/>
      <c r="Q22" s="132"/>
      <c r="R22" s="132"/>
      <c r="S22" s="132"/>
      <c r="T22" s="132"/>
      <c r="U22" s="132"/>
      <c r="V22" s="132"/>
      <c r="W22" s="132"/>
      <c r="X22" s="132"/>
      <c r="Y22" s="132"/>
      <c r="Z22" s="132"/>
      <c r="AA22" s="132"/>
      <c r="AB22" s="132"/>
      <c r="AC22" s="132"/>
      <c r="AD22" s="132"/>
      <c r="AE22" s="132"/>
      <c r="AF22" s="132"/>
      <c r="AG22" s="132"/>
      <c r="AH22" s="132"/>
    </row>
    <row r="23" spans="1:34" ht="14.25" customHeight="1">
      <c r="A23" s="132"/>
      <c r="B23" s="132"/>
      <c r="C23" s="132"/>
      <c r="D23" s="132"/>
      <c r="E23" s="132"/>
      <c r="F23" s="132"/>
      <c r="G23" s="132"/>
      <c r="H23" s="132"/>
      <c r="I23" s="132"/>
      <c r="J23" s="132"/>
      <c r="K23" s="132"/>
      <c r="L23" s="132"/>
      <c r="M23" s="132"/>
      <c r="N23" s="132"/>
      <c r="O23" s="132"/>
      <c r="P23" s="132"/>
      <c r="Q23" s="132"/>
      <c r="R23" s="132"/>
      <c r="S23" s="132"/>
      <c r="T23" s="132"/>
      <c r="U23" s="132"/>
      <c r="V23" s="132"/>
      <c r="W23" s="132"/>
      <c r="X23" s="132"/>
      <c r="Y23" s="132"/>
      <c r="Z23" s="132"/>
      <c r="AA23" s="132"/>
      <c r="AB23" s="132"/>
      <c r="AC23" s="132"/>
      <c r="AD23" s="132"/>
      <c r="AE23" s="132"/>
      <c r="AF23" s="132"/>
      <c r="AG23" s="132"/>
      <c r="AH23" s="132"/>
    </row>
    <row r="24" spans="1:34" ht="14.25" customHeight="1">
      <c r="A24" s="132"/>
      <c r="B24" s="132"/>
      <c r="C24" s="132"/>
      <c r="D24" s="132"/>
      <c r="E24" s="132"/>
      <c r="F24" s="132"/>
      <c r="G24" s="132"/>
      <c r="H24" s="132"/>
      <c r="I24" s="132"/>
      <c r="J24" s="132"/>
      <c r="K24" s="132"/>
      <c r="L24" s="132"/>
      <c r="M24" s="132"/>
      <c r="N24" s="132"/>
      <c r="O24" s="132"/>
      <c r="P24" s="132"/>
      <c r="Q24" s="132"/>
      <c r="R24" s="132"/>
      <c r="S24" s="132"/>
      <c r="T24" s="132"/>
      <c r="U24" s="132"/>
      <c r="V24" s="132"/>
      <c r="W24" s="132"/>
      <c r="X24" s="132"/>
      <c r="Y24" s="132"/>
      <c r="Z24" s="132"/>
      <c r="AA24" s="132"/>
      <c r="AB24" s="132"/>
      <c r="AC24" s="132"/>
      <c r="AD24" s="132"/>
      <c r="AE24" s="132"/>
      <c r="AF24" s="132"/>
      <c r="AG24" s="132"/>
      <c r="AH24" s="132"/>
    </row>
    <row r="25" spans="1:34" ht="14.25" customHeight="1">
      <c r="A25" s="132"/>
      <c r="B25" s="132"/>
      <c r="C25" s="132"/>
      <c r="D25" s="132"/>
      <c r="E25" s="132"/>
      <c r="F25" s="132"/>
      <c r="G25" s="132"/>
      <c r="H25" s="132"/>
      <c r="I25" s="132"/>
      <c r="J25" s="132"/>
      <c r="K25" s="132"/>
      <c r="L25" s="132"/>
      <c r="M25" s="132"/>
      <c r="N25" s="132"/>
      <c r="O25" s="132"/>
      <c r="P25" s="132"/>
      <c r="Q25" s="132"/>
      <c r="R25" s="132"/>
      <c r="S25" s="132"/>
      <c r="T25" s="132"/>
      <c r="U25" s="132"/>
      <c r="V25" s="132"/>
      <c r="W25" s="132"/>
      <c r="X25" s="132"/>
      <c r="Y25" s="132"/>
      <c r="Z25" s="132"/>
      <c r="AA25" s="132"/>
      <c r="AB25" s="132"/>
      <c r="AC25" s="132"/>
      <c r="AD25" s="132"/>
      <c r="AE25" s="132"/>
      <c r="AF25" s="132"/>
      <c r="AG25" s="132"/>
      <c r="AH25" s="132"/>
    </row>
    <row r="26" spans="1:34" ht="14.25" customHeight="1">
      <c r="A26" s="132"/>
      <c r="B26" s="132"/>
      <c r="C26" s="132"/>
      <c r="D26" s="132"/>
      <c r="E26" s="132"/>
      <c r="F26" s="132"/>
      <c r="G26" s="132"/>
      <c r="H26" s="132"/>
      <c r="I26" s="132"/>
      <c r="J26" s="132"/>
      <c r="K26" s="132"/>
      <c r="L26" s="132"/>
      <c r="M26" s="132"/>
      <c r="N26" s="132"/>
      <c r="O26" s="132"/>
      <c r="P26" s="132"/>
      <c r="Q26" s="132"/>
      <c r="R26" s="132"/>
      <c r="S26" s="132"/>
      <c r="T26" s="132"/>
      <c r="U26" s="132"/>
      <c r="V26" s="132"/>
      <c r="W26" s="132"/>
      <c r="X26" s="132"/>
      <c r="Y26" s="132"/>
      <c r="Z26" s="132"/>
      <c r="AA26" s="132"/>
      <c r="AB26" s="132"/>
      <c r="AC26" s="132"/>
      <c r="AD26" s="132"/>
      <c r="AE26" s="132"/>
      <c r="AF26" s="132"/>
      <c r="AG26" s="132"/>
      <c r="AH26" s="132"/>
    </row>
    <row r="27" spans="1:34" ht="14.25" customHeight="1">
      <c r="A27" s="132"/>
      <c r="B27" s="132"/>
      <c r="C27" s="132"/>
      <c r="D27" s="132"/>
      <c r="E27" s="132"/>
      <c r="F27" s="132"/>
      <c r="G27" s="132"/>
      <c r="H27" s="132"/>
      <c r="I27" s="132"/>
      <c r="J27" s="132"/>
      <c r="K27" s="132"/>
      <c r="L27" s="132"/>
      <c r="M27" s="132"/>
      <c r="N27" s="132"/>
      <c r="O27" s="132"/>
      <c r="P27" s="132"/>
      <c r="Q27" s="132"/>
      <c r="R27" s="132"/>
      <c r="S27" s="132"/>
      <c r="T27" s="132"/>
      <c r="U27" s="132"/>
      <c r="V27" s="132"/>
      <c r="W27" s="132"/>
      <c r="X27" s="132"/>
      <c r="Y27" s="132"/>
      <c r="Z27" s="132"/>
      <c r="AA27" s="132"/>
      <c r="AB27" s="132"/>
      <c r="AC27" s="132"/>
      <c r="AD27" s="132"/>
      <c r="AE27" s="132"/>
      <c r="AF27" s="132"/>
      <c r="AG27" s="132"/>
      <c r="AH27" s="132"/>
    </row>
    <row r="28" spans="1:34" ht="14.25" customHeight="1">
      <c r="A28" s="132"/>
      <c r="B28" s="132"/>
      <c r="C28" s="132"/>
      <c r="D28" s="132"/>
      <c r="E28" s="132"/>
      <c r="F28" s="132"/>
      <c r="G28" s="132"/>
      <c r="H28" s="132"/>
      <c r="I28" s="132"/>
      <c r="J28" s="132"/>
      <c r="K28" s="132"/>
      <c r="L28" s="132"/>
      <c r="M28" s="132"/>
      <c r="N28" s="132"/>
      <c r="O28" s="132"/>
      <c r="P28" s="132"/>
      <c r="Q28" s="132"/>
      <c r="R28" s="132"/>
      <c r="S28" s="132"/>
      <c r="T28" s="132"/>
      <c r="U28" s="132"/>
      <c r="V28" s="132"/>
      <c r="W28" s="132"/>
      <c r="X28" s="132"/>
      <c r="Y28" s="132"/>
      <c r="Z28" s="132"/>
      <c r="AA28" s="132"/>
      <c r="AB28" s="132"/>
      <c r="AC28" s="132"/>
      <c r="AD28" s="132"/>
      <c r="AE28" s="132"/>
      <c r="AF28" s="132"/>
      <c r="AG28" s="132"/>
      <c r="AH28" s="132"/>
    </row>
    <row r="29" spans="1:34" ht="14.25" customHeight="1">
      <c r="A29" s="132"/>
      <c r="B29" s="132"/>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c r="AA29" s="132"/>
      <c r="AB29" s="132"/>
      <c r="AC29" s="132"/>
      <c r="AD29" s="132"/>
      <c r="AE29" s="132"/>
      <c r="AF29" s="132"/>
      <c r="AG29" s="132"/>
      <c r="AH29" s="132"/>
    </row>
    <row r="30" spans="1:34" ht="14.25" customHeight="1">
      <c r="A30" s="132"/>
      <c r="B30" s="132"/>
      <c r="C30" s="132"/>
      <c r="D30" s="132"/>
      <c r="E30" s="132"/>
      <c r="F30" s="132"/>
      <c r="AA30" s="70"/>
    </row>
    <row r="31" spans="1:34" ht="14.25" customHeight="1">
      <c r="A31" s="132"/>
      <c r="B31" s="132"/>
      <c r="C31" s="132"/>
      <c r="D31" s="132"/>
      <c r="E31" s="132"/>
      <c r="F31" s="132"/>
      <c r="AA31" s="70"/>
    </row>
    <row r="32" spans="1:34" ht="14.25" customHeight="1">
      <c r="A32" s="132"/>
      <c r="B32" s="132"/>
      <c r="C32" s="132"/>
      <c r="D32" s="132"/>
      <c r="E32" s="132"/>
      <c r="F32" s="132"/>
      <c r="AA32" s="70"/>
    </row>
    <row r="33" spans="1:50" ht="14.25" customHeight="1">
      <c r="A33" s="132"/>
      <c r="B33" s="132"/>
      <c r="C33" s="132"/>
      <c r="D33" s="132"/>
      <c r="E33" s="132"/>
      <c r="F33" s="132"/>
      <c r="AA33" s="70"/>
    </row>
    <row r="34" spans="1:50" ht="14.25" customHeight="1">
      <c r="A34" s="132"/>
      <c r="B34" s="132"/>
      <c r="C34" s="132"/>
      <c r="D34" s="132"/>
      <c r="E34" s="132"/>
      <c r="F34" s="132"/>
      <c r="AA34" s="70"/>
    </row>
    <row r="35" spans="1:50" ht="14.25" customHeight="1">
      <c r="A35" s="132"/>
      <c r="B35" s="132"/>
      <c r="C35" s="132"/>
      <c r="D35" s="132"/>
      <c r="E35" s="132"/>
      <c r="F35" s="132"/>
      <c r="AA35" s="70"/>
    </row>
    <row r="36" spans="1:50" ht="14.25" customHeight="1">
      <c r="A36" s="132"/>
      <c r="B36" s="132"/>
      <c r="C36" s="132"/>
      <c r="D36" s="132"/>
      <c r="E36" s="132"/>
      <c r="F36" s="132"/>
      <c r="G36" s="70"/>
      <c r="H36" s="70"/>
      <c r="I36" s="70"/>
      <c r="K36" s="70"/>
      <c r="L36" s="70"/>
      <c r="M36" s="70"/>
      <c r="N36" s="70"/>
      <c r="O36" s="70"/>
      <c r="P36" s="70"/>
      <c r="Q36" s="70"/>
      <c r="R36" s="70"/>
      <c r="S36" s="136"/>
      <c r="T36" s="70"/>
      <c r="U36" s="70"/>
      <c r="V36" s="70"/>
      <c r="W36" s="70"/>
      <c r="X36" s="70"/>
      <c r="Y36" s="70"/>
      <c r="Z36" s="70"/>
      <c r="AA36" s="70"/>
    </row>
    <row r="37" spans="1:50" ht="14.25" customHeight="1">
      <c r="A37" s="132"/>
      <c r="B37" s="132"/>
      <c r="C37" s="132"/>
      <c r="D37" s="132"/>
      <c r="E37" s="132"/>
      <c r="F37" s="132"/>
      <c r="G37" s="70"/>
      <c r="I37" s="70"/>
      <c r="K37" s="70"/>
      <c r="L37" s="70"/>
      <c r="M37" s="70"/>
      <c r="N37" s="70"/>
      <c r="O37" s="70"/>
      <c r="P37" s="70"/>
      <c r="Q37" s="70"/>
      <c r="R37" s="70"/>
      <c r="S37" s="70"/>
      <c r="T37" s="70"/>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c r="AS37" s="70"/>
      <c r="AT37" s="70"/>
      <c r="AU37" s="70"/>
      <c r="AV37" s="70"/>
      <c r="AW37" s="70"/>
      <c r="AX37" s="70"/>
    </row>
    <row r="38" spans="1:50" ht="14.25" customHeight="1">
      <c r="A38" s="132"/>
      <c r="B38" s="132"/>
      <c r="C38" s="132"/>
      <c r="D38" s="132"/>
      <c r="E38" s="132"/>
      <c r="F38" s="132"/>
      <c r="I38" s="70"/>
      <c r="K38" s="71"/>
      <c r="L38" s="71"/>
      <c r="M38" s="71"/>
      <c r="N38" s="71"/>
      <c r="O38" s="133"/>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0"/>
      <c r="AT38" s="70"/>
      <c r="AU38" s="70"/>
      <c r="AV38" s="70"/>
      <c r="AW38" s="70"/>
      <c r="AX38" s="70"/>
    </row>
    <row r="39" spans="1:50" ht="14.25" customHeight="1">
      <c r="A39" s="132"/>
      <c r="B39" s="132"/>
      <c r="C39" s="132"/>
      <c r="D39" s="132"/>
      <c r="E39" s="132"/>
      <c r="F39" s="132"/>
      <c r="I39" s="70"/>
      <c r="K39" s="71"/>
      <c r="L39" s="71"/>
      <c r="M39" s="71"/>
      <c r="N39" s="71"/>
      <c r="O39" s="134"/>
      <c r="P39" s="70"/>
      <c r="Q39" s="70"/>
      <c r="R39" s="70"/>
      <c r="S39" s="70"/>
      <c r="T39" s="70"/>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c r="AS39" s="70"/>
      <c r="AT39" s="70"/>
      <c r="AU39" s="70"/>
      <c r="AV39" s="70"/>
      <c r="AW39" s="70"/>
      <c r="AX39" s="70"/>
    </row>
    <row r="40" spans="1:50" ht="14.25" customHeight="1">
      <c r="A40" s="132"/>
      <c r="B40" s="132"/>
      <c r="C40" s="132"/>
      <c r="D40" s="132"/>
      <c r="E40" s="132"/>
      <c r="F40" s="132"/>
      <c r="I40" s="70"/>
      <c r="K40" s="71"/>
      <c r="L40" s="71"/>
      <c r="M40" s="71"/>
      <c r="N40" s="135"/>
      <c r="O40" s="134"/>
      <c r="P40" s="70"/>
      <c r="Q40" s="70"/>
      <c r="R40" s="70"/>
      <c r="S40" s="70"/>
      <c r="T40" s="70"/>
      <c r="U40" s="70"/>
      <c r="V40" s="70"/>
      <c r="W40" s="70"/>
      <c r="X40" s="70"/>
      <c r="Y40" s="70"/>
      <c r="Z40" s="70"/>
      <c r="AA40" s="70"/>
      <c r="AB40" s="70"/>
      <c r="AC40" s="70"/>
      <c r="AD40" s="70"/>
      <c r="AE40" s="70"/>
      <c r="AF40" s="70"/>
      <c r="AG40" s="70"/>
      <c r="AH40" s="70"/>
      <c r="AI40" s="70"/>
      <c r="AJ40" s="70"/>
      <c r="AK40" s="70"/>
      <c r="AL40" s="70"/>
      <c r="AM40" s="70"/>
      <c r="AN40" s="70"/>
      <c r="AO40" s="70"/>
      <c r="AP40" s="70"/>
      <c r="AQ40" s="70"/>
      <c r="AR40" s="70"/>
      <c r="AS40" s="70"/>
      <c r="AT40" s="70"/>
      <c r="AU40" s="70"/>
      <c r="AV40" s="70"/>
      <c r="AW40" s="70"/>
      <c r="AX40" s="70"/>
    </row>
    <row r="41" spans="1:50" ht="14.25" customHeight="1">
      <c r="A41" s="132"/>
      <c r="B41" s="132"/>
      <c r="C41" s="132"/>
      <c r="D41" s="132"/>
      <c r="E41" s="132"/>
      <c r="F41" s="132"/>
      <c r="K41" s="71"/>
      <c r="L41" s="71"/>
      <c r="M41" s="71"/>
      <c r="N41" s="71"/>
      <c r="O41" s="134"/>
    </row>
    <row r="42" spans="1:50" ht="14.25" customHeight="1">
      <c r="A42" s="132"/>
      <c r="B42" s="132"/>
      <c r="C42" s="132"/>
      <c r="D42" s="132"/>
      <c r="E42" s="132"/>
      <c r="F42" s="132"/>
      <c r="S42" s="137"/>
      <c r="W42" s="70"/>
      <c r="X42" s="70"/>
      <c r="Y42" s="70"/>
      <c r="Z42" s="70"/>
      <c r="AA42" s="70"/>
    </row>
    <row r="43" spans="1:50" ht="14.25" customHeight="1">
      <c r="A43" s="132"/>
      <c r="B43" s="132"/>
      <c r="C43" s="132"/>
      <c r="D43" s="132"/>
      <c r="E43" s="132"/>
      <c r="F43" s="132"/>
      <c r="G43" s="132"/>
      <c r="S43" s="137"/>
      <c r="W43" s="70"/>
      <c r="X43" s="70"/>
      <c r="Y43" s="70"/>
      <c r="Z43" s="70"/>
      <c r="AA43" s="70"/>
    </row>
    <row r="44" spans="1:50" ht="14.25" customHeight="1">
      <c r="A44" s="132"/>
      <c r="B44" s="132"/>
      <c r="C44" s="132"/>
      <c r="D44" s="132"/>
      <c r="E44" s="132"/>
      <c r="F44" s="132"/>
      <c r="G44" s="132"/>
      <c r="S44" s="137"/>
      <c r="W44" s="70"/>
      <c r="X44" s="70"/>
      <c r="Y44" s="70"/>
      <c r="Z44" s="70"/>
      <c r="AA44" s="70"/>
    </row>
    <row r="45" spans="1:50" ht="14.25" customHeight="1">
      <c r="A45" s="132"/>
      <c r="B45" s="132"/>
      <c r="C45" s="132"/>
      <c r="D45" s="132"/>
      <c r="E45" s="132"/>
      <c r="F45" s="132"/>
      <c r="S45" s="137"/>
      <c r="W45" s="70"/>
      <c r="X45" s="70"/>
      <c r="Y45" s="70"/>
      <c r="Z45" s="70"/>
      <c r="AA45" s="70"/>
    </row>
    <row r="46" spans="1:50" ht="14.25" customHeight="1">
      <c r="A46" s="132"/>
      <c r="B46" s="132"/>
      <c r="C46" s="132"/>
      <c r="D46" s="132"/>
      <c r="E46" s="132"/>
      <c r="F46" s="132"/>
      <c r="S46" s="137"/>
      <c r="W46" s="70"/>
      <c r="X46" s="70"/>
      <c r="Y46" s="70"/>
      <c r="Z46" s="70"/>
      <c r="AA46" s="70"/>
    </row>
    <row r="47" spans="1:50" ht="14.25" customHeight="1">
      <c r="A47" s="132"/>
      <c r="B47" s="132"/>
      <c r="C47" s="132"/>
      <c r="D47" s="132"/>
      <c r="E47" s="132"/>
      <c r="F47" s="132"/>
      <c r="S47" s="137"/>
    </row>
    <row r="48" spans="1:50" ht="14.25" customHeight="1">
      <c r="A48" s="132"/>
      <c r="B48" s="132"/>
      <c r="C48" s="132"/>
      <c r="D48" s="132"/>
      <c r="E48" s="132"/>
      <c r="F48" s="132"/>
    </row>
    <row r="49" spans="1:22" ht="14.25" customHeight="1">
      <c r="A49" s="132"/>
      <c r="B49" s="132"/>
      <c r="C49" s="132"/>
      <c r="D49" s="132"/>
      <c r="E49" s="132"/>
      <c r="F49" s="132"/>
      <c r="G49" s="130"/>
      <c r="H49" s="130"/>
      <c r="I49" s="130"/>
      <c r="J49" s="130"/>
      <c r="K49" s="130"/>
      <c r="L49" s="130"/>
      <c r="M49" s="130"/>
      <c r="N49" s="130"/>
      <c r="O49" s="130"/>
      <c r="P49" s="130"/>
      <c r="Q49" s="130"/>
      <c r="R49" s="130"/>
      <c r="S49" s="130"/>
      <c r="T49" s="130"/>
      <c r="U49" s="130"/>
      <c r="V49" s="131"/>
    </row>
    <row r="50" spans="1:22" ht="14.25" customHeight="1">
      <c r="A50" s="132"/>
      <c r="B50" s="132"/>
      <c r="C50" s="132"/>
      <c r="D50" s="132"/>
      <c r="E50" s="132"/>
      <c r="F50" s="132"/>
    </row>
    <row r="51" spans="1:22" ht="14.25" customHeight="1">
      <c r="A51" s="132"/>
      <c r="B51" s="132"/>
      <c r="C51" s="132"/>
      <c r="D51" s="132"/>
      <c r="E51" s="132"/>
      <c r="F51" s="132"/>
    </row>
    <row r="52" spans="1:22" ht="14.25" customHeight="1">
      <c r="A52" s="132"/>
      <c r="B52" s="132"/>
      <c r="C52" s="132"/>
      <c r="D52" s="132"/>
      <c r="E52" s="132"/>
      <c r="F52" s="132"/>
    </row>
    <row r="53" spans="1:22" ht="14.25" customHeight="1">
      <c r="A53" s="132"/>
      <c r="B53" s="132"/>
      <c r="C53" s="132"/>
      <c r="D53" s="132"/>
      <c r="E53" s="132"/>
      <c r="F53" s="132"/>
    </row>
    <row r="54" spans="1:22" ht="14.25" customHeight="1">
      <c r="A54" s="132"/>
      <c r="B54" s="132"/>
      <c r="C54" s="132"/>
      <c r="D54" s="132"/>
      <c r="E54" s="132"/>
      <c r="F54" s="132"/>
    </row>
    <row r="55" spans="1:22" ht="14.25" customHeight="1">
      <c r="A55" s="132"/>
      <c r="B55" s="132"/>
      <c r="C55" s="132"/>
      <c r="D55" s="132"/>
      <c r="E55" s="132"/>
      <c r="F55" s="132"/>
    </row>
    <row r="56" spans="1:22" ht="14.25" customHeight="1">
      <c r="A56" s="132"/>
      <c r="B56" s="132"/>
      <c r="C56" s="132"/>
      <c r="D56" s="132"/>
      <c r="E56" s="132"/>
      <c r="F56" s="132"/>
    </row>
    <row r="57" spans="1:22" ht="14.25" customHeight="1">
      <c r="A57" s="132"/>
      <c r="B57" s="132"/>
      <c r="C57" s="132"/>
      <c r="D57" s="132"/>
      <c r="E57" s="132"/>
      <c r="F57" s="132"/>
    </row>
    <row r="58" spans="1:22" ht="14.25" customHeight="1">
      <c r="A58" s="132"/>
      <c r="B58" s="132"/>
      <c r="C58" s="132"/>
      <c r="D58" s="132"/>
      <c r="E58" s="132"/>
      <c r="F58" s="132"/>
    </row>
    <row r="59" spans="1:22" ht="14.25" customHeight="1">
      <c r="A59" s="132"/>
      <c r="B59" s="132"/>
      <c r="C59" s="132"/>
      <c r="D59" s="132"/>
      <c r="E59" s="132"/>
      <c r="F59" s="132"/>
    </row>
    <row r="60" spans="1:22" ht="14.25" customHeight="1">
      <c r="A60" s="132"/>
      <c r="B60" s="132"/>
      <c r="C60" s="132"/>
      <c r="D60" s="132"/>
      <c r="E60" s="132"/>
      <c r="F60" s="132"/>
    </row>
    <row r="61" spans="1:22" ht="14.25" customHeight="1">
      <c r="A61" s="132"/>
      <c r="B61" s="132"/>
      <c r="C61" s="132"/>
      <c r="D61" s="132"/>
      <c r="E61" s="132"/>
      <c r="F61" s="132"/>
    </row>
    <row r="62" spans="1:22" ht="14.25" customHeight="1">
      <c r="A62" s="132"/>
      <c r="B62" s="132"/>
      <c r="C62" s="132"/>
      <c r="D62" s="132"/>
      <c r="E62" s="132"/>
      <c r="F62" s="132"/>
    </row>
    <row r="63" spans="1:22" ht="14.25" customHeight="1">
      <c r="A63" s="132"/>
      <c r="B63" s="132"/>
      <c r="C63" s="132"/>
      <c r="D63" s="132"/>
      <c r="E63" s="132"/>
      <c r="F63" s="132"/>
    </row>
    <row r="64" spans="1:22" ht="14.25" customHeight="1">
      <c r="A64" s="132"/>
      <c r="B64" s="132"/>
      <c r="C64" s="132"/>
      <c r="D64" s="132"/>
      <c r="E64" s="132"/>
      <c r="F64" s="132"/>
    </row>
    <row r="65" spans="1:6" ht="14.25" customHeight="1">
      <c r="A65" s="132"/>
      <c r="B65" s="132"/>
      <c r="C65" s="132"/>
      <c r="D65" s="132"/>
      <c r="E65" s="132"/>
      <c r="F65" s="132"/>
    </row>
    <row r="66" spans="1:6" ht="14.25" customHeight="1">
      <c r="A66" s="132"/>
      <c r="B66" s="132"/>
      <c r="C66" s="132"/>
      <c r="D66" s="132"/>
      <c r="E66" s="132"/>
      <c r="F66" s="132"/>
    </row>
    <row r="67" spans="1:6" ht="14.25" customHeight="1">
      <c r="A67" s="132"/>
      <c r="B67" s="132"/>
      <c r="C67" s="132"/>
      <c r="D67" s="132"/>
      <c r="E67" s="132"/>
      <c r="F67" s="132"/>
    </row>
    <row r="68" spans="1:6" ht="14.25" customHeight="1">
      <c r="A68" s="132"/>
      <c r="B68" s="132"/>
      <c r="C68" s="132"/>
      <c r="D68" s="132"/>
      <c r="E68" s="132"/>
      <c r="F68" s="132"/>
    </row>
    <row r="69" spans="1:6" ht="14.25" customHeight="1">
      <c r="A69" s="132"/>
      <c r="B69" s="132"/>
      <c r="C69" s="132"/>
      <c r="D69" s="132"/>
      <c r="E69" s="132"/>
      <c r="F69" s="132"/>
    </row>
    <row r="70" spans="1:6" ht="14.25" customHeight="1">
      <c r="A70" s="132"/>
      <c r="B70" s="132"/>
      <c r="C70" s="132"/>
      <c r="D70" s="132"/>
      <c r="E70" s="132"/>
      <c r="F70" s="132"/>
    </row>
    <row r="71" spans="1:6" ht="14.25" customHeight="1">
      <c r="A71" s="132"/>
      <c r="B71" s="132"/>
      <c r="C71" s="132"/>
      <c r="D71" s="132"/>
      <c r="E71" s="132"/>
      <c r="F71" s="132"/>
    </row>
    <row r="72" spans="1:6" ht="14.25" customHeight="1">
      <c r="A72" s="132"/>
      <c r="B72" s="132"/>
      <c r="C72" s="132"/>
      <c r="D72" s="132"/>
      <c r="E72" s="132"/>
      <c r="F72" s="132"/>
    </row>
    <row r="73" spans="1:6" ht="14.25" customHeight="1">
      <c r="A73" s="132"/>
      <c r="B73" s="132"/>
      <c r="C73" s="132"/>
      <c r="D73" s="132"/>
      <c r="E73" s="132"/>
      <c r="F73" s="132"/>
    </row>
    <row r="74" spans="1:6" ht="14.25" customHeight="1">
      <c r="A74" s="132"/>
      <c r="B74" s="132"/>
      <c r="C74" s="132"/>
      <c r="D74" s="132"/>
      <c r="E74" s="132"/>
      <c r="F74" s="132"/>
    </row>
    <row r="75" spans="1:6" ht="14.25" customHeight="1">
      <c r="A75" s="132"/>
      <c r="B75" s="132"/>
      <c r="C75" s="132"/>
      <c r="D75" s="132"/>
      <c r="E75" s="132"/>
      <c r="F75" s="132"/>
    </row>
    <row r="76" spans="1:6" ht="14.25" customHeight="1">
      <c r="A76" s="132"/>
      <c r="B76" s="132"/>
      <c r="C76" s="132"/>
      <c r="D76" s="132"/>
      <c r="E76" s="132"/>
      <c r="F76" s="132"/>
    </row>
    <row r="77" spans="1:6" ht="14.25" customHeight="1">
      <c r="A77" s="132"/>
      <c r="B77" s="132"/>
      <c r="C77" s="132"/>
      <c r="D77" s="132"/>
      <c r="E77" s="132"/>
      <c r="F77" s="132"/>
    </row>
    <row r="78" spans="1:6" ht="14.25" customHeight="1">
      <c r="A78" s="132"/>
      <c r="B78" s="132"/>
      <c r="C78" s="132"/>
      <c r="D78" s="132"/>
      <c r="E78" s="132"/>
      <c r="F78" s="132"/>
    </row>
    <row r="79" spans="1:6" ht="14.25" customHeight="1">
      <c r="A79" s="132"/>
      <c r="B79" s="132"/>
      <c r="C79" s="132"/>
      <c r="D79" s="132"/>
      <c r="E79" s="132"/>
      <c r="F79" s="132"/>
    </row>
    <row r="80" spans="1:6" ht="14.25" customHeight="1">
      <c r="A80" s="132"/>
      <c r="B80" s="132"/>
      <c r="C80" s="132"/>
      <c r="D80" s="132"/>
      <c r="E80" s="132"/>
      <c r="F80" s="132"/>
    </row>
    <row r="81" spans="1:6" ht="14.25" customHeight="1">
      <c r="A81" s="132"/>
      <c r="B81" s="132"/>
      <c r="C81" s="132"/>
      <c r="D81" s="132"/>
      <c r="E81" s="132"/>
      <c r="F81" s="132"/>
    </row>
    <row r="82" spans="1:6" ht="14.25" customHeight="1">
      <c r="A82" s="132"/>
      <c r="B82" s="132"/>
      <c r="C82" s="132"/>
      <c r="D82" s="132"/>
      <c r="E82" s="132"/>
      <c r="F82" s="132"/>
    </row>
    <row r="83" spans="1:6" ht="14.25" customHeight="1">
      <c r="A83" s="132"/>
      <c r="B83" s="132"/>
      <c r="C83" s="132"/>
      <c r="D83" s="132"/>
      <c r="E83" s="132"/>
      <c r="F83" s="132"/>
    </row>
    <row r="84" spans="1:6" ht="14.25" customHeight="1">
      <c r="A84" s="132"/>
      <c r="B84" s="132"/>
      <c r="C84" s="132"/>
      <c r="D84" s="132"/>
      <c r="E84" s="132"/>
      <c r="F84" s="132"/>
    </row>
    <row r="85" spans="1:6" ht="14.25" customHeight="1">
      <c r="A85" s="132"/>
      <c r="B85" s="132"/>
      <c r="C85" s="132"/>
      <c r="D85" s="132"/>
      <c r="E85" s="132"/>
      <c r="F85" s="132"/>
    </row>
    <row r="86" spans="1:6" ht="14.25" customHeight="1">
      <c r="A86" s="132"/>
      <c r="B86" s="132"/>
      <c r="C86" s="132"/>
      <c r="D86" s="132"/>
      <c r="E86" s="132"/>
      <c r="F86" s="132"/>
    </row>
    <row r="87" spans="1:6" ht="14.25" customHeight="1">
      <c r="A87" s="132"/>
      <c r="B87" s="132"/>
      <c r="C87" s="132"/>
      <c r="D87" s="132"/>
      <c r="E87" s="132"/>
      <c r="F87" s="132"/>
    </row>
    <row r="88" spans="1:6" ht="14.25" customHeight="1">
      <c r="A88" s="132"/>
      <c r="B88" s="132"/>
      <c r="C88" s="132"/>
      <c r="D88" s="132"/>
      <c r="E88" s="132"/>
      <c r="F88" s="132"/>
    </row>
    <row r="89" spans="1:6" ht="14.25" customHeight="1">
      <c r="A89" s="132"/>
      <c r="B89" s="132"/>
      <c r="C89" s="132"/>
      <c r="D89" s="132"/>
      <c r="E89" s="132"/>
      <c r="F89" s="132"/>
    </row>
    <row r="90" spans="1:6" ht="14.25" customHeight="1">
      <c r="A90" s="132"/>
      <c r="B90" s="132"/>
      <c r="C90" s="132"/>
      <c r="D90" s="132"/>
      <c r="E90" s="132"/>
      <c r="F90" s="132"/>
    </row>
    <row r="91" spans="1:6" ht="14.25" customHeight="1">
      <c r="A91" s="132"/>
      <c r="B91" s="132"/>
      <c r="C91" s="132"/>
      <c r="D91" s="132"/>
      <c r="E91" s="132"/>
      <c r="F91" s="132"/>
    </row>
    <row r="92" spans="1:6" ht="14.25" customHeight="1">
      <c r="A92" s="132"/>
      <c r="B92" s="132"/>
      <c r="C92" s="132"/>
      <c r="D92" s="132"/>
      <c r="E92" s="132"/>
      <c r="F92" s="132"/>
    </row>
    <row r="93" spans="1:6" ht="14.25" customHeight="1">
      <c r="A93" s="132"/>
      <c r="B93" s="132"/>
      <c r="C93" s="132"/>
      <c r="D93" s="132"/>
      <c r="E93" s="132"/>
      <c r="F93" s="132"/>
    </row>
    <row r="94" spans="1:6" ht="14.25" customHeight="1">
      <c r="A94" s="132"/>
      <c r="B94" s="132"/>
      <c r="C94" s="132"/>
      <c r="D94" s="132"/>
      <c r="E94" s="132"/>
      <c r="F94" s="132"/>
    </row>
    <row r="95" spans="1:6" ht="14.25" customHeight="1">
      <c r="A95" s="132"/>
      <c r="B95" s="132"/>
      <c r="C95" s="132"/>
      <c r="D95" s="132"/>
      <c r="E95" s="132"/>
      <c r="F95" s="132"/>
    </row>
    <row r="96" spans="1:6" ht="14.25" customHeight="1">
      <c r="A96" s="132"/>
      <c r="B96" s="132"/>
      <c r="C96" s="132"/>
      <c r="D96" s="132"/>
      <c r="E96" s="132"/>
      <c r="F96" s="132"/>
    </row>
    <row r="97" spans="1:6" ht="14.25" customHeight="1">
      <c r="A97" s="132"/>
      <c r="B97" s="132"/>
      <c r="C97" s="132"/>
      <c r="D97" s="132"/>
      <c r="E97" s="132"/>
      <c r="F97" s="132"/>
    </row>
    <row r="98" spans="1:6" ht="14.25" customHeight="1">
      <c r="A98" s="132"/>
      <c r="B98" s="132"/>
      <c r="C98" s="132"/>
      <c r="D98" s="132"/>
      <c r="E98" s="132"/>
      <c r="F98" s="132"/>
    </row>
    <row r="99" spans="1:6" ht="14.25" customHeight="1">
      <c r="A99" s="132"/>
      <c r="B99" s="132"/>
      <c r="C99" s="132"/>
      <c r="D99" s="132"/>
      <c r="E99" s="132"/>
      <c r="F99" s="132"/>
    </row>
    <row r="100" spans="1:6" ht="14.25" customHeight="1">
      <c r="A100" s="132"/>
      <c r="B100" s="132"/>
      <c r="C100" s="132"/>
      <c r="D100" s="132"/>
      <c r="E100" s="132"/>
      <c r="F100" s="132"/>
    </row>
    <row r="101" spans="1:6" ht="14.25" customHeight="1">
      <c r="A101" s="132"/>
      <c r="B101" s="132"/>
      <c r="C101" s="132"/>
      <c r="D101" s="132"/>
      <c r="E101" s="132"/>
      <c r="F101" s="132"/>
    </row>
    <row r="102" spans="1:6" ht="14.25" customHeight="1">
      <c r="A102" s="132"/>
      <c r="B102" s="132"/>
      <c r="C102" s="132"/>
      <c r="D102" s="132"/>
      <c r="E102" s="132"/>
      <c r="F102" s="132"/>
    </row>
    <row r="103" spans="1:6" ht="14.25" customHeight="1">
      <c r="A103" s="132"/>
      <c r="B103" s="132"/>
      <c r="C103" s="132"/>
      <c r="D103" s="132"/>
      <c r="E103" s="132"/>
      <c r="F103" s="132"/>
    </row>
    <row r="104" spans="1:6" ht="14.25" customHeight="1">
      <c r="A104" s="132"/>
      <c r="B104" s="132"/>
      <c r="C104" s="132"/>
      <c r="D104" s="132"/>
      <c r="E104" s="132"/>
      <c r="F104" s="132"/>
    </row>
    <row r="105" spans="1:6" ht="14.25" customHeight="1">
      <c r="A105" s="132"/>
      <c r="B105" s="132"/>
      <c r="C105" s="132"/>
      <c r="D105" s="132"/>
      <c r="E105" s="132"/>
      <c r="F105" s="132"/>
    </row>
    <row r="106" spans="1:6" ht="14.25" customHeight="1">
      <c r="A106" s="132"/>
      <c r="B106" s="132"/>
      <c r="C106" s="132"/>
      <c r="D106" s="132"/>
      <c r="E106" s="132"/>
      <c r="F106" s="132"/>
    </row>
    <row r="107" spans="1:6" ht="14.25" customHeight="1">
      <c r="A107" s="132"/>
      <c r="B107" s="132"/>
      <c r="C107" s="132"/>
      <c r="D107" s="132"/>
      <c r="E107" s="132"/>
      <c r="F107" s="132"/>
    </row>
    <row r="108" spans="1:6" ht="14.25" customHeight="1">
      <c r="A108" s="132"/>
      <c r="B108" s="132"/>
      <c r="C108" s="132"/>
      <c r="D108" s="132"/>
      <c r="E108" s="132"/>
      <c r="F108" s="132"/>
    </row>
    <row r="109" spans="1:6" ht="14.25" customHeight="1">
      <c r="A109" s="132"/>
      <c r="B109" s="132"/>
      <c r="C109" s="132"/>
      <c r="D109" s="132"/>
      <c r="E109" s="132"/>
      <c r="F109" s="132"/>
    </row>
    <row r="110" spans="1:6" ht="14.25" customHeight="1">
      <c r="A110" s="132"/>
      <c r="B110" s="132"/>
      <c r="C110" s="132"/>
      <c r="D110" s="132"/>
      <c r="E110" s="132"/>
      <c r="F110" s="132"/>
    </row>
    <row r="111" spans="1:6" ht="14.25" customHeight="1">
      <c r="A111" s="132"/>
      <c r="B111" s="132"/>
      <c r="C111" s="132"/>
      <c r="D111" s="132"/>
      <c r="E111" s="132"/>
      <c r="F111" s="132"/>
    </row>
    <row r="112" spans="1:6" ht="14.25" customHeight="1">
      <c r="A112" s="132"/>
      <c r="B112" s="132"/>
      <c r="C112" s="132"/>
      <c r="D112" s="132"/>
      <c r="E112" s="132"/>
      <c r="F112" s="132"/>
    </row>
    <row r="113" spans="1:6" ht="14.25" customHeight="1">
      <c r="A113" s="132"/>
      <c r="B113" s="132"/>
      <c r="C113" s="132"/>
      <c r="D113" s="132"/>
      <c r="E113" s="132"/>
      <c r="F113" s="132"/>
    </row>
    <row r="114" spans="1:6" ht="14.25" customHeight="1">
      <c r="A114" s="132"/>
      <c r="B114" s="132"/>
      <c r="C114" s="132"/>
      <c r="D114" s="132"/>
      <c r="E114" s="132"/>
      <c r="F114" s="132"/>
    </row>
    <row r="115" spans="1:6" ht="14.25" customHeight="1">
      <c r="A115" s="132"/>
      <c r="B115" s="132"/>
      <c r="C115" s="132"/>
      <c r="D115" s="132"/>
      <c r="E115" s="132"/>
      <c r="F115" s="132"/>
    </row>
    <row r="116" spans="1:6" ht="14.25" customHeight="1">
      <c r="A116" s="132"/>
      <c r="B116" s="132"/>
      <c r="C116" s="132"/>
      <c r="D116" s="132"/>
      <c r="E116" s="132"/>
      <c r="F116" s="132"/>
    </row>
    <row r="117" spans="1:6" ht="14.25" customHeight="1">
      <c r="A117" s="132"/>
      <c r="B117" s="132"/>
      <c r="C117" s="132"/>
      <c r="D117" s="132"/>
      <c r="E117" s="132"/>
      <c r="F117" s="132"/>
    </row>
    <row r="118" spans="1:6" ht="14.25" customHeight="1">
      <c r="A118" s="132"/>
      <c r="B118" s="132"/>
      <c r="C118" s="132"/>
      <c r="D118" s="132"/>
      <c r="E118" s="132"/>
      <c r="F118" s="132"/>
    </row>
    <row r="119" spans="1:6" ht="14.25" customHeight="1">
      <c r="A119" s="132"/>
      <c r="B119" s="132"/>
      <c r="C119" s="132"/>
      <c r="D119" s="132"/>
      <c r="E119" s="132"/>
      <c r="F119" s="132"/>
    </row>
    <row r="120" spans="1:6" ht="14.25" customHeight="1">
      <c r="A120" s="132"/>
      <c r="B120" s="132"/>
      <c r="C120" s="132"/>
      <c r="D120" s="132"/>
      <c r="E120" s="132"/>
      <c r="F120" s="132"/>
    </row>
    <row r="121" spans="1:6" ht="14.25" customHeight="1">
      <c r="A121" s="132"/>
      <c r="B121" s="132"/>
      <c r="C121" s="132"/>
      <c r="D121" s="132"/>
      <c r="E121" s="132"/>
      <c r="F121" s="132"/>
    </row>
    <row r="122" spans="1:6" ht="14.25" customHeight="1">
      <c r="A122" s="132"/>
      <c r="B122" s="132"/>
      <c r="C122" s="132"/>
      <c r="D122" s="132"/>
      <c r="E122" s="132"/>
      <c r="F122" s="132"/>
    </row>
    <row r="123" spans="1:6" ht="14.25" customHeight="1">
      <c r="A123" s="132"/>
      <c r="B123" s="132"/>
      <c r="C123" s="132"/>
      <c r="D123" s="132"/>
      <c r="E123" s="132"/>
      <c r="F123" s="132"/>
    </row>
    <row r="124" spans="1:6" ht="14.25" customHeight="1">
      <c r="A124" s="132"/>
      <c r="B124" s="132"/>
      <c r="C124" s="132"/>
      <c r="D124" s="132"/>
      <c r="E124" s="132"/>
      <c r="F124" s="132"/>
    </row>
    <row r="125" spans="1:6" ht="14.25" customHeight="1">
      <c r="A125" s="132"/>
      <c r="B125" s="132"/>
      <c r="C125" s="132"/>
      <c r="D125" s="132"/>
      <c r="E125" s="132"/>
      <c r="F125" s="132"/>
    </row>
    <row r="126" spans="1:6" ht="14.25" customHeight="1">
      <c r="A126" s="132"/>
      <c r="B126" s="132"/>
      <c r="C126" s="132"/>
      <c r="D126" s="132"/>
      <c r="E126" s="132"/>
      <c r="F126" s="132"/>
    </row>
    <row r="127" spans="1:6" ht="14.25" customHeight="1">
      <c r="A127" s="132"/>
      <c r="B127" s="132"/>
      <c r="C127" s="132"/>
      <c r="D127" s="132"/>
      <c r="E127" s="132"/>
      <c r="F127" s="132"/>
    </row>
    <row r="128" spans="1:6" ht="14.25" customHeight="1">
      <c r="A128" s="132"/>
      <c r="B128" s="132"/>
      <c r="C128" s="132"/>
      <c r="D128" s="132"/>
      <c r="E128" s="132"/>
      <c r="F128" s="132"/>
    </row>
    <row r="129" spans="1:6" ht="14.25" customHeight="1">
      <c r="A129" s="132"/>
      <c r="B129" s="132"/>
      <c r="C129" s="132"/>
      <c r="D129" s="132"/>
      <c r="E129" s="132"/>
      <c r="F129" s="132"/>
    </row>
    <row r="130" spans="1:6" ht="14.25" customHeight="1">
      <c r="A130" s="132"/>
      <c r="B130" s="132"/>
      <c r="C130" s="132"/>
      <c r="D130" s="132"/>
      <c r="E130" s="132"/>
      <c r="F130" s="132"/>
    </row>
    <row r="131" spans="1:6" ht="14.25" customHeight="1">
      <c r="A131" s="132"/>
      <c r="B131" s="132"/>
      <c r="C131" s="132"/>
      <c r="D131" s="132"/>
      <c r="E131" s="132"/>
      <c r="F131" s="132"/>
    </row>
    <row r="132" spans="1:6" ht="14.25" customHeight="1">
      <c r="A132" s="132"/>
      <c r="B132" s="132"/>
      <c r="C132" s="132"/>
      <c r="D132" s="132"/>
      <c r="E132" s="132"/>
      <c r="F132" s="132"/>
    </row>
    <row r="133" spans="1:6" ht="14.25" customHeight="1">
      <c r="A133" s="132"/>
      <c r="B133" s="132"/>
      <c r="C133" s="132"/>
      <c r="D133" s="132"/>
      <c r="E133" s="132"/>
      <c r="F133" s="132"/>
    </row>
    <row r="134" spans="1:6" ht="14.25" customHeight="1">
      <c r="A134" s="132"/>
      <c r="B134" s="132"/>
      <c r="C134" s="132"/>
      <c r="D134" s="132"/>
      <c r="E134" s="132"/>
      <c r="F134" s="132"/>
    </row>
    <row r="135" spans="1:6" ht="14.25" customHeight="1">
      <c r="A135" s="132"/>
      <c r="B135" s="132"/>
      <c r="C135" s="132"/>
      <c r="D135" s="132"/>
      <c r="E135" s="132"/>
      <c r="F135" s="132"/>
    </row>
    <row r="136" spans="1:6" ht="14.25" customHeight="1">
      <c r="A136" s="132"/>
      <c r="B136" s="132"/>
      <c r="C136" s="132"/>
      <c r="D136" s="132"/>
      <c r="E136" s="132"/>
      <c r="F136" s="132"/>
    </row>
    <row r="137" spans="1:6" ht="14.25" customHeight="1">
      <c r="A137" s="132"/>
      <c r="B137" s="132"/>
      <c r="C137" s="132"/>
      <c r="D137" s="132"/>
      <c r="E137" s="132"/>
      <c r="F137" s="132"/>
    </row>
    <row r="138" spans="1:6" ht="14.25" customHeight="1">
      <c r="A138" s="132"/>
      <c r="B138" s="132"/>
      <c r="C138" s="132"/>
      <c r="D138" s="132"/>
      <c r="E138" s="132"/>
      <c r="F138" s="132"/>
    </row>
    <row r="139" spans="1:6" ht="14.25" customHeight="1">
      <c r="A139" s="132"/>
      <c r="B139" s="132"/>
      <c r="C139" s="132"/>
      <c r="D139" s="132"/>
      <c r="E139" s="132"/>
      <c r="F139" s="132"/>
    </row>
    <row r="140" spans="1:6" ht="14.25" customHeight="1">
      <c r="A140" s="132"/>
      <c r="B140" s="132"/>
      <c r="C140" s="132"/>
      <c r="D140" s="132"/>
      <c r="E140" s="132"/>
      <c r="F140" s="132"/>
    </row>
    <row r="141" spans="1:6" ht="14.25" customHeight="1">
      <c r="A141" s="132"/>
      <c r="B141" s="132"/>
      <c r="C141" s="132"/>
      <c r="D141" s="132"/>
      <c r="E141" s="132"/>
      <c r="F141" s="132"/>
    </row>
    <row r="142" spans="1:6" ht="14.25" customHeight="1">
      <c r="A142" s="132"/>
      <c r="B142" s="132"/>
      <c r="C142" s="132"/>
      <c r="D142" s="132"/>
      <c r="E142" s="132"/>
      <c r="F142" s="132"/>
    </row>
    <row r="143" spans="1:6" ht="14.25" customHeight="1">
      <c r="A143" s="132"/>
      <c r="B143" s="132"/>
      <c r="C143" s="132"/>
      <c r="D143" s="132"/>
      <c r="E143" s="132"/>
      <c r="F143" s="132"/>
    </row>
    <row r="144" spans="1:6" ht="14.25" customHeight="1">
      <c r="A144" s="132"/>
      <c r="B144" s="132"/>
      <c r="C144" s="132"/>
      <c r="D144" s="132"/>
      <c r="E144" s="132"/>
      <c r="F144" s="132"/>
    </row>
    <row r="145" spans="1:6" ht="14.25" customHeight="1">
      <c r="A145" s="132"/>
      <c r="B145" s="132"/>
      <c r="C145" s="132"/>
      <c r="D145" s="132"/>
      <c r="E145" s="132"/>
      <c r="F145" s="132"/>
    </row>
    <row r="146" spans="1:6" ht="14.25" customHeight="1">
      <c r="A146" s="132"/>
      <c r="B146" s="132"/>
      <c r="C146" s="132"/>
      <c r="D146" s="132"/>
      <c r="E146" s="132"/>
      <c r="F146" s="132"/>
    </row>
    <row r="147" spans="1:6" ht="14.25" customHeight="1">
      <c r="A147" s="132"/>
      <c r="B147" s="132"/>
      <c r="C147" s="132"/>
      <c r="D147" s="132"/>
      <c r="E147" s="132"/>
      <c r="F147" s="132"/>
    </row>
    <row r="148" spans="1:6" ht="14.25" customHeight="1">
      <c r="A148" s="132"/>
      <c r="B148" s="132"/>
      <c r="C148" s="132"/>
      <c r="D148" s="132"/>
      <c r="E148" s="132"/>
      <c r="F148" s="132"/>
    </row>
    <row r="149" spans="1:6" ht="14.25" customHeight="1">
      <c r="A149" s="132"/>
      <c r="B149" s="132"/>
      <c r="C149" s="132"/>
      <c r="D149" s="132"/>
      <c r="E149" s="132"/>
      <c r="F149" s="132"/>
    </row>
    <row r="150" spans="1:6" ht="14.25" customHeight="1">
      <c r="A150" s="132"/>
      <c r="B150" s="132"/>
      <c r="C150" s="132"/>
      <c r="D150" s="132"/>
      <c r="E150" s="132"/>
      <c r="F150" s="132"/>
    </row>
    <row r="151" spans="1:6" ht="14.25" customHeight="1">
      <c r="A151" s="132"/>
      <c r="B151" s="132"/>
      <c r="C151" s="132"/>
      <c r="D151" s="132"/>
      <c r="E151" s="132"/>
      <c r="F151" s="132"/>
    </row>
    <row r="152" spans="1:6" ht="14.25" customHeight="1"/>
    <row r="153" spans="1:6" ht="14.25" customHeight="1"/>
    <row r="154" spans="1:6" ht="14.25" customHeight="1"/>
    <row r="155" spans="1:6" ht="14.25" customHeight="1"/>
    <row r="156" spans="1:6" ht="14.25" customHeight="1"/>
    <row r="157" spans="1:6" ht="14.25" customHeight="1"/>
    <row r="158" spans="1:6" ht="14.25" customHeight="1"/>
    <row r="159" spans="1:6" ht="14.25" customHeight="1"/>
    <row r="160" spans="1:6"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1">
    <mergeCell ref="B2:C2"/>
  </mergeCell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8CEA0-AD66-40DF-911B-DBF421A789AD}">
  <sheetPr codeName="Sheet19">
    <tabColor theme="9" tint="0.39997558519241921"/>
  </sheetPr>
  <dimension ref="A1:Q52"/>
  <sheetViews>
    <sheetView topLeftCell="A7" zoomScale="70" zoomScaleNormal="70" workbookViewId="0">
      <selection activeCell="B25" sqref="B25:O25"/>
    </sheetView>
  </sheetViews>
  <sheetFormatPr defaultColWidth="10" defaultRowHeight="14"/>
  <cols>
    <col min="1" max="1" width="15.08203125" bestFit="1" customWidth="1"/>
  </cols>
  <sheetData>
    <row r="1" spans="1:6">
      <c r="B1" s="204" t="s">
        <v>589</v>
      </c>
      <c r="C1" t="s">
        <v>1425</v>
      </c>
      <c r="F1" t="s">
        <v>1433</v>
      </c>
    </row>
    <row r="2" spans="1:6" ht="14.5">
      <c r="A2" s="330" t="s">
        <v>139</v>
      </c>
      <c r="B2" s="238">
        <v>0</v>
      </c>
      <c r="C2" s="238">
        <v>0</v>
      </c>
    </row>
    <row r="3" spans="1:6" ht="14.5">
      <c r="A3" s="331" t="s">
        <v>37</v>
      </c>
      <c r="B3" s="158">
        <v>1</v>
      </c>
      <c r="C3" s="158">
        <v>24</v>
      </c>
    </row>
    <row r="4" spans="1:6" ht="14.5">
      <c r="A4" s="331" t="s">
        <v>140</v>
      </c>
      <c r="B4" s="158">
        <v>0.89537271674282504</v>
      </c>
      <c r="C4" s="158">
        <v>24</v>
      </c>
    </row>
    <row r="5" spans="1:6" ht="14.5">
      <c r="A5" s="331" t="s">
        <v>48</v>
      </c>
      <c r="B5" s="158">
        <v>0.66745461968701914</v>
      </c>
      <c r="C5" s="158">
        <v>24</v>
      </c>
    </row>
    <row r="6" spans="1:6" ht="14.5">
      <c r="A6" s="331" t="s">
        <v>141</v>
      </c>
      <c r="B6" s="158">
        <v>0</v>
      </c>
      <c r="C6" s="158">
        <v>0</v>
      </c>
    </row>
    <row r="7" spans="1:6" ht="14.5">
      <c r="A7" s="331" t="s">
        <v>142</v>
      </c>
      <c r="B7" s="158">
        <v>1</v>
      </c>
      <c r="C7" s="158">
        <v>20</v>
      </c>
    </row>
    <row r="8" spans="1:6" ht="14.5">
      <c r="A8" s="331" t="s">
        <v>143</v>
      </c>
      <c r="B8" s="158">
        <v>0</v>
      </c>
      <c r="C8" s="158">
        <v>0</v>
      </c>
    </row>
    <row r="9" spans="1:6" ht="14.5">
      <c r="A9" s="331" t="s">
        <v>144</v>
      </c>
      <c r="B9" s="158">
        <v>1</v>
      </c>
      <c r="C9" s="158">
        <v>24</v>
      </c>
    </row>
    <row r="10" spans="1:6" ht="14.5">
      <c r="A10" s="331" t="s">
        <v>61</v>
      </c>
      <c r="B10" s="158">
        <v>3.9556821441283189E-2</v>
      </c>
      <c r="C10" s="158">
        <v>20</v>
      </c>
    </row>
    <row r="11" spans="1:6" ht="14.5">
      <c r="A11" s="331" t="s">
        <v>63</v>
      </c>
      <c r="B11" s="158">
        <v>0</v>
      </c>
      <c r="C11" s="158">
        <v>0</v>
      </c>
    </row>
    <row r="12" spans="1:6" ht="14.5">
      <c r="A12" s="331" t="s">
        <v>65</v>
      </c>
      <c r="B12" s="158">
        <v>0</v>
      </c>
      <c r="C12" s="158">
        <v>0</v>
      </c>
    </row>
    <row r="13" spans="1:6" ht="14.5">
      <c r="A13" s="331" t="s">
        <v>67</v>
      </c>
      <c r="B13" s="158">
        <v>0.13182480359280213</v>
      </c>
      <c r="C13" s="158">
        <v>16</v>
      </c>
    </row>
    <row r="14" spans="1:6" ht="14.5">
      <c r="A14" s="331" t="s">
        <v>69</v>
      </c>
      <c r="B14" s="158">
        <v>0</v>
      </c>
      <c r="C14" s="158">
        <v>0</v>
      </c>
    </row>
    <row r="15" spans="1:6" ht="14.5">
      <c r="A15" s="331" t="s">
        <v>145</v>
      </c>
      <c r="B15" s="158">
        <v>0</v>
      </c>
      <c r="C15" s="158">
        <v>0</v>
      </c>
    </row>
    <row r="16" spans="1:6" ht="14.5">
      <c r="A16" s="331" t="s">
        <v>73</v>
      </c>
      <c r="B16" s="158">
        <v>0</v>
      </c>
      <c r="C16" s="158">
        <v>0</v>
      </c>
    </row>
    <row r="17" spans="1:17" ht="14.5">
      <c r="A17" s="331" t="s">
        <v>75</v>
      </c>
      <c r="B17" s="158">
        <v>0</v>
      </c>
      <c r="C17" s="158">
        <v>0</v>
      </c>
    </row>
    <row r="18" spans="1:17" ht="14.5">
      <c r="A18" s="331" t="s">
        <v>146</v>
      </c>
      <c r="B18" s="158">
        <v>0</v>
      </c>
      <c r="C18" s="158">
        <v>0</v>
      </c>
    </row>
    <row r="19" spans="1:17" ht="14.5">
      <c r="A19" s="331" t="s">
        <v>83</v>
      </c>
      <c r="B19" s="158">
        <v>0</v>
      </c>
      <c r="C19" s="158">
        <v>0</v>
      </c>
    </row>
    <row r="20" spans="1:17" ht="14.5">
      <c r="A20" s="331" t="s">
        <v>85</v>
      </c>
      <c r="B20" s="158">
        <v>0</v>
      </c>
      <c r="C20" s="158">
        <v>0</v>
      </c>
    </row>
    <row r="21" spans="1:17" ht="14.5">
      <c r="A21" s="331" t="s">
        <v>88</v>
      </c>
      <c r="B21" s="158">
        <v>0</v>
      </c>
      <c r="C21" s="158">
        <v>0</v>
      </c>
    </row>
    <row r="22" spans="1:17" ht="14.5">
      <c r="A22" s="331" t="s">
        <v>147</v>
      </c>
      <c r="B22" s="160">
        <v>0</v>
      </c>
      <c r="C22" s="160">
        <v>0</v>
      </c>
    </row>
    <row r="24" spans="1:17">
      <c r="B24" t="s">
        <v>590</v>
      </c>
    </row>
    <row r="25" spans="1:17">
      <c r="A25" s="204" t="s">
        <v>591</v>
      </c>
      <c r="B25" s="204">
        <v>0</v>
      </c>
      <c r="C25" s="204">
        <v>1</v>
      </c>
      <c r="D25" s="204">
        <v>2</v>
      </c>
      <c r="E25" s="204">
        <v>3</v>
      </c>
      <c r="F25" s="204">
        <v>4</v>
      </c>
      <c r="G25" s="204">
        <v>5</v>
      </c>
      <c r="H25" s="204">
        <v>6</v>
      </c>
      <c r="I25" s="204">
        <v>7</v>
      </c>
      <c r="J25" s="204">
        <v>8</v>
      </c>
      <c r="K25" s="204">
        <v>9</v>
      </c>
      <c r="L25" s="204">
        <v>10</v>
      </c>
      <c r="M25" s="204">
        <v>11</v>
      </c>
      <c r="N25" s="204">
        <v>12</v>
      </c>
      <c r="O25" s="204">
        <v>13</v>
      </c>
      <c r="Q25" t="s">
        <v>1432</v>
      </c>
    </row>
    <row r="26" spans="1:17" ht="14.5">
      <c r="A26" s="332" t="s">
        <v>139</v>
      </c>
      <c r="B26" s="233">
        <v>0</v>
      </c>
      <c r="C26" s="42">
        <v>0</v>
      </c>
      <c r="D26" s="42">
        <v>0</v>
      </c>
      <c r="E26" s="42">
        <v>0</v>
      </c>
      <c r="F26" s="42">
        <v>0</v>
      </c>
      <c r="G26" s="42">
        <v>0</v>
      </c>
      <c r="H26" s="42">
        <v>0</v>
      </c>
      <c r="I26" s="42">
        <v>0</v>
      </c>
      <c r="J26" s="42">
        <v>0</v>
      </c>
      <c r="K26" s="42">
        <v>0</v>
      </c>
      <c r="L26" s="42">
        <v>0</v>
      </c>
      <c r="M26" s="42">
        <v>0</v>
      </c>
      <c r="N26" s="42">
        <v>0</v>
      </c>
      <c r="O26" s="234">
        <v>0</v>
      </c>
    </row>
    <row r="27" spans="1:17" ht="14.5">
      <c r="A27" s="332" t="s">
        <v>37</v>
      </c>
      <c r="B27" s="235">
        <v>1177623.1681584723</v>
      </c>
      <c r="C27">
        <v>1054569.3834895249</v>
      </c>
      <c r="D27">
        <v>1113779.8142506527</v>
      </c>
      <c r="E27">
        <v>0</v>
      </c>
      <c r="F27">
        <v>0</v>
      </c>
      <c r="G27">
        <v>0</v>
      </c>
      <c r="H27">
        <v>0</v>
      </c>
      <c r="I27">
        <v>0</v>
      </c>
      <c r="J27">
        <v>0</v>
      </c>
      <c r="K27">
        <v>0</v>
      </c>
      <c r="L27">
        <v>0</v>
      </c>
      <c r="M27">
        <v>0</v>
      </c>
      <c r="N27">
        <v>0</v>
      </c>
      <c r="O27" s="159">
        <v>0</v>
      </c>
    </row>
    <row r="28" spans="1:17" ht="14.5">
      <c r="A28" s="332" t="s">
        <v>140</v>
      </c>
      <c r="B28" s="235">
        <v>74578764.781209186</v>
      </c>
      <c r="C28">
        <v>74440893.186396137</v>
      </c>
      <c r="D28">
        <v>74355805.353087813</v>
      </c>
      <c r="E28">
        <v>61566845.13240876</v>
      </c>
      <c r="F28">
        <v>55281219.140145987</v>
      </c>
      <c r="G28">
        <v>50129355.051386863</v>
      </c>
      <c r="H28">
        <v>48855604.921021901</v>
      </c>
      <c r="I28">
        <v>47655174.707883209</v>
      </c>
      <c r="J28">
        <v>45900759.713430658</v>
      </c>
      <c r="K28">
        <v>44776303.334744528</v>
      </c>
      <c r="L28">
        <v>43718054.615328468</v>
      </c>
      <c r="M28">
        <v>30711514.535474453</v>
      </c>
      <c r="N28">
        <v>30971426.004817519</v>
      </c>
      <c r="O28" s="159">
        <v>31161935.294014599</v>
      </c>
    </row>
    <row r="29" spans="1:17" ht="14.5">
      <c r="A29" s="332" t="s">
        <v>48</v>
      </c>
      <c r="B29" s="235">
        <v>15341674</v>
      </c>
      <c r="C29">
        <v>15341674</v>
      </c>
      <c r="D29">
        <v>15681588</v>
      </c>
      <c r="E29">
        <v>11886967</v>
      </c>
      <c r="F29">
        <v>10687541</v>
      </c>
      <c r="G29">
        <v>10385489</v>
      </c>
      <c r="H29">
        <v>10306442</v>
      </c>
      <c r="I29">
        <v>10111198</v>
      </c>
      <c r="J29">
        <v>10926258</v>
      </c>
      <c r="K29">
        <v>9714912</v>
      </c>
      <c r="L29">
        <v>9514992</v>
      </c>
      <c r="M29">
        <v>7690819</v>
      </c>
      <c r="N29">
        <v>6706299</v>
      </c>
      <c r="O29" s="159">
        <v>7009541</v>
      </c>
    </row>
    <row r="30" spans="1:17" ht="14.5">
      <c r="A30" s="332" t="s">
        <v>141</v>
      </c>
      <c r="B30" s="235">
        <v>0</v>
      </c>
      <c r="C30">
        <v>0</v>
      </c>
      <c r="D30">
        <v>0</v>
      </c>
      <c r="E30">
        <v>0</v>
      </c>
      <c r="F30">
        <v>0</v>
      </c>
      <c r="G30">
        <v>0</v>
      </c>
      <c r="H30">
        <v>0</v>
      </c>
      <c r="I30">
        <v>0</v>
      </c>
      <c r="J30">
        <v>0</v>
      </c>
      <c r="K30">
        <v>0</v>
      </c>
      <c r="L30">
        <v>0</v>
      </c>
      <c r="M30">
        <v>0</v>
      </c>
      <c r="N30">
        <v>0</v>
      </c>
      <c r="O30" s="159">
        <v>0</v>
      </c>
    </row>
    <row r="31" spans="1:17" ht="14.5">
      <c r="A31" s="332" t="s">
        <v>142</v>
      </c>
      <c r="B31" s="235">
        <v>77838261.17931886</v>
      </c>
      <c r="C31">
        <v>74458548.520615965</v>
      </c>
      <c r="D31">
        <v>74861091.397442266</v>
      </c>
      <c r="E31">
        <v>10412030.410983372</v>
      </c>
      <c r="F31">
        <v>10402975.196321864</v>
      </c>
      <c r="G31">
        <v>10121159.457701093</v>
      </c>
      <c r="H31">
        <v>9296577.802970618</v>
      </c>
      <c r="I31">
        <v>8222867.014689317</v>
      </c>
      <c r="J31">
        <v>7576061.8665544977</v>
      </c>
      <c r="K31">
        <v>6780700.5640952634</v>
      </c>
      <c r="L31">
        <v>6818505.6999667175</v>
      </c>
      <c r="M31">
        <v>4205222.4012060296</v>
      </c>
      <c r="N31">
        <v>3450260.8043648223</v>
      </c>
      <c r="O31" s="159">
        <v>5443914.7250815695</v>
      </c>
    </row>
    <row r="32" spans="1:17" ht="14.5">
      <c r="A32" s="332" t="s">
        <v>143</v>
      </c>
      <c r="B32" s="235">
        <v>0</v>
      </c>
      <c r="C32">
        <v>0</v>
      </c>
      <c r="D32">
        <v>0</v>
      </c>
      <c r="E32">
        <v>0</v>
      </c>
      <c r="F32">
        <v>0</v>
      </c>
      <c r="G32">
        <v>0</v>
      </c>
      <c r="H32">
        <v>0</v>
      </c>
      <c r="I32">
        <v>0</v>
      </c>
      <c r="J32">
        <v>0</v>
      </c>
      <c r="K32">
        <v>0</v>
      </c>
      <c r="L32">
        <v>0</v>
      </c>
      <c r="M32">
        <v>0</v>
      </c>
      <c r="N32">
        <v>0</v>
      </c>
      <c r="O32" s="159">
        <v>0</v>
      </c>
    </row>
    <row r="33" spans="1:17" ht="14.5">
      <c r="A33" s="332" t="s">
        <v>144</v>
      </c>
      <c r="B33" s="235">
        <v>25384.359615663496</v>
      </c>
      <c r="C33">
        <v>24203.234572512541</v>
      </c>
      <c r="D33">
        <v>24158.093778982744</v>
      </c>
      <c r="E33">
        <v>34059.083369997679</v>
      </c>
      <c r="F33">
        <v>32261.899974122589</v>
      </c>
      <c r="G33">
        <v>27535.537892285542</v>
      </c>
      <c r="H33">
        <v>22489.236358595717</v>
      </c>
      <c r="I33">
        <v>20228.320634594282</v>
      </c>
      <c r="J33">
        <v>20543.40651530035</v>
      </c>
      <c r="K33">
        <v>19750.002868899432</v>
      </c>
      <c r="L33">
        <v>18178.007307486467</v>
      </c>
      <c r="M33">
        <v>23233.34988251804</v>
      </c>
      <c r="N33">
        <v>21265.615159489491</v>
      </c>
      <c r="O33" s="159">
        <v>36737.741888244745</v>
      </c>
    </row>
    <row r="34" spans="1:17" ht="14.5">
      <c r="A34" s="332" t="s">
        <v>61</v>
      </c>
      <c r="B34" s="235">
        <v>235740.10550719901</v>
      </c>
      <c r="C34">
        <v>225855.19255837507</v>
      </c>
      <c r="D34">
        <v>219627.01624146095</v>
      </c>
      <c r="E34">
        <v>0</v>
      </c>
      <c r="F34">
        <v>0</v>
      </c>
      <c r="G34">
        <v>0</v>
      </c>
      <c r="H34">
        <v>0</v>
      </c>
      <c r="I34">
        <v>0</v>
      </c>
      <c r="J34">
        <v>0</v>
      </c>
      <c r="K34">
        <v>0</v>
      </c>
      <c r="L34">
        <v>0</v>
      </c>
      <c r="M34">
        <v>0</v>
      </c>
      <c r="N34">
        <v>0</v>
      </c>
      <c r="O34" s="159">
        <v>0</v>
      </c>
    </row>
    <row r="35" spans="1:17" ht="14.5">
      <c r="A35" s="332" t="s">
        <v>63</v>
      </c>
      <c r="B35" s="235">
        <v>0</v>
      </c>
      <c r="C35">
        <v>0</v>
      </c>
      <c r="D35">
        <v>0</v>
      </c>
      <c r="E35">
        <v>0</v>
      </c>
      <c r="F35">
        <v>0</v>
      </c>
      <c r="G35">
        <v>0</v>
      </c>
      <c r="H35">
        <v>0</v>
      </c>
      <c r="I35">
        <v>0</v>
      </c>
      <c r="J35">
        <v>0</v>
      </c>
      <c r="K35">
        <v>0</v>
      </c>
      <c r="L35">
        <v>0</v>
      </c>
      <c r="M35">
        <v>0</v>
      </c>
      <c r="N35">
        <v>0</v>
      </c>
      <c r="O35" s="159">
        <v>0</v>
      </c>
    </row>
    <row r="36" spans="1:17" ht="14.5">
      <c r="A36" s="332" t="s">
        <v>65</v>
      </c>
      <c r="B36" s="235">
        <v>0</v>
      </c>
      <c r="C36">
        <v>0</v>
      </c>
      <c r="D36">
        <v>0</v>
      </c>
      <c r="E36">
        <v>0</v>
      </c>
      <c r="F36">
        <v>0</v>
      </c>
      <c r="G36">
        <v>0</v>
      </c>
      <c r="H36">
        <v>0</v>
      </c>
      <c r="I36">
        <v>0</v>
      </c>
      <c r="J36">
        <v>0</v>
      </c>
      <c r="K36">
        <v>0</v>
      </c>
      <c r="L36">
        <v>0</v>
      </c>
      <c r="M36">
        <v>0</v>
      </c>
      <c r="N36">
        <v>0</v>
      </c>
      <c r="O36" s="159">
        <v>0</v>
      </c>
    </row>
    <row r="37" spans="1:17" ht="14.5">
      <c r="A37" s="332" t="s">
        <v>67</v>
      </c>
      <c r="B37" s="235">
        <v>1250852.7479673054</v>
      </c>
      <c r="C37">
        <v>1198402.7395190129</v>
      </c>
      <c r="D37">
        <v>16418765.619920608</v>
      </c>
      <c r="E37">
        <v>2686323</v>
      </c>
      <c r="F37">
        <v>2686316</v>
      </c>
      <c r="G37">
        <v>2637871</v>
      </c>
      <c r="H37">
        <v>2637860</v>
      </c>
      <c r="I37">
        <v>2591236</v>
      </c>
      <c r="J37">
        <v>2639677</v>
      </c>
      <c r="K37">
        <v>2639678</v>
      </c>
      <c r="L37">
        <v>2675839</v>
      </c>
      <c r="M37">
        <v>1569582</v>
      </c>
      <c r="N37">
        <v>1191731</v>
      </c>
      <c r="O37" s="159">
        <v>1197982</v>
      </c>
    </row>
    <row r="38" spans="1:17" ht="14.5">
      <c r="A38" s="332" t="s">
        <v>69</v>
      </c>
      <c r="B38" s="235">
        <v>0</v>
      </c>
      <c r="C38">
        <v>0</v>
      </c>
      <c r="D38">
        <v>0</v>
      </c>
      <c r="E38">
        <v>0</v>
      </c>
      <c r="F38">
        <v>0</v>
      </c>
      <c r="G38">
        <v>0</v>
      </c>
      <c r="H38">
        <v>0</v>
      </c>
      <c r="I38">
        <v>0</v>
      </c>
      <c r="J38">
        <v>0</v>
      </c>
      <c r="K38">
        <v>0</v>
      </c>
      <c r="L38">
        <v>0</v>
      </c>
      <c r="M38">
        <v>0</v>
      </c>
      <c r="N38">
        <v>0</v>
      </c>
      <c r="O38" s="159">
        <v>0</v>
      </c>
    </row>
    <row r="39" spans="1:17" ht="14.5">
      <c r="A39" s="332" t="s">
        <v>145</v>
      </c>
      <c r="B39" s="235">
        <v>0</v>
      </c>
      <c r="C39">
        <v>0</v>
      </c>
      <c r="D39">
        <v>0</v>
      </c>
      <c r="E39">
        <v>0</v>
      </c>
      <c r="F39">
        <v>0</v>
      </c>
      <c r="G39">
        <v>0</v>
      </c>
      <c r="H39">
        <v>0</v>
      </c>
      <c r="I39">
        <v>0</v>
      </c>
      <c r="J39">
        <v>0</v>
      </c>
      <c r="K39">
        <v>0</v>
      </c>
      <c r="L39">
        <v>0</v>
      </c>
      <c r="M39">
        <v>0</v>
      </c>
      <c r="N39">
        <v>0</v>
      </c>
      <c r="O39" s="159">
        <v>0</v>
      </c>
    </row>
    <row r="40" spans="1:17" ht="14.5">
      <c r="A40" s="332" t="s">
        <v>73</v>
      </c>
      <c r="B40" s="235">
        <v>0</v>
      </c>
      <c r="C40">
        <v>0</v>
      </c>
      <c r="D40">
        <v>0</v>
      </c>
      <c r="E40">
        <v>0</v>
      </c>
      <c r="F40">
        <v>0</v>
      </c>
      <c r="G40">
        <v>0</v>
      </c>
      <c r="H40">
        <v>0</v>
      </c>
      <c r="I40">
        <v>0</v>
      </c>
      <c r="J40">
        <v>0</v>
      </c>
      <c r="K40">
        <v>0</v>
      </c>
      <c r="L40">
        <v>0</v>
      </c>
      <c r="M40">
        <v>0</v>
      </c>
      <c r="N40">
        <v>0</v>
      </c>
      <c r="O40" s="159">
        <v>0</v>
      </c>
    </row>
    <row r="41" spans="1:17" ht="14.5">
      <c r="A41" s="332" t="s">
        <v>75</v>
      </c>
      <c r="B41" s="235">
        <v>0</v>
      </c>
      <c r="C41">
        <v>0</v>
      </c>
      <c r="D41">
        <v>0</v>
      </c>
      <c r="E41">
        <v>0</v>
      </c>
      <c r="F41">
        <v>0</v>
      </c>
      <c r="G41">
        <v>0</v>
      </c>
      <c r="H41">
        <v>0</v>
      </c>
      <c r="I41">
        <v>0</v>
      </c>
      <c r="J41">
        <v>0</v>
      </c>
      <c r="K41">
        <v>0</v>
      </c>
      <c r="L41">
        <v>0</v>
      </c>
      <c r="M41">
        <v>0</v>
      </c>
      <c r="N41">
        <v>0</v>
      </c>
      <c r="O41" s="159">
        <v>0</v>
      </c>
    </row>
    <row r="42" spans="1:17" ht="14.5">
      <c r="A42" s="332" t="s">
        <v>146</v>
      </c>
      <c r="B42" s="235">
        <v>0</v>
      </c>
      <c r="C42">
        <v>0</v>
      </c>
      <c r="D42">
        <v>0</v>
      </c>
      <c r="E42">
        <v>0</v>
      </c>
      <c r="F42">
        <v>0</v>
      </c>
      <c r="G42">
        <v>0</v>
      </c>
      <c r="H42">
        <v>0</v>
      </c>
      <c r="I42">
        <v>0</v>
      </c>
      <c r="J42">
        <v>0</v>
      </c>
      <c r="K42">
        <v>0</v>
      </c>
      <c r="L42">
        <v>0</v>
      </c>
      <c r="M42">
        <v>0</v>
      </c>
      <c r="N42">
        <v>0</v>
      </c>
      <c r="O42" s="159">
        <v>0</v>
      </c>
    </row>
    <row r="43" spans="1:17" ht="14.5">
      <c r="A43" s="332" t="s">
        <v>83</v>
      </c>
      <c r="B43" s="235">
        <v>0</v>
      </c>
      <c r="C43">
        <v>0</v>
      </c>
      <c r="D43">
        <v>0</v>
      </c>
      <c r="E43">
        <v>0</v>
      </c>
      <c r="F43">
        <v>0</v>
      </c>
      <c r="G43">
        <v>0</v>
      </c>
      <c r="H43">
        <v>0</v>
      </c>
      <c r="I43">
        <v>0</v>
      </c>
      <c r="J43">
        <v>0</v>
      </c>
      <c r="K43">
        <v>0</v>
      </c>
      <c r="L43">
        <v>0</v>
      </c>
      <c r="M43">
        <v>0</v>
      </c>
      <c r="N43">
        <v>0</v>
      </c>
      <c r="O43" s="159">
        <v>0</v>
      </c>
    </row>
    <row r="44" spans="1:17" ht="14.5">
      <c r="A44" s="332" t="s">
        <v>85</v>
      </c>
      <c r="B44" s="235">
        <v>0</v>
      </c>
      <c r="C44">
        <v>0</v>
      </c>
      <c r="D44">
        <v>0</v>
      </c>
      <c r="E44">
        <v>0</v>
      </c>
      <c r="F44">
        <v>0</v>
      </c>
      <c r="G44">
        <v>0</v>
      </c>
      <c r="H44">
        <v>0</v>
      </c>
      <c r="I44">
        <v>0</v>
      </c>
      <c r="J44">
        <v>0</v>
      </c>
      <c r="K44">
        <v>0</v>
      </c>
      <c r="L44">
        <v>0</v>
      </c>
      <c r="M44">
        <v>0</v>
      </c>
      <c r="N44">
        <v>0</v>
      </c>
      <c r="O44" s="159">
        <v>0</v>
      </c>
    </row>
    <row r="45" spans="1:17" ht="14.5">
      <c r="A45" s="332" t="s">
        <v>88</v>
      </c>
      <c r="B45" s="235">
        <v>0</v>
      </c>
      <c r="C45">
        <v>0</v>
      </c>
      <c r="D45">
        <v>0</v>
      </c>
      <c r="E45">
        <v>0</v>
      </c>
      <c r="F45">
        <v>0</v>
      </c>
      <c r="G45">
        <v>0</v>
      </c>
      <c r="H45">
        <v>0</v>
      </c>
      <c r="I45">
        <v>0</v>
      </c>
      <c r="J45">
        <v>0</v>
      </c>
      <c r="K45">
        <v>0</v>
      </c>
      <c r="L45">
        <v>0</v>
      </c>
      <c r="M45">
        <v>0</v>
      </c>
      <c r="N45">
        <v>0</v>
      </c>
      <c r="O45" s="159">
        <v>0</v>
      </c>
    </row>
    <row r="46" spans="1:17" ht="14.5">
      <c r="A46" s="332" t="s">
        <v>147</v>
      </c>
      <c r="B46" s="236">
        <v>0</v>
      </c>
      <c r="C46" s="237">
        <v>0</v>
      </c>
      <c r="D46" s="237">
        <v>0</v>
      </c>
      <c r="E46" s="237">
        <v>0</v>
      </c>
      <c r="F46" s="237">
        <v>0</v>
      </c>
      <c r="G46" s="237">
        <v>0</v>
      </c>
      <c r="H46" s="237">
        <v>0</v>
      </c>
      <c r="I46" s="237">
        <v>0</v>
      </c>
      <c r="J46" s="237">
        <v>0</v>
      </c>
      <c r="K46" s="237">
        <v>0</v>
      </c>
      <c r="L46" s="237">
        <v>0</v>
      </c>
      <c r="M46" s="237">
        <v>0</v>
      </c>
      <c r="N46" s="237">
        <v>0</v>
      </c>
      <c r="O46" s="161">
        <v>0</v>
      </c>
    </row>
    <row r="48" spans="1:17">
      <c r="A48" s="204" t="s">
        <v>592</v>
      </c>
      <c r="B48" s="303">
        <v>170448300.34177667</v>
      </c>
      <c r="C48" s="303">
        <v>166744146.25715148</v>
      </c>
      <c r="D48" s="333">
        <v>182674815.29472175</v>
      </c>
      <c r="E48" s="303">
        <v>182551111.3617889</v>
      </c>
      <c r="F48" s="303">
        <v>139668617.72160974</v>
      </c>
      <c r="G48" s="303">
        <v>142853545.19851509</v>
      </c>
      <c r="H48" s="303">
        <v>147037521.92412284</v>
      </c>
      <c r="I48" s="303">
        <v>160422005.18376139</v>
      </c>
      <c r="J48" s="303">
        <v>157422551.7853815</v>
      </c>
      <c r="K48" s="303">
        <v>113886593.95775817</v>
      </c>
      <c r="L48" s="303">
        <v>113647980.49677567</v>
      </c>
      <c r="M48" s="303">
        <v>88839819.254153863</v>
      </c>
      <c r="N48" s="303">
        <v>79350293.792429626</v>
      </c>
      <c r="O48" s="244">
        <v>86609662.414946377</v>
      </c>
      <c r="Q48" t="s">
        <v>1431</v>
      </c>
    </row>
    <row r="50" spans="1:10">
      <c r="B50" t="s">
        <v>1427</v>
      </c>
    </row>
    <row r="51" spans="1:10">
      <c r="A51" s="204" t="s">
        <v>1428</v>
      </c>
      <c r="B51" s="244">
        <v>0</v>
      </c>
      <c r="C51" s="244">
        <v>5</v>
      </c>
      <c r="D51" s="244">
        <v>10</v>
      </c>
      <c r="E51" s="244">
        <v>12</v>
      </c>
      <c r="F51" s="244">
        <v>20</v>
      </c>
      <c r="G51" s="244">
        <v>30</v>
      </c>
      <c r="H51" s="244">
        <v>40</v>
      </c>
      <c r="J51" t="s">
        <v>1430</v>
      </c>
    </row>
    <row r="52" spans="1:10">
      <c r="A52" s="160" t="s">
        <v>1429</v>
      </c>
      <c r="B52" s="237">
        <v>7</v>
      </c>
      <c r="C52" s="237">
        <v>7.8</v>
      </c>
      <c r="D52" s="237">
        <v>25</v>
      </c>
      <c r="E52" s="237">
        <v>75</v>
      </c>
      <c r="F52" s="237">
        <v>75</v>
      </c>
      <c r="G52" s="237">
        <v>140</v>
      </c>
      <c r="H52" s="161">
        <f>+G52+65</f>
        <v>205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48742-3F01-42BE-BA02-F4D4A3E1BE75}">
  <sheetPr codeName="Sheet20">
    <tabColor theme="9" tint="0.79998168889431442"/>
  </sheetPr>
  <dimension ref="A1:F1000"/>
  <sheetViews>
    <sheetView workbookViewId="0">
      <selection activeCell="D16" sqref="D16"/>
    </sheetView>
  </sheetViews>
  <sheetFormatPr defaultColWidth="12.58203125" defaultRowHeight="15" customHeight="1"/>
  <cols>
    <col min="1" max="1" width="7.58203125" style="69" customWidth="1"/>
    <col min="2" max="5" width="21.58203125" style="69" customWidth="1"/>
    <col min="6" max="26" width="7.58203125" style="69" customWidth="1"/>
    <col min="27" max="16384" width="12.58203125" style="69"/>
  </cols>
  <sheetData>
    <row r="1" spans="1:6" ht="14.25" customHeight="1">
      <c r="A1" s="138" t="s">
        <v>406</v>
      </c>
      <c r="B1" s="138" t="s">
        <v>593</v>
      </c>
      <c r="C1" s="138" t="s">
        <v>594</v>
      </c>
      <c r="D1" s="138" t="s">
        <v>595</v>
      </c>
      <c r="E1" s="138" t="s">
        <v>596</v>
      </c>
      <c r="F1" s="139" t="s">
        <v>405</v>
      </c>
    </row>
    <row r="2" spans="1:6" ht="14.25" customHeight="1">
      <c r="A2" s="68">
        <f t="shared" ref="A2:A10" si="0">F2-2010</f>
        <v>0</v>
      </c>
      <c r="B2" s="68">
        <v>12.2173</v>
      </c>
      <c r="C2" s="68">
        <v>12.2173</v>
      </c>
      <c r="D2" s="68">
        <v>12.2173</v>
      </c>
      <c r="E2" s="68">
        <v>12.2173</v>
      </c>
      <c r="F2" s="68">
        <v>2010</v>
      </c>
    </row>
    <row r="3" spans="1:6" ht="14.25" customHeight="1">
      <c r="A3" s="68">
        <f t="shared" si="0"/>
        <v>1</v>
      </c>
      <c r="B3" s="68">
        <v>13.10962</v>
      </c>
      <c r="C3" s="68">
        <v>13.10962</v>
      </c>
      <c r="D3" s="68">
        <v>13.10962</v>
      </c>
      <c r="E3" s="68">
        <v>13.10962</v>
      </c>
      <c r="F3" s="68">
        <v>2011</v>
      </c>
    </row>
    <row r="4" spans="1:6" ht="14.25" customHeight="1">
      <c r="A4" s="68">
        <f t="shared" si="0"/>
        <v>2</v>
      </c>
      <c r="B4" s="68">
        <v>12.921609999999999</v>
      </c>
      <c r="C4" s="68">
        <v>12.921609999999999</v>
      </c>
      <c r="D4" s="68">
        <v>12.921609999999999</v>
      </c>
      <c r="E4" s="68">
        <v>12.921609999999999</v>
      </c>
      <c r="F4" s="68">
        <v>2012</v>
      </c>
    </row>
    <row r="5" spans="1:6" ht="14.25" customHeight="1">
      <c r="A5" s="68">
        <f t="shared" si="0"/>
        <v>3</v>
      </c>
      <c r="B5" s="68">
        <v>12.63813</v>
      </c>
      <c r="C5" s="68">
        <v>12.63813</v>
      </c>
      <c r="D5" s="68">
        <v>12.63813</v>
      </c>
      <c r="E5" s="68">
        <v>12.63813</v>
      </c>
      <c r="F5" s="68">
        <v>2013</v>
      </c>
    </row>
    <row r="6" spans="1:6" ht="14.25" customHeight="1">
      <c r="A6" s="68">
        <f t="shared" si="0"/>
        <v>4</v>
      </c>
      <c r="B6" s="68">
        <v>13.366020000000001</v>
      </c>
      <c r="C6" s="68">
        <v>13.366020000000001</v>
      </c>
      <c r="D6" s="68">
        <v>13.366020000000001</v>
      </c>
      <c r="E6" s="68">
        <v>13.366020000000001</v>
      </c>
      <c r="F6" s="68">
        <v>2014</v>
      </c>
    </row>
    <row r="7" spans="1:6" ht="14.25" customHeight="1">
      <c r="A7" s="68">
        <f t="shared" si="0"/>
        <v>5</v>
      </c>
      <c r="B7" s="68">
        <v>13.31554</v>
      </c>
      <c r="C7" s="68">
        <v>13.31554</v>
      </c>
      <c r="D7" s="68">
        <v>13.31554</v>
      </c>
      <c r="E7" s="68">
        <v>13.31554</v>
      </c>
      <c r="F7" s="68">
        <v>2015</v>
      </c>
    </row>
    <row r="8" spans="1:6" ht="14.25" customHeight="1">
      <c r="A8" s="68">
        <f t="shared" si="0"/>
        <v>6</v>
      </c>
      <c r="B8" s="68">
        <v>13.13008</v>
      </c>
      <c r="C8" s="68">
        <v>13.13008</v>
      </c>
      <c r="D8" s="68">
        <v>13.13008</v>
      </c>
      <c r="E8" s="68">
        <v>13.13008</v>
      </c>
      <c r="F8" s="68">
        <v>2016</v>
      </c>
    </row>
    <row r="9" spans="1:6" ht="14.25" customHeight="1">
      <c r="A9" s="68">
        <f t="shared" si="0"/>
        <v>20</v>
      </c>
      <c r="B9" s="68">
        <v>15.795170000000001</v>
      </c>
      <c r="C9" s="68">
        <v>15.80735</v>
      </c>
      <c r="D9" s="68">
        <v>15.63772</v>
      </c>
      <c r="E9" s="68">
        <v>16.160879999999999</v>
      </c>
      <c r="F9" s="68">
        <v>2030</v>
      </c>
    </row>
    <row r="10" spans="1:6" ht="14.25" customHeight="1">
      <c r="A10" s="68">
        <f t="shared" si="0"/>
        <v>40</v>
      </c>
      <c r="B10" s="68">
        <v>15.9884</v>
      </c>
      <c r="C10" s="68">
        <v>16.475549999999998</v>
      </c>
      <c r="D10" s="68">
        <v>16.057279999999999</v>
      </c>
      <c r="E10" s="68">
        <v>16.699090000000002</v>
      </c>
      <c r="F10" s="68">
        <v>2050</v>
      </c>
    </row>
    <row r="11" spans="1:6" ht="14.25" customHeight="1"/>
    <row r="12" spans="1:6" ht="14.25" customHeight="1"/>
    <row r="13" spans="1:6" ht="14.25" customHeight="1"/>
    <row r="14" spans="1:6" ht="14.25" customHeight="1"/>
    <row r="15" spans="1:6" ht="14.25" customHeight="1"/>
    <row r="16" spans="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7297A-BFB2-419C-AD13-4109F3F82C2E}">
  <sheetPr codeName="Sheet21">
    <tabColor theme="9" tint="0.79998168889431442"/>
  </sheetPr>
  <dimension ref="A1"/>
  <sheetViews>
    <sheetView workbookViewId="0">
      <selection activeCell="P91" sqref="P91"/>
    </sheetView>
  </sheetViews>
  <sheetFormatPr defaultColWidth="8.83203125" defaultRowHeight="14"/>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B2F49-B3D9-40B8-BCE7-BC69083D1599}">
  <sheetPr codeName="Sheet22">
    <tabColor theme="9" tint="0.79998168889431442"/>
  </sheetPr>
  <dimension ref="A1"/>
  <sheetViews>
    <sheetView workbookViewId="0"/>
  </sheetViews>
  <sheetFormatPr defaultColWidth="8.83203125" defaultRowHeight="14"/>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8C121-70FD-414B-B456-DD423A9F08B7}">
  <sheetPr codeName="Sheet23">
    <tabColor theme="9" tint="0.79998168889431442"/>
  </sheetPr>
  <dimension ref="A1"/>
  <sheetViews>
    <sheetView workbookViewId="0">
      <selection activeCell="Z58" sqref="Z58"/>
    </sheetView>
  </sheetViews>
  <sheetFormatPr defaultColWidth="8.83203125" defaultRowHeight="14"/>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D9085-6164-4665-ADA3-8E23FF68FF4B}">
  <sheetPr codeName="Sheet24"/>
  <dimension ref="A1:Y109"/>
  <sheetViews>
    <sheetView workbookViewId="0">
      <selection activeCell="N2" sqref="N2:O2"/>
    </sheetView>
  </sheetViews>
  <sheetFormatPr defaultColWidth="11" defaultRowHeight="14"/>
  <cols>
    <col min="1" max="1" width="12.25" bestFit="1" customWidth="1"/>
    <col min="15" max="15" width="11.25" bestFit="1" customWidth="1"/>
  </cols>
  <sheetData>
    <row r="1" spans="1:25" ht="56">
      <c r="A1" s="15" t="s">
        <v>1542</v>
      </c>
      <c r="C1" s="205" t="s">
        <v>849</v>
      </c>
      <c r="D1" s="434" t="s">
        <v>1545</v>
      </c>
      <c r="E1" s="435" t="s">
        <v>1551</v>
      </c>
      <c r="F1" s="425"/>
      <c r="G1" s="425"/>
      <c r="H1" s="435" t="s">
        <v>1561</v>
      </c>
      <c r="I1" s="425"/>
      <c r="J1" s="434" t="s">
        <v>1549</v>
      </c>
      <c r="K1" s="434" t="s">
        <v>1554</v>
      </c>
      <c r="L1" s="435" t="s">
        <v>1558</v>
      </c>
      <c r="M1" s="434" t="s">
        <v>1564</v>
      </c>
      <c r="N1" s="434" t="s">
        <v>1571</v>
      </c>
      <c r="O1" s="434" t="s">
        <v>1574</v>
      </c>
      <c r="P1" s="434"/>
      <c r="Q1" s="434"/>
      <c r="R1" s="434"/>
      <c r="T1" s="434" t="s">
        <v>1567</v>
      </c>
    </row>
    <row r="2" spans="1:25" ht="70">
      <c r="A2" s="15" t="s">
        <v>1543</v>
      </c>
      <c r="C2" s="438" t="s">
        <v>1541</v>
      </c>
      <c r="D2" s="439" t="s">
        <v>1546</v>
      </c>
      <c r="E2" s="440" t="s">
        <v>1552</v>
      </c>
      <c r="F2" s="425"/>
      <c r="G2" s="425"/>
      <c r="H2" s="440" t="s">
        <v>1560</v>
      </c>
      <c r="I2" s="425"/>
      <c r="J2" s="439" t="s">
        <v>1548</v>
      </c>
      <c r="K2" s="438" t="s">
        <v>1555</v>
      </c>
      <c r="L2" s="440" t="s">
        <v>1557</v>
      </c>
      <c r="M2" s="440" t="s">
        <v>1563</v>
      </c>
      <c r="N2" s="440" t="s">
        <v>1570</v>
      </c>
      <c r="O2" s="440" t="s">
        <v>1572</v>
      </c>
      <c r="P2" s="434" t="s">
        <v>1575</v>
      </c>
      <c r="Q2" s="434" t="s">
        <v>1576</v>
      </c>
      <c r="R2" s="434" t="s">
        <v>1577</v>
      </c>
      <c r="T2" s="438" t="s">
        <v>1566</v>
      </c>
    </row>
    <row r="3" spans="1:25">
      <c r="B3" s="204" t="s">
        <v>139</v>
      </c>
      <c r="C3" s="238">
        <v>5.7847900000000001E-2</v>
      </c>
      <c r="D3" s="426">
        <v>4395440000</v>
      </c>
      <c r="E3" s="234">
        <v>0.36674200000000001</v>
      </c>
      <c r="G3" s="205" t="s">
        <v>1378</v>
      </c>
      <c r="H3" s="430">
        <v>6.70599E-6</v>
      </c>
      <c r="J3" s="160">
        <v>1069666137000</v>
      </c>
      <c r="K3" s="436">
        <v>53097400000</v>
      </c>
      <c r="L3" s="432">
        <v>5644320000</v>
      </c>
      <c r="M3" s="160">
        <v>0.29792200000000002</v>
      </c>
      <c r="N3" s="160">
        <v>1.61813E-3</v>
      </c>
      <c r="O3" s="437">
        <v>4.2901499999999999E-6</v>
      </c>
      <c r="P3" s="156"/>
      <c r="Q3" s="156"/>
      <c r="R3" s="156"/>
      <c r="U3" s="204" t="s">
        <v>186</v>
      </c>
      <c r="V3" s="204" t="s">
        <v>187</v>
      </c>
      <c r="W3" s="204" t="s">
        <v>188</v>
      </c>
      <c r="X3" s="204" t="s">
        <v>189</v>
      </c>
      <c r="Y3" s="204" t="s">
        <v>190</v>
      </c>
    </row>
    <row r="4" spans="1:25">
      <c r="B4" s="204" t="s">
        <v>37</v>
      </c>
      <c r="C4" s="158">
        <v>0.43160900000000002</v>
      </c>
      <c r="D4" s="427">
        <v>3310260000</v>
      </c>
      <c r="E4" s="159">
        <v>0.33777200000000002</v>
      </c>
      <c r="G4" s="205" t="s">
        <v>1379</v>
      </c>
      <c r="H4" s="431">
        <v>1.5801600000000001E-5</v>
      </c>
      <c r="T4" s="204" t="s">
        <v>204</v>
      </c>
      <c r="U4" s="233">
        <v>0.93483400000000005</v>
      </c>
      <c r="V4" s="42">
        <v>0.96259300000000003</v>
      </c>
      <c r="W4" s="42">
        <v>0.97136100000000003</v>
      </c>
      <c r="X4" s="42">
        <v>0.97576099999999999</v>
      </c>
      <c r="Y4" s="234">
        <v>0.98388799999999998</v>
      </c>
    </row>
    <row r="5" spans="1:25">
      <c r="B5" s="204" t="s">
        <v>140</v>
      </c>
      <c r="C5" s="158">
        <v>0.15803400000000001</v>
      </c>
      <c r="D5" s="427">
        <v>83119400000</v>
      </c>
      <c r="E5" s="159">
        <v>0.56198000000000004</v>
      </c>
      <c r="G5" s="205" t="s">
        <v>1380</v>
      </c>
      <c r="H5" s="431">
        <v>3.0274999999999998E-6</v>
      </c>
      <c r="T5" s="204" t="s">
        <v>223</v>
      </c>
      <c r="U5" s="235">
        <v>0.95078200000000002</v>
      </c>
      <c r="V5" s="156">
        <v>0.952959</v>
      </c>
      <c r="W5" s="156">
        <v>0.98220799999999997</v>
      </c>
      <c r="X5" s="156">
        <v>0.97625799999999996</v>
      </c>
      <c r="Y5" s="159">
        <v>0.97620799999999996</v>
      </c>
    </row>
    <row r="6" spans="1:25">
      <c r="B6" s="204" t="s">
        <v>48</v>
      </c>
      <c r="C6" s="158">
        <v>0.84577899999999995</v>
      </c>
      <c r="D6" s="427">
        <v>3271390000</v>
      </c>
      <c r="E6" s="159">
        <v>0.38513799999999998</v>
      </c>
      <c r="G6" s="205" t="s">
        <v>1382</v>
      </c>
      <c r="H6" s="432">
        <v>4.6824099999999999E-7</v>
      </c>
      <c r="T6" s="204" t="s">
        <v>205</v>
      </c>
      <c r="U6" s="235">
        <v>0.91553899999999999</v>
      </c>
      <c r="V6" s="156">
        <v>0.95233500000000004</v>
      </c>
      <c r="W6" s="156">
        <v>0.966275</v>
      </c>
      <c r="X6" s="156">
        <v>0.97467400000000004</v>
      </c>
      <c r="Y6" s="159">
        <v>0.98746</v>
      </c>
    </row>
    <row r="7" spans="1:25">
      <c r="B7" s="204" t="s">
        <v>141</v>
      </c>
      <c r="C7" s="158">
        <v>0.13075800000000001</v>
      </c>
      <c r="D7" s="427">
        <v>10401900000</v>
      </c>
      <c r="E7" s="159">
        <v>0.57197500000000001</v>
      </c>
      <c r="T7" s="204" t="s">
        <v>206</v>
      </c>
      <c r="U7" s="235">
        <v>0.91540999999999995</v>
      </c>
      <c r="V7" s="156">
        <v>0.95203700000000002</v>
      </c>
      <c r="W7" s="156">
        <v>0.96828199999999998</v>
      </c>
      <c r="X7" s="156">
        <v>0.97700200000000004</v>
      </c>
      <c r="Y7" s="159">
        <v>0.98208200000000001</v>
      </c>
    </row>
    <row r="8" spans="1:25">
      <c r="B8" s="204" t="s">
        <v>142</v>
      </c>
      <c r="C8" s="158">
        <v>0.28385100000000002</v>
      </c>
      <c r="D8" s="427">
        <v>12320800000</v>
      </c>
      <c r="E8" s="159">
        <v>0.62634199999999995</v>
      </c>
      <c r="T8" s="204" t="s">
        <v>207</v>
      </c>
      <c r="U8" s="235">
        <v>0.92107000000000006</v>
      </c>
      <c r="V8" s="156">
        <v>0.94699199999999994</v>
      </c>
      <c r="W8" s="156">
        <v>0.96260999999999997</v>
      </c>
      <c r="X8" s="156">
        <v>0.96942799999999996</v>
      </c>
      <c r="Y8" s="159">
        <v>0.98206199999999999</v>
      </c>
    </row>
    <row r="9" spans="1:25">
      <c r="B9" s="204" t="s">
        <v>143</v>
      </c>
      <c r="C9" s="158">
        <v>0.22902900000000001</v>
      </c>
      <c r="D9" s="427">
        <v>3785230000</v>
      </c>
      <c r="E9" s="159">
        <v>0.465922</v>
      </c>
      <c r="T9" s="204" t="s">
        <v>208</v>
      </c>
      <c r="U9" s="306">
        <v>0.91652699999999998</v>
      </c>
      <c r="V9" s="156">
        <v>0.94843500000000003</v>
      </c>
      <c r="W9" s="156">
        <v>0.95597200000000004</v>
      </c>
      <c r="X9" s="156">
        <v>0.96958299999999997</v>
      </c>
      <c r="Y9" s="159">
        <v>0.98573</v>
      </c>
    </row>
    <row r="10" spans="1:25">
      <c r="B10" s="204" t="s">
        <v>144</v>
      </c>
      <c r="C10" s="158">
        <v>0.229909</v>
      </c>
      <c r="D10" s="428">
        <v>21910200</v>
      </c>
      <c r="E10" s="159">
        <v>0.64683199999999996</v>
      </c>
      <c r="T10" s="204" t="s">
        <v>209</v>
      </c>
      <c r="U10" s="306">
        <v>0.93129799999999996</v>
      </c>
      <c r="V10" s="156">
        <v>0.95786700000000002</v>
      </c>
      <c r="W10" s="156">
        <v>0.96616599999999997</v>
      </c>
      <c r="X10" s="156">
        <v>0.97294199999999997</v>
      </c>
      <c r="Y10" s="159">
        <v>0.98444699999999996</v>
      </c>
    </row>
    <row r="11" spans="1:25">
      <c r="B11" s="204" t="s">
        <v>61</v>
      </c>
      <c r="C11" s="158">
        <v>8.9236800000000005E-2</v>
      </c>
      <c r="D11" s="427">
        <v>5272530000</v>
      </c>
      <c r="E11" s="159">
        <v>0.58659399999999995</v>
      </c>
      <c r="T11" s="204" t="s">
        <v>224</v>
      </c>
      <c r="U11" s="306">
        <v>0.92553200000000002</v>
      </c>
      <c r="V11" s="156">
        <v>0.95792600000000006</v>
      </c>
      <c r="W11" s="156">
        <v>0.97057000000000004</v>
      </c>
      <c r="X11" s="156">
        <v>0.97582199999999997</v>
      </c>
      <c r="Y11" s="159">
        <v>0.98550099999999996</v>
      </c>
    </row>
    <row r="12" spans="1:25">
      <c r="B12" s="204" t="s">
        <v>63</v>
      </c>
      <c r="C12" s="158">
        <v>9.6876599999999993E-2</v>
      </c>
      <c r="D12" s="427">
        <v>26619300000</v>
      </c>
      <c r="E12" s="159">
        <v>0.61319199999999996</v>
      </c>
      <c r="T12" s="204" t="s">
        <v>210</v>
      </c>
      <c r="U12" s="306">
        <v>0.93077200000000004</v>
      </c>
      <c r="V12" s="156">
        <v>0.95923099999999994</v>
      </c>
      <c r="W12" s="156">
        <v>0.96515700000000004</v>
      </c>
      <c r="X12" s="156">
        <v>0.97288300000000005</v>
      </c>
      <c r="Y12" s="159">
        <v>0.985209</v>
      </c>
    </row>
    <row r="13" spans="1:25">
      <c r="B13" s="204" t="s">
        <v>65</v>
      </c>
      <c r="C13" s="158">
        <v>0.122056</v>
      </c>
      <c r="D13" s="427">
        <v>44393600000</v>
      </c>
      <c r="E13" s="159">
        <v>0.43899100000000002</v>
      </c>
      <c r="T13" s="204" t="s">
        <v>211</v>
      </c>
      <c r="U13" s="306">
        <v>0.92433799999999999</v>
      </c>
      <c r="V13" s="156">
        <v>0.950623</v>
      </c>
      <c r="W13" s="156">
        <v>0.96177000000000001</v>
      </c>
      <c r="X13" s="156">
        <v>0.96965000000000001</v>
      </c>
      <c r="Y13" s="159">
        <v>0.98333800000000005</v>
      </c>
    </row>
    <row r="14" spans="1:25">
      <c r="B14" s="204" t="s">
        <v>67</v>
      </c>
      <c r="C14" s="158">
        <v>-0.27778599999999998</v>
      </c>
      <c r="D14" s="427">
        <v>21601000000</v>
      </c>
      <c r="E14" s="159">
        <v>0.454569</v>
      </c>
      <c r="T14" s="204" t="s">
        <v>212</v>
      </c>
      <c r="U14" s="306">
        <v>0.94012899999999999</v>
      </c>
      <c r="V14" s="156">
        <v>0.95752899999999996</v>
      </c>
      <c r="W14" s="156">
        <v>0.964202</v>
      </c>
      <c r="X14" s="156">
        <v>0.97505500000000001</v>
      </c>
      <c r="Y14" s="159">
        <v>0.983406</v>
      </c>
    </row>
    <row r="15" spans="1:25">
      <c r="B15" s="204" t="s">
        <v>69</v>
      </c>
      <c r="C15" s="158">
        <v>5.8101699999999999E-2</v>
      </c>
      <c r="D15" s="427">
        <v>18303600000</v>
      </c>
      <c r="E15" s="159">
        <v>0.42532599999999998</v>
      </c>
      <c r="T15" s="204" t="s">
        <v>213</v>
      </c>
      <c r="U15" s="306">
        <v>0.91930900000000004</v>
      </c>
      <c r="V15" s="156">
        <v>0.95470900000000003</v>
      </c>
      <c r="W15" s="156">
        <v>0.96382199999999996</v>
      </c>
      <c r="X15" s="156">
        <v>0.97097800000000001</v>
      </c>
      <c r="Y15" s="159">
        <v>0.98436599999999996</v>
      </c>
    </row>
    <row r="16" spans="1:25">
      <c r="B16" s="204" t="s">
        <v>145</v>
      </c>
      <c r="C16" s="158">
        <v>0.22381300000000001</v>
      </c>
      <c r="D16" s="427">
        <v>37879100000</v>
      </c>
      <c r="E16" s="159">
        <v>0.45550000000000002</v>
      </c>
      <c r="T16" s="204" t="s">
        <v>214</v>
      </c>
      <c r="U16" s="306">
        <v>0.92435299999999998</v>
      </c>
      <c r="V16" s="156">
        <v>0.95268699999999995</v>
      </c>
      <c r="W16" s="156">
        <v>0.96291400000000005</v>
      </c>
      <c r="X16" s="156">
        <v>0.96768799999999999</v>
      </c>
      <c r="Y16" s="159">
        <v>0.97775699999999999</v>
      </c>
    </row>
    <row r="17" spans="2:25">
      <c r="B17" s="204" t="s">
        <v>73</v>
      </c>
      <c r="C17" s="158">
        <v>0.14122499999999999</v>
      </c>
      <c r="D17" s="427">
        <v>12680600000</v>
      </c>
      <c r="E17" s="159">
        <v>0.367114</v>
      </c>
      <c r="T17" s="204" t="s">
        <v>215</v>
      </c>
      <c r="U17" s="306">
        <v>0.92954999999999999</v>
      </c>
      <c r="V17" s="156">
        <v>0.94867299999999999</v>
      </c>
      <c r="W17" s="156">
        <v>0.95327600000000001</v>
      </c>
      <c r="X17" s="156">
        <v>0.95885699999999996</v>
      </c>
      <c r="Y17" s="159">
        <v>0.97938999999999998</v>
      </c>
    </row>
    <row r="18" spans="2:25">
      <c r="B18" s="204" t="s">
        <v>75</v>
      </c>
      <c r="C18" s="158">
        <v>1.8814599999999999E-3</v>
      </c>
      <c r="D18" s="427">
        <v>45723900000</v>
      </c>
      <c r="E18" s="159">
        <v>0.118841</v>
      </c>
      <c r="T18" s="204" t="s">
        <v>216</v>
      </c>
      <c r="U18" s="306">
        <v>0.85307999999999995</v>
      </c>
      <c r="V18" s="156">
        <v>0.93319399999999997</v>
      </c>
      <c r="W18" s="156">
        <v>0.947739</v>
      </c>
      <c r="X18" s="156">
        <v>0.95917300000000005</v>
      </c>
      <c r="Y18" s="159">
        <v>0.97530099999999997</v>
      </c>
    </row>
    <row r="19" spans="2:25">
      <c r="B19" s="204" t="s">
        <v>146</v>
      </c>
      <c r="C19" s="158">
        <v>0.14039199999999999</v>
      </c>
      <c r="D19" s="427">
        <v>51196500000</v>
      </c>
      <c r="E19" s="159">
        <v>0.43379800000000002</v>
      </c>
      <c r="T19" s="204" t="s">
        <v>217</v>
      </c>
      <c r="U19" s="306">
        <v>0.88547900000000002</v>
      </c>
      <c r="V19" s="156">
        <v>0.92230100000000004</v>
      </c>
      <c r="W19" s="156">
        <v>0.94737800000000005</v>
      </c>
      <c r="X19" s="156">
        <v>0.956287</v>
      </c>
      <c r="Y19" s="159">
        <v>0.97580800000000001</v>
      </c>
    </row>
    <row r="20" spans="2:25">
      <c r="B20" s="204" t="s">
        <v>83</v>
      </c>
      <c r="C20" s="158">
        <v>1.0489500000000001E-3</v>
      </c>
      <c r="D20" s="427">
        <v>50386100000</v>
      </c>
      <c r="E20" s="159">
        <v>0.20386099999999999</v>
      </c>
      <c r="T20" s="204" t="s">
        <v>225</v>
      </c>
      <c r="U20" s="306">
        <v>0.89317199999999997</v>
      </c>
      <c r="V20" s="156">
        <v>0.92939799999999995</v>
      </c>
      <c r="W20" s="156">
        <v>0.95681300000000002</v>
      </c>
      <c r="X20" s="156">
        <v>0.96236500000000003</v>
      </c>
      <c r="Y20" s="159">
        <v>0.97818099999999997</v>
      </c>
    </row>
    <row r="21" spans="2:25">
      <c r="B21" s="204" t="s">
        <v>85</v>
      </c>
      <c r="C21" s="158">
        <v>1.3129999999999999E-2</v>
      </c>
      <c r="D21" s="427">
        <v>16893500000</v>
      </c>
      <c r="E21" s="159">
        <v>0.123816</v>
      </c>
      <c r="T21" s="204" t="s">
        <v>219</v>
      </c>
      <c r="U21" s="306">
        <v>0.88859699999999997</v>
      </c>
      <c r="V21" s="156">
        <v>0.93775200000000003</v>
      </c>
      <c r="W21" s="156">
        <v>0.95145900000000005</v>
      </c>
      <c r="X21" s="156">
        <v>0.96130700000000002</v>
      </c>
      <c r="Y21" s="159">
        <v>0.97499100000000005</v>
      </c>
    </row>
    <row r="22" spans="2:25">
      <c r="B22" s="204" t="s">
        <v>88</v>
      </c>
      <c r="C22" s="158">
        <v>7.2742600000000004E-2</v>
      </c>
      <c r="D22" s="427">
        <v>22345400000</v>
      </c>
      <c r="E22" s="159">
        <v>0.310587</v>
      </c>
      <c r="T22" s="204" t="s">
        <v>220</v>
      </c>
      <c r="U22" s="306">
        <v>0.87290000000000001</v>
      </c>
      <c r="V22" s="156">
        <v>0.91637100000000005</v>
      </c>
      <c r="W22" s="156">
        <v>0.939025</v>
      </c>
      <c r="X22" s="156">
        <v>0.95521699999999998</v>
      </c>
      <c r="Y22" s="159">
        <v>0.97394899999999995</v>
      </c>
    </row>
    <row r="23" spans="2:25">
      <c r="B23" s="204" t="s">
        <v>147</v>
      </c>
      <c r="C23" s="160">
        <v>0</v>
      </c>
      <c r="D23" s="429">
        <v>25586.9</v>
      </c>
      <c r="E23" s="161">
        <v>0</v>
      </c>
      <c r="T23" s="204" t="s">
        <v>221</v>
      </c>
      <c r="U23" s="433">
        <v>0.90240900000000002</v>
      </c>
      <c r="V23" s="237">
        <v>0.93988300000000002</v>
      </c>
      <c r="W23" s="237">
        <v>0.95518999999999998</v>
      </c>
      <c r="X23" s="237">
        <v>0.96731500000000004</v>
      </c>
      <c r="Y23" s="161">
        <v>0.97528099999999995</v>
      </c>
    </row>
    <row r="24" spans="2:25">
      <c r="B24" s="156"/>
      <c r="D24" s="423"/>
      <c r="U24" s="176"/>
    </row>
    <row r="25" spans="2:25">
      <c r="C25" s="15"/>
      <c r="D25" s="15"/>
      <c r="E25" s="15"/>
      <c r="F25" s="15"/>
      <c r="G25" s="15"/>
      <c r="H25" s="15"/>
      <c r="I25" s="15"/>
      <c r="J25" s="15" t="s">
        <v>1579</v>
      </c>
      <c r="K25" s="15"/>
      <c r="L25" s="15"/>
      <c r="M25" s="15"/>
      <c r="N25" s="15"/>
      <c r="O25" s="15"/>
      <c r="P25" s="15"/>
      <c r="Q25" s="15"/>
      <c r="R25" s="15"/>
      <c r="T25" s="15"/>
      <c r="U25" s="176"/>
    </row>
    <row r="26" spans="2:25">
      <c r="B26" s="15"/>
      <c r="U26" s="176"/>
    </row>
    <row r="27" spans="2:25">
      <c r="U27" s="176"/>
    </row>
    <row r="28" spans="2:25">
      <c r="U28" s="176"/>
    </row>
    <row r="29" spans="2:25">
      <c r="U29" s="176"/>
    </row>
    <row r="30" spans="2:25">
      <c r="U30" s="176"/>
    </row>
    <row r="31" spans="2:25">
      <c r="U31" s="176"/>
    </row>
    <row r="32" spans="2:25">
      <c r="U32" s="176"/>
    </row>
    <row r="33" spans="21:21">
      <c r="U33" s="176"/>
    </row>
    <row r="34" spans="21:21">
      <c r="U34" s="176"/>
    </row>
    <row r="35" spans="21:21">
      <c r="U35" s="176"/>
    </row>
    <row r="36" spans="21:21">
      <c r="U36" s="176"/>
    </row>
    <row r="37" spans="21:21">
      <c r="U37" s="176"/>
    </row>
    <row r="38" spans="21:21">
      <c r="U38" s="176"/>
    </row>
    <row r="39" spans="21:21">
      <c r="U39" s="176"/>
    </row>
    <row r="40" spans="21:21">
      <c r="U40" s="176"/>
    </row>
    <row r="41" spans="21:21">
      <c r="U41" s="176"/>
    </row>
    <row r="42" spans="21:21">
      <c r="U42" s="176"/>
    </row>
    <row r="43" spans="21:21">
      <c r="U43" s="176"/>
    </row>
    <row r="44" spans="21:21">
      <c r="U44" s="176"/>
    </row>
    <row r="45" spans="21:21">
      <c r="U45" s="176"/>
    </row>
    <row r="46" spans="21:21">
      <c r="U46" s="176"/>
    </row>
    <row r="47" spans="21:21">
      <c r="U47" s="176"/>
    </row>
    <row r="48" spans="21:21">
      <c r="U48" s="176"/>
    </row>
    <row r="49" spans="21:21">
      <c r="U49" s="176"/>
    </row>
    <row r="50" spans="21:21">
      <c r="U50" s="176"/>
    </row>
    <row r="51" spans="21:21">
      <c r="U51" s="176"/>
    </row>
    <row r="52" spans="21:21">
      <c r="U52" s="176"/>
    </row>
    <row r="53" spans="21:21">
      <c r="U53" s="176"/>
    </row>
    <row r="54" spans="21:21">
      <c r="U54" s="176"/>
    </row>
    <row r="55" spans="21:21">
      <c r="U55" s="176"/>
    </row>
    <row r="56" spans="21:21">
      <c r="U56" s="176"/>
    </row>
    <row r="57" spans="21:21">
      <c r="U57" s="176"/>
    </row>
    <row r="58" spans="21:21">
      <c r="U58" s="176"/>
    </row>
    <row r="59" spans="21:21">
      <c r="U59" s="176"/>
    </row>
    <row r="60" spans="21:21">
      <c r="U60" s="176"/>
    </row>
    <row r="61" spans="21:21">
      <c r="U61" s="176"/>
    </row>
    <row r="62" spans="21:21">
      <c r="U62" s="176"/>
    </row>
    <row r="63" spans="21:21">
      <c r="U63" s="176"/>
    </row>
    <row r="64" spans="21:21">
      <c r="U64" s="176"/>
    </row>
    <row r="65" spans="21:21">
      <c r="U65" s="176"/>
    </row>
    <row r="66" spans="21:21">
      <c r="U66" s="176"/>
    </row>
    <row r="67" spans="21:21">
      <c r="U67" s="176"/>
    </row>
    <row r="68" spans="21:21">
      <c r="U68" s="176"/>
    </row>
    <row r="69" spans="21:21">
      <c r="U69" s="176"/>
    </row>
    <row r="70" spans="21:21">
      <c r="U70" s="176"/>
    </row>
    <row r="71" spans="21:21">
      <c r="U71" s="176"/>
    </row>
    <row r="72" spans="21:21">
      <c r="U72" s="176"/>
    </row>
    <row r="73" spans="21:21">
      <c r="U73" s="176"/>
    </row>
    <row r="74" spans="21:21">
      <c r="U74" s="176"/>
    </row>
    <row r="75" spans="21:21">
      <c r="U75" s="176"/>
    </row>
    <row r="76" spans="21:21">
      <c r="U76" s="176"/>
    </row>
    <row r="77" spans="21:21">
      <c r="U77" s="176"/>
    </row>
    <row r="78" spans="21:21">
      <c r="U78" s="176"/>
    </row>
    <row r="79" spans="21:21">
      <c r="U79" s="176"/>
    </row>
    <row r="80" spans="21:21">
      <c r="U80" s="176"/>
    </row>
    <row r="81" spans="21:21">
      <c r="U81" s="176"/>
    </row>
    <row r="82" spans="21:21">
      <c r="U82" s="176"/>
    </row>
    <row r="83" spans="21:21">
      <c r="U83" s="176"/>
    </row>
    <row r="84" spans="21:21">
      <c r="U84" s="176"/>
    </row>
    <row r="85" spans="21:21">
      <c r="U85" s="176"/>
    </row>
    <row r="86" spans="21:21">
      <c r="U86" s="176"/>
    </row>
    <row r="87" spans="21:21">
      <c r="U87" s="176"/>
    </row>
    <row r="88" spans="21:21">
      <c r="U88" s="176"/>
    </row>
    <row r="89" spans="21:21">
      <c r="U89" s="176"/>
    </row>
    <row r="90" spans="21:21">
      <c r="U90" s="176"/>
    </row>
    <row r="91" spans="21:21">
      <c r="U91" s="176"/>
    </row>
    <row r="92" spans="21:21">
      <c r="U92" s="176"/>
    </row>
    <row r="93" spans="21:21">
      <c r="U93" s="176"/>
    </row>
    <row r="94" spans="21:21">
      <c r="U94" s="176"/>
    </row>
    <row r="95" spans="21:21">
      <c r="U95" s="176"/>
    </row>
    <row r="96" spans="21:21">
      <c r="U96" s="176"/>
    </row>
    <row r="97" spans="21:21">
      <c r="U97" s="176"/>
    </row>
    <row r="98" spans="21:21">
      <c r="U98" s="176"/>
    </row>
    <row r="99" spans="21:21">
      <c r="U99" s="176"/>
    </row>
    <row r="100" spans="21:21">
      <c r="U100" s="176"/>
    </row>
    <row r="101" spans="21:21">
      <c r="U101" s="176"/>
    </row>
    <row r="102" spans="21:21">
      <c r="U102" s="176"/>
    </row>
    <row r="103" spans="21:21">
      <c r="U103" s="176"/>
    </row>
    <row r="104" spans="21:21">
      <c r="U104" s="176"/>
    </row>
    <row r="105" spans="21:21">
      <c r="U105" s="176"/>
    </row>
    <row r="106" spans="21:21">
      <c r="U106" s="176"/>
    </row>
    <row r="107" spans="21:21">
      <c r="U107" s="176"/>
    </row>
    <row r="108" spans="21:21">
      <c r="U108" s="176"/>
    </row>
    <row r="109" spans="21:21">
      <c r="U109" s="4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Planilhas</vt:lpstr>
      </vt:variant>
      <vt:variant>
        <vt:i4>25</vt:i4>
      </vt:variant>
      <vt:variant>
        <vt:lpstr>Intervalos Nomeados</vt:lpstr>
      </vt:variant>
      <vt:variant>
        <vt:i4>300</vt:i4>
      </vt:variant>
    </vt:vector>
  </HeadingPairs>
  <TitlesOfParts>
    <vt:vector size="325" baseType="lpstr">
      <vt:lpstr>Info</vt:lpstr>
      <vt:lpstr>Indexes</vt:lpstr>
      <vt:lpstr>inputoutput</vt:lpstr>
      <vt:lpstr>internationaltrade</vt:lpstr>
      <vt:lpstr>prices</vt:lpstr>
      <vt:lpstr>consumption</vt:lpstr>
      <vt:lpstr>covid</vt:lpstr>
      <vt:lpstr>investments</vt:lpstr>
      <vt:lpstr>regions</vt:lpstr>
      <vt:lpstr>finance</vt:lpstr>
      <vt:lpstr>labour</vt:lpstr>
      <vt:lpstr>government</vt:lpstr>
      <vt:lpstr>technology</vt:lpstr>
      <vt:lpstr>timeuse</vt:lpstr>
      <vt:lpstr>demography</vt:lpstr>
      <vt:lpstr>migration</vt:lpstr>
      <vt:lpstr>energy</vt:lpstr>
      <vt:lpstr>electricity</vt:lpstr>
      <vt:lpstr>emissions</vt:lpstr>
      <vt:lpstr>emissionstrading</vt:lpstr>
      <vt:lpstr>temperature</vt:lpstr>
      <vt:lpstr>speciesrichness</vt:lpstr>
      <vt:lpstr>ecosystemservices</vt:lpstr>
      <vt:lpstr>ecostressors</vt:lpstr>
      <vt:lpstr>initialrun</vt:lpstr>
      <vt:lpstr>A_DOM</vt:lpstr>
      <vt:lpstr>a_dom_elec</vt:lpstr>
      <vt:lpstr>A_IMP_SH</vt:lpstr>
      <vt:lpstr>a_imp_sh_elec</vt:lpstr>
      <vt:lpstr>Abruzzo_alpha</vt:lpstr>
      <vt:lpstr>Abruzzo_yd</vt:lpstr>
      <vt:lpstr>Area_de_extracao</vt:lpstr>
      <vt:lpstr>avg_hh_members</vt:lpstr>
      <vt:lpstr>Basilicata_alpha</vt:lpstr>
      <vt:lpstr>Basilicata_yd</vt:lpstr>
      <vt:lpstr>beta_q1</vt:lpstr>
      <vt:lpstr>beta_q2</vt:lpstr>
      <vt:lpstr>beta_q3</vt:lpstr>
      <vt:lpstr>beta_q4</vt:lpstr>
      <vt:lpstr>beta_q5</vt:lpstr>
      <vt:lpstr>Calabria_alpha</vt:lpstr>
      <vt:lpstr>Calabria_yd</vt:lpstr>
      <vt:lpstr>Campania_alpha</vt:lpstr>
      <vt:lpstr>Campania_yd</vt:lpstr>
      <vt:lpstr>cap_const_init</vt:lpstr>
      <vt:lpstr>cap_constr_init</vt:lpstr>
      <vt:lpstr>cap_init</vt:lpstr>
      <vt:lpstr>capwealth</vt:lpstr>
      <vt:lpstr>cat_shares_q1</vt:lpstr>
      <vt:lpstr>cat_shares_q2</vt:lpstr>
      <vt:lpstr>cat_shares_q3</vt:lpstr>
      <vt:lpstr>cat_shares_q4</vt:lpstr>
      <vt:lpstr>cat_shares_q5</vt:lpstr>
      <vt:lpstr>cf_final</vt:lpstr>
      <vt:lpstr>child_shares_q1</vt:lpstr>
      <vt:lpstr>child_shares_q2</vt:lpstr>
      <vt:lpstr>child_shares_q3</vt:lpstr>
      <vt:lpstr>child_shares_q4</vt:lpstr>
      <vt:lpstr>child_shares_q5</vt:lpstr>
      <vt:lpstr>coeff_inc</vt:lpstr>
      <vt:lpstr>coeff_inc2</vt:lpstr>
      <vt:lpstr>coeff_prices</vt:lpstr>
      <vt:lpstr>coicop_to_ind</vt:lpstr>
      <vt:lpstr>cons_coicop_initial</vt:lpstr>
      <vt:lpstr>cons_p_initial</vt:lpstr>
      <vt:lpstr>cons_shocks</vt:lpstr>
      <vt:lpstr>constant</vt:lpstr>
      <vt:lpstr>conversion_eff</vt:lpstr>
      <vt:lpstr>covid_cons_2020</vt:lpstr>
      <vt:lpstr>covid_cons_2021</vt:lpstr>
      <vt:lpstr>covid_cons_2022</vt:lpstr>
      <vt:lpstr>covid_exp_2020</vt:lpstr>
      <vt:lpstr>covid_exp_2021</vt:lpstr>
      <vt:lpstr>covid_exp_2022</vt:lpstr>
      <vt:lpstr>covid_gov_2020</vt:lpstr>
      <vt:lpstr>covid_gov_2021</vt:lpstr>
      <vt:lpstr>covid_gov_2022</vt:lpstr>
      <vt:lpstr>covid_inv_2020</vt:lpstr>
      <vt:lpstr>covid_inv_2021</vt:lpstr>
      <vt:lpstr>covid_inv_2022</vt:lpstr>
      <vt:lpstr>covid_lfpr_2020</vt:lpstr>
      <vt:lpstr>covid_lfpr_2021</vt:lpstr>
      <vt:lpstr>covid_lfpr_2022</vt:lpstr>
      <vt:lpstr>covid_rebound</vt:lpstr>
      <vt:lpstr>covid_shock</vt:lpstr>
      <vt:lpstr>d2_output_ratio</vt:lpstr>
      <vt:lpstr>deciles</vt:lpstr>
      <vt:lpstr>distr_cgs_F</vt:lpstr>
      <vt:lpstr>distr_cgs_M</vt:lpstr>
      <vt:lpstr>distr_init_pop_gc</vt:lpstr>
      <vt:lpstr>distr_init_pop_gc_F</vt:lpstr>
      <vt:lpstr>distr_init_pop_gc_M</vt:lpstr>
      <vt:lpstr>e_1</vt:lpstr>
      <vt:lpstr>e_2</vt:lpstr>
      <vt:lpstr>e_3</vt:lpstr>
      <vt:lpstr>e_4</vt:lpstr>
      <vt:lpstr>e_5</vt:lpstr>
      <vt:lpstr>E_SH_H</vt:lpstr>
      <vt:lpstr>E_SH_Z</vt:lpstr>
      <vt:lpstr>efficiency_storage</vt:lpstr>
      <vt:lpstr>electricity_output</vt:lpstr>
      <vt:lpstr>EM_SH_EX</vt:lpstr>
      <vt:lpstr>EM_SH_H</vt:lpstr>
      <vt:lpstr>EM_SH_IMP</vt:lpstr>
      <vt:lpstr>EM_SH_Z_DOM</vt:lpstr>
      <vt:lpstr>EM_SH_Z_IMP</vt:lpstr>
      <vt:lpstr>Emilia_alpha</vt:lpstr>
      <vt:lpstr>Emilia_yd</vt:lpstr>
      <vt:lpstr>EMIS_FAC</vt:lpstr>
      <vt:lpstr>emissions_output</vt:lpstr>
      <vt:lpstr>ereu_fd_nrg</vt:lpstr>
      <vt:lpstr>inputoutput!EX_INIT</vt:lpstr>
      <vt:lpstr>exp_initial_i</vt:lpstr>
      <vt:lpstr>exp_shocks</vt:lpstr>
      <vt:lpstr>F_SH_H</vt:lpstr>
      <vt:lpstr>F_SH_Z</vt:lpstr>
      <vt:lpstr>fertility_rate</vt:lpstr>
      <vt:lpstr>final_charge_share</vt:lpstr>
      <vt:lpstr>free_ets</vt:lpstr>
      <vt:lpstr>Friuli_alpha</vt:lpstr>
      <vt:lpstr>Friuli_yd</vt:lpstr>
      <vt:lpstr>g_lambda_impact_on_skill_shares_0</vt:lpstr>
      <vt:lpstr>generation_share_final</vt:lpstr>
      <vt:lpstr>gfcf_shares</vt:lpstr>
      <vt:lpstr>gfcf_shares_battery</vt:lpstr>
      <vt:lpstr>gfcf_shares_p2g</vt:lpstr>
      <vt:lpstr>glambda_mean</vt:lpstr>
      <vt:lpstr>glambda_sd</vt:lpstr>
      <vt:lpstr>gov_shocks</vt:lpstr>
      <vt:lpstr>grid_depre</vt:lpstr>
      <vt:lpstr>grid_inv</vt:lpstr>
      <vt:lpstr>grid_value</vt:lpstr>
      <vt:lpstr>gridlife</vt:lpstr>
      <vt:lpstr>H_DOM_INIT</vt:lpstr>
      <vt:lpstr>inputoutput!H_IMP_INIT</vt:lpstr>
      <vt:lpstr>I_MAT</vt:lpstr>
      <vt:lpstr>id</vt:lpstr>
      <vt:lpstr>imposhares_z</vt:lpstr>
      <vt:lpstr>impshares_z</vt:lpstr>
      <vt:lpstr>ind_to_coicop</vt:lpstr>
      <vt:lpstr>inflationrate</vt:lpstr>
      <vt:lpstr>init_cf</vt:lpstr>
      <vt:lpstr>init_charge_share</vt:lpstr>
      <vt:lpstr>init_dynamic_exp_yd</vt:lpstr>
      <vt:lpstr>init_gov_c_dom</vt:lpstr>
      <vt:lpstr>init_gov_c_imp</vt:lpstr>
      <vt:lpstr>init_health_educ</vt:lpstr>
      <vt:lpstr>init_mort_rate</vt:lpstr>
      <vt:lpstr>init_mort_rate_F</vt:lpstr>
      <vt:lpstr>init_mort_rate_M</vt:lpstr>
      <vt:lpstr>init_public</vt:lpstr>
      <vt:lpstr>init_skill_shares_female</vt:lpstr>
      <vt:lpstr>init_skill_shares_male</vt:lpstr>
      <vt:lpstr>init_static_exp_yd</vt:lpstr>
      <vt:lpstr>init_storage_cap</vt:lpstr>
      <vt:lpstr>init_techn_sh</vt:lpstr>
      <vt:lpstr>init_timeuse</vt:lpstr>
      <vt:lpstr>initial_interest_rate</vt:lpstr>
      <vt:lpstr>initial_profits_nifi_r</vt:lpstr>
      <vt:lpstr>initial_unit_int_dem</vt:lpstr>
      <vt:lpstr>INT_EX</vt:lpstr>
      <vt:lpstr>INT_H</vt:lpstr>
      <vt:lpstr>INT_IMP</vt:lpstr>
      <vt:lpstr>INT_Z_DOM</vt:lpstr>
      <vt:lpstr>INT_Z_IMP</vt:lpstr>
      <vt:lpstr>inv_shocks</vt:lpstr>
      <vt:lpstr>investment_matrix</vt:lpstr>
      <vt:lpstr>L_imp</vt:lpstr>
      <vt:lpstr>L_imp_dom_ratio</vt:lpstr>
      <vt:lpstr>L_imp_int_ii_bio</vt:lpstr>
      <vt:lpstr>L_imp_int_ii_coal</vt:lpstr>
      <vt:lpstr>L_imp_int_ii_elec</vt:lpstr>
      <vt:lpstr>L_imp_int_ii_gas</vt:lpstr>
      <vt:lpstr>L_imp_int_ii_heat</vt:lpstr>
      <vt:lpstr>L_imp_int_ii_nuclear</vt:lpstr>
      <vt:lpstr>L_imp_int_ii_oil</vt:lpstr>
      <vt:lpstr>lambda_elec</vt:lpstr>
      <vt:lpstr>Lazio_alpha</vt:lpstr>
      <vt:lpstr>Lazio_yd</vt:lpstr>
      <vt:lpstr>lfpr_initial</vt:lpstr>
      <vt:lpstr>lfpr_trends</vt:lpstr>
      <vt:lpstr>Liguria_alpha</vt:lpstr>
      <vt:lpstr>Liguria_yd</vt:lpstr>
      <vt:lpstr>Lombardia_alpha</vt:lpstr>
      <vt:lpstr>Lombardia_yd</vt:lpstr>
      <vt:lpstr>lp_mean_neg_norm</vt:lpstr>
      <vt:lpstr>lp_mean_pos_norm</vt:lpstr>
      <vt:lpstr>lp_median_neg_norm</vt:lpstr>
      <vt:lpstr>lp_median_pos_norm</vt:lpstr>
      <vt:lpstr>lp_norm_neg_mean</vt:lpstr>
      <vt:lpstr>lp_norm_neg_median</vt:lpstr>
      <vt:lpstr>lp_norm_neg_sd</vt:lpstr>
      <vt:lpstr>lp_norm_pos_mean</vt:lpstr>
      <vt:lpstr>lp_norm_pos_median</vt:lpstr>
      <vt:lpstr>lp_norm_pos_sd</vt:lpstr>
      <vt:lpstr>lp_sd_neg_norm</vt:lpstr>
      <vt:lpstr>lp_sd_pos_norm</vt:lpstr>
      <vt:lpstr>maleshareinit</vt:lpstr>
      <vt:lpstr>malesharetrend</vt:lpstr>
      <vt:lpstr>Marche_alpha</vt:lpstr>
      <vt:lpstr>Marche_yd</vt:lpstr>
      <vt:lpstr>markup_calibration_parm_i</vt:lpstr>
      <vt:lpstr>max_scale</vt:lpstr>
      <vt:lpstr>mixed</vt:lpstr>
      <vt:lpstr>Molise_alpha</vt:lpstr>
      <vt:lpstr>Molise_yd</vt:lpstr>
      <vt:lpstr>num_hhs_init</vt:lpstr>
      <vt:lpstr>num_hhs_init_calib</vt:lpstr>
      <vt:lpstr>Output</vt:lpstr>
      <vt:lpstr>overall_initial_exp_trend</vt:lpstr>
      <vt:lpstr>overall_initial_gov_c_trend</vt:lpstr>
      <vt:lpstr>p_ets_forecast</vt:lpstr>
      <vt:lpstr>peradultwealth</vt:lpstr>
      <vt:lpstr>Piemonte_alpha</vt:lpstr>
      <vt:lpstr>Piemonte_yd</vt:lpstr>
      <vt:lpstr>post_debt_repayment_profits</vt:lpstr>
      <vt:lpstr>pp_to_bp</vt:lpstr>
      <vt:lpstr>profits_nifi_shares</vt:lpstr>
      <vt:lpstr>Puglia_alpha</vt:lpstr>
      <vt:lpstr>Puglia_yd</vt:lpstr>
      <vt:lpstr>pw_ratios</vt:lpstr>
      <vt:lpstr>rents_share_r</vt:lpstr>
      <vt:lpstr>repr_life</vt:lpstr>
      <vt:lpstr>S1_g_exp_i</vt:lpstr>
      <vt:lpstr>S1_hours_i</vt:lpstr>
      <vt:lpstr>S1_init_other_benefits_per_cap</vt:lpstr>
      <vt:lpstr>S1_share_imp_Z_ii</vt:lpstr>
      <vt:lpstr>S1_trend_entry_skill_gs</vt:lpstr>
      <vt:lpstr>S1_trend_entry_skill_gs_F</vt:lpstr>
      <vt:lpstr>S1_trend_entry_skill_gs_M</vt:lpstr>
      <vt:lpstr>Sardegna_alpha</vt:lpstr>
      <vt:lpstr>Sardegna_yd</vt:lpstr>
      <vt:lpstr>select_ets</vt:lpstr>
      <vt:lpstr>sens_skill_cs</vt:lpstr>
      <vt:lpstr>timeuse!sens_uw</vt:lpstr>
      <vt:lpstr>share_selfemp_income</vt:lpstr>
      <vt:lpstr>Sicilia_alpha</vt:lpstr>
      <vt:lpstr>Sicilia_yd</vt:lpstr>
      <vt:lpstr>skilldist_init</vt:lpstr>
      <vt:lpstr>skilldisttrend</vt:lpstr>
      <vt:lpstr>skillsh_imp</vt:lpstr>
      <vt:lpstr>skillwealth</vt:lpstr>
      <vt:lpstr>SOU_SH_FD_EX</vt:lpstr>
      <vt:lpstr>SOU_SH_FD_H</vt:lpstr>
      <vt:lpstr>SOU_SH_FD_IMP</vt:lpstr>
      <vt:lpstr>SOU_SH_Z_DOM_BIO</vt:lpstr>
      <vt:lpstr>SOU_SH_Z_DOM_COAL</vt:lpstr>
      <vt:lpstr>SOU_SH_Z_DOM_ELEC</vt:lpstr>
      <vt:lpstr>SOU_SH_Z_DOM_GAS</vt:lpstr>
      <vt:lpstr>SOU_SH_Z_DOM_HEAT</vt:lpstr>
      <vt:lpstr>SOU_SH_Z_DOM_NUC</vt:lpstr>
      <vt:lpstr>SOU_SH_Z_DOM_OIL</vt:lpstr>
      <vt:lpstr>SOU_SH_Z_IMP_BIO</vt:lpstr>
      <vt:lpstr>SOU_SH_Z_IMP_COAL</vt:lpstr>
      <vt:lpstr>SOU_SH_Z_IMP_ELEC</vt:lpstr>
      <vt:lpstr>SOU_SH_Z_IMP_GAS</vt:lpstr>
      <vt:lpstr>SOU_SH_Z_IMP_HEAT</vt:lpstr>
      <vt:lpstr>SOU_SH_Z_IMP_NUC</vt:lpstr>
      <vt:lpstr>SOU_SH_Z_IMP_OIL</vt:lpstr>
      <vt:lpstr>storage_final_cf</vt:lpstr>
      <vt:lpstr>storage_init_cap_constr</vt:lpstr>
      <vt:lpstr>storage_init_cf</vt:lpstr>
      <vt:lpstr>techn_sh_bat</vt:lpstr>
      <vt:lpstr>time</vt:lpstr>
      <vt:lpstr>time_p_ets</vt:lpstr>
      <vt:lpstr>time2</vt:lpstr>
      <vt:lpstr>timet</vt:lpstr>
      <vt:lpstr>tls</vt:lpstr>
      <vt:lpstr>tls_base</vt:lpstr>
      <vt:lpstr>Toscana_alpha</vt:lpstr>
      <vt:lpstr>Toscana_yd</vt:lpstr>
      <vt:lpstr>total_allowances</vt:lpstr>
      <vt:lpstr>trans_use</vt:lpstr>
      <vt:lpstr>trend_ereu_fd_nrg</vt:lpstr>
      <vt:lpstr>trend_exp</vt:lpstr>
      <vt:lpstr>trend_gov</vt:lpstr>
      <vt:lpstr>trend_impsh_gfcf</vt:lpstr>
      <vt:lpstr>trend_impsh_gov</vt:lpstr>
      <vt:lpstr>trend_impsh_hhs</vt:lpstr>
      <vt:lpstr>trend_impsh_z</vt:lpstr>
      <vt:lpstr>trend_L_imp</vt:lpstr>
      <vt:lpstr>trend_L_imp_int_ii_bio</vt:lpstr>
      <vt:lpstr>trend_L_imp_int_ii_coal</vt:lpstr>
      <vt:lpstr>trend_L_imp_int_ii_elec</vt:lpstr>
      <vt:lpstr>trend_L_imp_int_ii_gas</vt:lpstr>
      <vt:lpstr>trend_L_imp_int_ii_heat</vt:lpstr>
      <vt:lpstr>trend_L_imp_int_ii_nuclear</vt:lpstr>
      <vt:lpstr>trend_L_imp_int_ii_oil</vt:lpstr>
      <vt:lpstr>trends_skills_female</vt:lpstr>
      <vt:lpstr>trends_skills_male</vt:lpstr>
      <vt:lpstr>Trentino_alpha</vt:lpstr>
      <vt:lpstr>Trentino_yd</vt:lpstr>
      <vt:lpstr>ttm</vt:lpstr>
      <vt:lpstr>ttm_shares</vt:lpstr>
      <vt:lpstr>u_initial_gs</vt:lpstr>
      <vt:lpstr>u_initial_gs_F</vt:lpstr>
      <vt:lpstr>u_initial_gs_M</vt:lpstr>
      <vt:lpstr>u_mean_neg_norm</vt:lpstr>
      <vt:lpstr>u_mean_pos_norm</vt:lpstr>
      <vt:lpstr>u_median_neg_norm</vt:lpstr>
      <vt:lpstr>u_median_pos_norm</vt:lpstr>
      <vt:lpstr>u_sd_neg_norm</vt:lpstr>
      <vt:lpstr>u_sd_pos_norm</vt:lpstr>
      <vt:lpstr>Umbria_alpha</vt:lpstr>
      <vt:lpstr>Umbria_yd</vt:lpstr>
      <vt:lpstr>Valle_alpha</vt:lpstr>
      <vt:lpstr>Valle_yd</vt:lpstr>
      <vt:lpstr>vat_rates</vt:lpstr>
      <vt:lpstr>Veneto_alpha</vt:lpstr>
      <vt:lpstr>Veneto_yd</vt:lpstr>
      <vt:lpstr>wages_initial_gis_F</vt:lpstr>
      <vt:lpstr>wages_initial_gis_M</vt:lpstr>
      <vt:lpstr>wdispf</vt:lpstr>
      <vt:lpstr>wdispm</vt:lpstr>
      <vt:lpstr>weekly_hours</vt:lpstr>
      <vt:lpstr>winitf</vt:lpstr>
      <vt:lpstr>winitm</vt:lpstr>
      <vt:lpstr>working_weeks_per_year</vt:lpstr>
      <vt:lpstr>yd</vt:lpstr>
      <vt:lpstr>yd_dynamic_share</vt:lpstr>
      <vt:lpstr>yd_FI</vt:lpstr>
      <vt:lpstr>yd_national_initial</vt:lpstr>
      <vt:lpstr>year_free_ets_phaseout</vt:lpstr>
      <vt:lpstr>Z_init</vt:lpstr>
      <vt:lpstr>znominit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André Cieplinski</dc:creator>
  <cp:keywords/>
  <dc:description/>
  <cp:lastModifiedBy>Guilherme Spinato Morlin</cp:lastModifiedBy>
  <cp:revision/>
  <dcterms:created xsi:type="dcterms:W3CDTF">2021-03-22T10:15:53Z</dcterms:created>
  <dcterms:modified xsi:type="dcterms:W3CDTF">2025-08-26T16:13:41Z</dcterms:modified>
  <cp:category/>
  <cp:contentStatus/>
</cp:coreProperties>
</file>